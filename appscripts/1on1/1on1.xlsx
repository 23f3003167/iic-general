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oked Slots" sheetId="1" r:id="rId5"/>
    <sheet state="hidden" name="Sheet17" sheetId="2" r:id="rId6"/>
    <sheet state="hidden" name="FR6" sheetId="3" r:id="rId7"/>
    <sheet state="hidden" name="FR5" sheetId="4" r:id="rId8"/>
    <sheet state="hidden" name="FR2" sheetId="5" r:id="rId9"/>
    <sheet state="hidden" name="FR4" sheetId="6" r:id="rId10"/>
    <sheet state="hidden" name="FR0" sheetId="7" r:id="rId11"/>
    <sheet state="hidden" name="FR3" sheetId="8" r:id="rId12"/>
    <sheet state="hidden" name="FR1" sheetId="9" r:id="rId13"/>
    <sheet state="visible" name="Slot" sheetId="10" r:id="rId14"/>
    <sheet state="visible" name="Instructors" sheetId="11" r:id="rId15"/>
    <sheet state="visible" name="Summary" sheetId="12" r:id="rId16"/>
    <sheet state="hidden" name="FS - Jan26" sheetId="13" r:id="rId17"/>
    <sheet state="hidden" name="Recovered_Jan_To_Date" sheetId="14" r:id="rId18"/>
    <sheet state="hidden" name="Slot - Old" sheetId="15" r:id="rId19"/>
    <sheet state="hidden" name="SD - Jan26" sheetId="16" r:id="rId20"/>
    <sheet state="hidden" name="Sheet15" sheetId="17" r:id="rId21"/>
    <sheet state="hidden" name="Stats" sheetId="18" r:id="rId22"/>
    <sheet state="hidden" name="MLP Data" sheetId="19" r:id="rId23"/>
    <sheet state="hidden" name="DLP Data" sheetId="20" r:id="rId24"/>
    <sheet state="hidden" name="Missed Students" sheetId="21" r:id="rId25"/>
  </sheets>
  <definedNames>
    <definedName hidden="1" localSheetId="20" name="_xlnm._FilterDatabase">'Missed Students'!$A$1:$I$33</definedName>
  </definedNames>
  <calcPr/>
  <pivotCaches>
    <pivotCache cacheId="0" r:id="rId26"/>
    <pivotCache cacheId="1" r:id="rId27"/>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Responder updated this value.</t>
      </text>
    </comment>
    <comment authorId="0" ref="E5">
      <text>
        <t xml:space="preserve">Responder updated this value.</t>
      </text>
    </comment>
    <comment authorId="0" ref="F5">
      <text>
        <t xml:space="preserve">Responder updated this value.</t>
      </text>
    </comment>
    <comment authorId="0" ref="J9">
      <text>
        <t xml:space="preserve">Responder updated this value.</t>
      </text>
    </comment>
    <comment authorId="0" ref="G5">
      <text>
        <t xml:space="preserve">Responder updated this value.</t>
      </text>
    </comment>
    <comment authorId="0" ref="J7">
      <text>
        <t xml:space="preserve">Responder updated this value.</t>
      </text>
    </comment>
    <comment authorId="0" ref="J5">
      <text>
        <t xml:space="preserve">Responder updated this value.</t>
      </text>
    </comment>
    <comment authorId="0" ref="B18">
      <text>
        <t xml:space="preserve">Responder updated this value.</t>
      </text>
    </comment>
    <comment authorId="0" ref="F22">
      <text>
        <t xml:space="preserve">Responder updated this value.</t>
      </text>
    </comment>
    <comment authorId="0" ref="J22">
      <text>
        <t xml:space="preserve">Responder updated this value.</t>
      </text>
    </comment>
    <comment authorId="0" ref="F14">
      <text>
        <t xml:space="preserve">Responder updated this value.</t>
      </text>
    </comment>
    <comment authorId="0" ref="J18">
      <text>
        <t xml:space="preserve">Responder updated this value.</t>
      </text>
    </comment>
    <comment authorId="0" ref="G14">
      <text>
        <t xml:space="preserve">Responder updated this value.</t>
      </text>
    </comment>
    <comment authorId="0" ref="B8">
      <text>
        <t xml:space="preserve">Responder updated this value.</t>
      </text>
    </comment>
    <comment authorId="0" ref="J14">
      <text>
        <t xml:space="preserve">Responder updated this value.</t>
      </text>
    </comment>
    <comment authorId="0" ref="F8">
      <text>
        <t xml:space="preserve">Responder updated this value.</t>
      </text>
    </comment>
    <comment authorId="0" ref="J12">
      <text>
        <t xml:space="preserve">Responder updated this value.</t>
      </text>
    </comment>
    <comment authorId="0" ref="J10">
      <text>
        <t xml:space="preserve">Responder updated this value.</t>
      </text>
    </comment>
    <comment authorId="0" ref="J8">
      <text>
        <t xml:space="preserve">Responder updated this value.</t>
      </text>
    </comment>
    <comment authorId="0" ref="J4">
      <text>
        <t xml:space="preserve">Responder updated this value.</t>
      </text>
    </comment>
    <comment authorId="0" ref="J31">
      <text>
        <t xml:space="preserve">Responder updated this value.</t>
      </text>
    </comment>
    <comment authorId="0" ref="B19">
      <text>
        <t xml:space="preserve">Responder updated this value.</t>
      </text>
    </comment>
    <comment authorId="0" ref="F19">
      <text>
        <t xml:space="preserve">Responder updated this value.</t>
      </text>
    </comment>
    <comment authorId="0" ref="G19">
      <text>
        <t xml:space="preserve">Responder updated this value.</t>
      </text>
    </comment>
    <comment authorId="0" ref="F17">
      <text>
        <t xml:space="preserve">Responder updated this value.</t>
      </text>
    </comment>
    <comment authorId="0" ref="G17">
      <text>
        <t xml:space="preserve">Responder updated this value.</t>
      </text>
    </comment>
    <comment authorId="0" ref="F15">
      <text>
        <t xml:space="preserve">Responder updated this value.</t>
      </text>
    </comment>
    <comment authorId="0" ref="J19">
      <text>
        <t xml:space="preserve">Responder updated this value.</t>
      </text>
    </comment>
    <comment authorId="0" ref="G15">
      <text>
        <t xml:space="preserve">Responder updated this value.</t>
      </text>
    </comment>
    <comment authorId="0" ref="J17">
      <text>
        <t xml:space="preserve">Responder updated this value.</t>
      </text>
    </comment>
    <comment authorId="0" ref="J15">
      <text>
        <t xml:space="preserve">Responder updated this value.</t>
      </text>
    </comment>
    <comment authorId="0" ref="B5">
      <text>
        <t xml:space="preserve">Responder updated this value.</t>
      </text>
    </comment>
    <comment authorId="0" ref="F9">
      <text>
        <t xml:space="preserve">Responder updated this value.</t>
      </text>
    </comment>
    <comment authorId="0" ref="G9">
      <text>
        <t xml:space="preserve">Responder updated this value.</t>
      </text>
    </comment>
    <comment authorId="0" ref="F7">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Responder updated this value.</t>
      </text>
    </comment>
    <comment authorId="0" ref="I8">
      <text>
        <t xml:space="preserve">Responder updated this value.</t>
      </text>
    </comment>
    <comment authorId="0" ref="I38">
      <text>
        <t xml:space="preserve">Responder updated this value.</t>
      </text>
    </comment>
    <comment authorId="0" ref="B10">
      <text>
        <t xml:space="preserve">Responder updated this value.</t>
      </text>
    </comment>
    <comment authorId="0" ref="E12">
      <text>
        <t xml:space="preserve">Responder updated this value.</t>
      </text>
    </comment>
    <comment authorId="0" ref="E10">
      <text>
        <t xml:space="preserve">Responder updated this value.</t>
      </text>
    </comment>
    <comment authorId="0" ref="J12">
      <text>
        <t xml:space="preserve">Responder updated this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Responder updated this value.</t>
      </text>
    </comment>
    <comment authorId="0" ref="E37">
      <text>
        <t xml:space="preserve">Responder updated this value.</t>
      </text>
    </comment>
    <comment authorId="0" ref="F5">
      <text>
        <t xml:space="preserve">Responder updated this value.</t>
      </text>
    </comment>
    <comment authorId="0" ref="F37">
      <text>
        <t xml:space="preserve">Responder updated this value.</t>
      </text>
    </comment>
    <comment authorId="0" ref="G37">
      <text>
        <t xml:space="preserve">Responder updated this value.</t>
      </text>
    </comment>
    <comment authorId="0" ref="J40">
      <text>
        <t xml:space="preserve">Responder updated this value.</t>
      </text>
    </comment>
    <comment authorId="0" ref="H37">
      <text>
        <t xml:space="preserve">Responder updated this value.</t>
      </text>
    </comment>
    <comment authorId="0" ref="G3">
      <text>
        <t xml:space="preserve">Responder updated this value.</t>
      </text>
    </comment>
    <comment authorId="0" ref="I5">
      <text>
        <t xml:space="preserve">Responder updated this value.</t>
      </text>
    </comment>
    <comment authorId="0" ref="I37">
      <text>
        <t xml:space="preserve">Responder updated this value.</t>
      </text>
    </comment>
    <comment authorId="0" ref="I3">
      <text>
        <t xml:space="preserve">Responder updated this value.</t>
      </text>
    </comment>
    <comment authorId="0" ref="B25">
      <text>
        <t xml:space="preserve">Responder updated this value.</t>
      </text>
    </comment>
    <comment authorId="0" ref="E25">
      <text>
        <t xml:space="preserve">Responder updated this value.</t>
      </text>
    </comment>
    <comment authorId="0" ref="G25">
      <text>
        <t xml:space="preserve">Responder updated this value.</t>
      </text>
    </comment>
    <comment authorId="0" ref="L25">
      <text>
        <t xml:space="preserve">Responder updated this value.</t>
      </text>
    </comment>
    <comment authorId="0" ref="G17">
      <text>
        <t xml:space="preserve">Responder updated this value.</t>
      </text>
    </comment>
    <comment authorId="0" ref="I17">
      <text>
        <t xml:space="preserve">Responder updated this value.</t>
      </text>
    </comment>
    <comment authorId="0" ref="B5">
      <text>
        <t xml:space="preserve">Responder updated this value.</t>
      </text>
    </comment>
    <comment authorId="0" ref="B37">
      <text>
        <t xml:space="preserve">Responder updated this value.</t>
      </text>
    </comment>
    <comment authorId="0" ref="C37">
      <text>
        <t xml:space="preserve">Responder updated this value.</t>
      </text>
    </comment>
    <comment authorId="0" ref="D37">
      <text>
        <t xml:space="preserve">Responder updated this value.</t>
      </text>
    </comment>
    <comment authorId="0" ref="G40">
      <text>
        <t xml:space="preserve">Responder updated this value.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4">
      <text>
        <t xml:space="preserve">Responder updated this value.</t>
      </text>
    </comment>
    <comment authorId="0" ref="J25">
      <text>
        <t xml:space="preserve">Responder updated this value.</t>
      </text>
    </comment>
    <comment authorId="0" ref="J24">
      <text>
        <t xml:space="preserve">Responder updated this value.</t>
      </text>
    </comment>
    <comment authorId="0" ref="J20">
      <text>
        <t xml:space="preserve">Responder updated this value.</t>
      </text>
    </comment>
    <comment authorId="0" ref="J34">
      <text>
        <t xml:space="preserve">Responder updated this value.</t>
      </text>
    </comment>
    <comment authorId="0" ref="J32">
      <text>
        <t xml:space="preserve">Responder updated this value.</t>
      </text>
    </comment>
    <comment authorId="0" ref="F27">
      <text>
        <t xml:space="preserve">Responder updated this value.</t>
      </text>
    </comment>
    <comment authorId="0" ref="F25">
      <text>
        <t xml:space="preserve">Responder updated this value.</t>
      </text>
    </comment>
    <comment authorId="0" ref="F24">
      <text>
        <t xml:space="preserve">Responder updated this value.</t>
      </text>
    </comment>
    <comment authorId="0" ref="I27">
      <text>
        <t xml:space="preserve">Responder updated this value.</t>
      </text>
    </comment>
  </commentList>
</comments>
</file>

<file path=xl/sharedStrings.xml><?xml version="1.0" encoding="utf-8"?>
<sst xmlns="http://schemas.openxmlformats.org/spreadsheetml/2006/main" count="12540" uniqueCount="4466">
  <si>
    <t>Timestamp</t>
  </si>
  <si>
    <t>Email</t>
  </si>
  <si>
    <t xml:space="preserve">Full Name (as per IIC Portal) </t>
  </si>
  <si>
    <t>Student Name</t>
  </si>
  <si>
    <t>Contact Num</t>
  </si>
  <si>
    <t>Student Email</t>
  </si>
  <si>
    <t>23f1002434@ds.study.iitm.ac.in</t>
  </si>
  <si>
    <t>Mobile Number</t>
  </si>
  <si>
    <t>Deviprasad Nirjogi</t>
  </si>
  <si>
    <t>Upload your resume</t>
  </si>
  <si>
    <t>Overall CGPA</t>
  </si>
  <si>
    <t>Upload your progress card.
Step 1: Go to Student Dashboard
Step 2: Click on the menu on your left side-bar and go to "Documents for Download" section. 
Step 3: Search for "2026 Jan Progress Card" and download it. 
Step 4: Convert your resume into a single PDF, upload the PDF to your Google Drive, change the sharing settings to ‘Anyone with the link can view,’ and paste the link below.</t>
  </si>
  <si>
    <t>21f2000120@ds.study.iitm.ac.in</t>
  </si>
  <si>
    <t>Slots (Timing in IST) – Data Science</t>
  </si>
  <si>
    <t>Slots (Timing in IST) – Programming</t>
  </si>
  <si>
    <t>R Hariharan</t>
  </si>
  <si>
    <t>Upload your progress card.
Step 1: Go to Student Dashboard
Step 2: Click on the menu on your left side-bar and go to "Documents for Download" section. 
Step 3: Search for "2025 Sep Progress Card" and download it. 
Step 4: Convert your resume into a single PDF, upload the PDF to your Google Drive, change the sharing settings to ‘Anyone with the link can view,’ and paste the link below.</t>
  </si>
  <si>
    <t>Plan</t>
  </si>
  <si>
    <t>22f3000694@ds.study.iitm.ac.in</t>
  </si>
  <si>
    <t>Achal Deep</t>
  </si>
  <si>
    <t xml:space="preserve">Which domain?  </t>
  </si>
  <si>
    <t>24ds2000089@ds.study.iitm.ac.in</t>
  </si>
  <si>
    <t>SHWETA VYAS</t>
  </si>
  <si>
    <t>Email Address</t>
  </si>
  <si>
    <t>24f2000612@ds.study.iitm.ac.in</t>
  </si>
  <si>
    <t>Udghosh Rao</t>
  </si>
  <si>
    <t>23f3001646@ds.study.iitm.ac.in</t>
  </si>
  <si>
    <t>Madhan Karthikeyan</t>
  </si>
  <si>
    <t>Thadeshwar Jay Jiteshbhai</t>
  </si>
  <si>
    <t>23f1002879@ds.study.iitm.ac.in</t>
  </si>
  <si>
    <t>Aayush Krishna</t>
  </si>
  <si>
    <t>23ds3000081@ds.study.iitm.ac.in</t>
  </si>
  <si>
    <t>23f2005014@ds.study.iitm.ac.in</t>
  </si>
  <si>
    <t>Soubhagya Nayak</t>
  </si>
  <si>
    <t>22f3000528@ds.study.iitm.ac.in</t>
  </si>
  <si>
    <t>https://drive.google.com/drive/folders/1plpMz8e5gglH438PJktEqfaQJnctTDw1?usp=sharing</t>
  </si>
  <si>
    <t>kondaveeti muralidhar</t>
  </si>
  <si>
    <t>Harsh Pratap Singh</t>
  </si>
  <si>
    <t>24f1000656@ds.study.iitm.ac.in</t>
  </si>
  <si>
    <t>22f3002166@ds.study.iitm.ac.in</t>
  </si>
  <si>
    <t>Mokshada Chandrashekhar Nehete</t>
  </si>
  <si>
    <t>23f3004092@ds.study.iitm.ac.in</t>
  </si>
  <si>
    <t>Harliv Singh</t>
  </si>
  <si>
    <t>https://drive.google.com/file/d/1_XKfMwRib59rb-TqGttiOE1gHSNEdEVt/view?usp=sharing</t>
  </si>
  <si>
    <t>22f3002291@ds.study.iitm.ac.in</t>
  </si>
  <si>
    <t>Hardik D</t>
  </si>
  <si>
    <t>22f3002198@ds.study.iitm.ac.in</t>
  </si>
  <si>
    <t>NA</t>
  </si>
  <si>
    <t>Harsh kumar</t>
  </si>
  <si>
    <t>Employment</t>
  </si>
  <si>
    <t>24dp2000008@ds.study.iitm.ac.in</t>
  </si>
  <si>
    <t>Data Science</t>
  </si>
  <si>
    <t>Vighnesh Sajeev</t>
  </si>
  <si>
    <t>https://drive.google.com/file/d/1zvMBwHTHK-Bu_bsdGSOYCZ6h6BGas1U1/view?usp=sharing</t>
  </si>
  <si>
    <t>14/05/2026 Thursday 08:30 AM - 08:45 AM (Data Science) | Lalit</t>
  </si>
  <si>
    <t>21f3003230@ds.study.iitm.ac.in</t>
  </si>
  <si>
    <t xml:space="preserve">Aman Yadav </t>
  </si>
  <si>
    <t>22f3000808@ds.study.iitm.ac.in</t>
  </si>
  <si>
    <t>Shreyash Gaikwad</t>
  </si>
  <si>
    <t>Internship</t>
  </si>
  <si>
    <t>22f1000533@ds.study.iitm.ac.in</t>
  </si>
  <si>
    <t>Atharva Sanjay Sarbhukan</t>
  </si>
  <si>
    <t>Ritik Yadav</t>
  </si>
  <si>
    <t xml:space="preserve">Niraj Kumar </t>
  </si>
  <si>
    <t>31/03/2026 Tuesday 05:00 PM - 05:30 PM (Data Science) | Karthik</t>
  </si>
  <si>
    <t>23f1000932@ds.study.iitm.ac.in</t>
  </si>
  <si>
    <t>21f1006589@ds.study.iitm.ac.in</t>
  </si>
  <si>
    <t>Ayan Hussain</t>
  </si>
  <si>
    <t>23f2004634@ds.study.iitm.ac.in</t>
  </si>
  <si>
    <t>24f1000409@ds.study.iitm.ac.in</t>
  </si>
  <si>
    <t>DIVASHU</t>
  </si>
  <si>
    <t>https://drive.google.com/file/d/1P6xYEABg8k22XoPIwllrRK3i_TLL1zp9/view?usp=sharing</t>
  </si>
  <si>
    <t>23f2004705@ds.study.iitm.ac.in</t>
  </si>
  <si>
    <t>https://drive.google.com/file/d/1rZI7-SiZAOB7NUnsO9n68cEl-txaqh7W/view?usp=drive_link</t>
  </si>
  <si>
    <t>Rishav Kumar</t>
  </si>
  <si>
    <t>Ripusudan Kumar Jha</t>
  </si>
  <si>
    <t>22f3001352@ds.study.iitm.ac.in</t>
  </si>
  <si>
    <t>22f3002393@ds.study.iitm.ac.in</t>
  </si>
  <si>
    <t>Santhuluri Vijaya Bhaskar</t>
  </si>
  <si>
    <t>https://drive.google.com/file/d/1LD_qcJGhcV_7lHjfyh2o0u-X7uwI08jZ/view?usp=drivesdk</t>
  </si>
  <si>
    <t>23f2004126@ds.study.iitm.ac.in</t>
  </si>
  <si>
    <t>Aanchal Routela</t>
  </si>
  <si>
    <t>https://drive.google.com/file/d/19ttHHHHE-JCq1lQV9NVX1zERzjKihUfF/view?usp=drive_link</t>
  </si>
  <si>
    <t>https://drive.google.com/file/d/1Mt2IX9ojnCtNiGz30yBc6NqBGaSGAwI5/view?usp=drivesdk</t>
  </si>
  <si>
    <t>22f3001744@ds.study.iitm.ac.in</t>
  </si>
  <si>
    <t>https://drive.google.com/file/d/15mwRkXLr_nCW1QTHNTsoVpOHfm87Bm_E/view?usp=drive_link</t>
  </si>
  <si>
    <t>Kunal Singh</t>
  </si>
  <si>
    <t>21f3001527@ds.study.iitm.ac.in</t>
  </si>
  <si>
    <t>Rajeev kumar bhagat</t>
  </si>
  <si>
    <t>23f1001323@ds.study.iitm.ac.in</t>
  </si>
  <si>
    <t>Tisya Ahuja</t>
  </si>
  <si>
    <t>23/04/2026 Thursday 04:00 PM - 04:30 PM (Data Science) | Nikitakumari</t>
  </si>
  <si>
    <t>23f3002766@ds.study.iitm.ac.in</t>
  </si>
  <si>
    <t>23/03/2026 Monday 04:00 PM - 04:30 PM (Data Science) | Nikitakumari</t>
  </si>
  <si>
    <t>Shaikh Md Khasim Basith Nawaz</t>
  </si>
  <si>
    <t>15/05/2026 Friday 04:30 PM - 05:00 PM (Data Science) | Mayur</t>
  </si>
  <si>
    <t>24f3000211@ds.study.iitm.ac.in</t>
  </si>
  <si>
    <t xml:space="preserve">Kaushik Harsha </t>
  </si>
  <si>
    <t>muralidhar k</t>
  </si>
  <si>
    <t>22f3000935@ds.study.iitm.ac.in</t>
  </si>
  <si>
    <t xml:space="preserve">Paramananda Samantara </t>
  </si>
  <si>
    <t>https://drive.google.com/file/d/1rZI7-SiZAOB7NUnsO9n68cEl-txaqh7W/view?usp=drivesdk</t>
  </si>
  <si>
    <t>22f3000144@ds.study.iitm.ac.in</t>
  </si>
  <si>
    <t>Ayush Gupta</t>
  </si>
  <si>
    <t>Pinki</t>
  </si>
  <si>
    <t>22f3000519@ds.study.iitm.ac.in</t>
  </si>
  <si>
    <t>https://drive.google.com/file/d/1V0lrKfEIRVPJGxFO_eczcKDEDyNgnlrv/view?usp=sharing</t>
  </si>
  <si>
    <t>Sudharshini V</t>
  </si>
  <si>
    <t>23f2003874@ds.study.iitm.ac.in</t>
  </si>
  <si>
    <t>https://drive.google.com/file/d/15mwRkXLr_nCW1QTHNTsoVpOHfm87Bm_E/view?usp=drivesdk</t>
  </si>
  <si>
    <t>21f3000566@ds.study.iitm.ac.in</t>
  </si>
  <si>
    <t>AVISHAKE CHOUDHURY</t>
  </si>
  <si>
    <t>https://drive.google.com/file/d/104nryzwyTS7FFFtk2SRj3W6-gmzFSbvZ/view?usp=drivesdk</t>
  </si>
  <si>
    <t>22f3001285@ds.study.iitm.ac.in</t>
  </si>
  <si>
    <t>https://drive.google.com/file/d/1FQdlztLwEPAvE6VlPvfaIZrD0iEUqtg5/view?usp=sharing</t>
  </si>
  <si>
    <t>Anjali Dogra</t>
  </si>
  <si>
    <t>28/04/2026 Tuesday 04:30 PM - 05:00 PM (Data Science) | Karthik</t>
  </si>
  <si>
    <t>22f2001282@ds.study.iitm.ac.in</t>
  </si>
  <si>
    <t>Shristi Patel</t>
  </si>
  <si>
    <t>https://drive.google.com/file/d/10Xx36gjUQpW9BReDRIhUKnQZXjNmSbH8/view?usp=drivesdk</t>
  </si>
  <si>
    <t>24f1000182@ds.study.iitm.ac.in</t>
  </si>
  <si>
    <t>Tushar Gautam</t>
  </si>
  <si>
    <t>23/03/2026 Monday 04:30 PM - 05:00 PM (Data Science) | Nikitakumari</t>
  </si>
  <si>
    <t>https://drive.google.com/file/d/1SEX7TP0yIDthFcTAbfEem16TvQWCOXvB/view?usp=drive_link</t>
  </si>
  <si>
    <t>22f2000846@ds.study.iitm.ac.in</t>
  </si>
  <si>
    <t>Chidanandh N A</t>
  </si>
  <si>
    <t>Kalppana S</t>
  </si>
  <si>
    <t>21f1000406@ds.study.iitm.ac.in</t>
  </si>
  <si>
    <t>23f2000387@ds.study.iitm.ac.in</t>
  </si>
  <si>
    <t>M Manas Dora</t>
  </si>
  <si>
    <t>https://drive.google.com/file/d/19ttHHHHE-JCq1lQV9NVX1zERzjKihUfF/view?usp=sharing</t>
  </si>
  <si>
    <t>https://drive.google.com/file/d/1UuLj2GSfpvm_fyIK9c-z9GjQvWlAExZQ/view?usp=sharing</t>
  </si>
  <si>
    <t>22f3001210@ds.study.iitm.ac.in</t>
  </si>
  <si>
    <t>Rishit Pant</t>
  </si>
  <si>
    <t>21/05/2026 Thursday 12:15 PM - 12:30 PM (Data Science) | Lalit</t>
  </si>
  <si>
    <t>23f3000048@ds.study.iitm.ac.in</t>
  </si>
  <si>
    <t>Deepanshu Singh</t>
  </si>
  <si>
    <t>23f3001886@ds.study.iitm.ac.in</t>
  </si>
  <si>
    <t>Nitesh Sharma</t>
  </si>
  <si>
    <t>KHUSHI TIWARI</t>
  </si>
  <si>
    <t>20/04/2026 Monday 05:00 PM - 05:30 PM (Data Science) | Lalit</t>
  </si>
  <si>
    <t>https://drive.google.com/file/d/1Q5eHi_yiYp0jEq1q23-Feq7_eOk0t8Hk/view?usp=sharing</t>
  </si>
  <si>
    <t>22f2000364@ds.study.iitm.ac.in</t>
  </si>
  <si>
    <t>22f2001255@ds.study.iitm.ac.in</t>
  </si>
  <si>
    <t>Hitesh Binjrawat</t>
  </si>
  <si>
    <t>23f3004152@ds.study.iitm.ac.in</t>
  </si>
  <si>
    <t>Aryan Thakur</t>
  </si>
  <si>
    <t>manish jat</t>
  </si>
  <si>
    <t>https://drive.google.com/file/d/1YWHD3jAHOFa5Kaq-FloX-AIujtLq4u0f/view?usp=sharing</t>
  </si>
  <si>
    <t>23f1000966@ds.study.iitm.ac.in</t>
  </si>
  <si>
    <t>22f3003015@ds.study.iitm.ac.in</t>
  </si>
  <si>
    <t>Ravisha Shrivastava</t>
  </si>
  <si>
    <t>22f3000916@ds.study.iitm.ac.in</t>
  </si>
  <si>
    <t>https://drive.google.com/file/d/1zA06ykxUNA1JtZ1u3nE5qljbkrn88AH3/view?usp=sharing</t>
  </si>
  <si>
    <t xml:space="preserve">Aman Kumar Sinha </t>
  </si>
  <si>
    <t>22/03/2026 Sunday 06:30 PM - 07:00 PM (Data Science) | Mayur</t>
  </si>
  <si>
    <t>21f1003157@ds.study.iitm.ac.in</t>
  </si>
  <si>
    <t>SHAONI SAMANTA</t>
  </si>
  <si>
    <t>21f3001748@ds.study.iitm.ac.in</t>
  </si>
  <si>
    <t>https://drive.google.com/file/d/1f4FyNWMyVH4cBz_oZeu4rVoJz5XQzrNd/view?usp=sharing</t>
  </si>
  <si>
    <t>Sanyam Mittal</t>
  </si>
  <si>
    <t>https://drive.google.com/file/d/1aCN3RnxdiyZ6iTOKy05d8oSXAy6Vbn7J/view?usp=sharing</t>
  </si>
  <si>
    <t>23f3000111@ds.study.iitm.ac.in</t>
  </si>
  <si>
    <t>Rishikesh Kamlesh Kumar Mahto</t>
  </si>
  <si>
    <t>23f3002949@ds.study.iitm.ac.in</t>
  </si>
  <si>
    <t>Ehsaas Bhalla</t>
  </si>
  <si>
    <t>https://drive.google.com/file/d/1Ns_mYzSMTjETrzkrej4xzQtKYtlEWQpI/view?usp=drivesdk</t>
  </si>
  <si>
    <t>23f3000080@ds.study.iitm.ac.in</t>
  </si>
  <si>
    <t>ANKIT KUMAR</t>
  </si>
  <si>
    <t>21f3001673@ds.study.iitm.ac.in</t>
  </si>
  <si>
    <t>I Varun Sai</t>
  </si>
  <si>
    <t>28/04/2026 Tuesday 04:00 PM - 04:30 PM (Data Science) | Nikitakumari</t>
  </si>
  <si>
    <t>22/05/2026 Friday 11:45 AM - 12:00 PM (Data Science) | Lalit</t>
  </si>
  <si>
    <t>aryanthakur9953@gmail.com</t>
  </si>
  <si>
    <t>23f3004174@ds.study.iitm.ac.in</t>
  </si>
  <si>
    <t>Aditri Mandal</t>
  </si>
  <si>
    <t>https://drive.google.com/file/d/1SvkkqMmszEemQNIMMjUqRXSbNn160f_8/view?usp=drivesdk</t>
  </si>
  <si>
    <t>Aviral Choudhary</t>
  </si>
  <si>
    <t>23f3003884@ds.study.iitm.ac.in</t>
  </si>
  <si>
    <t>Manish Kumar</t>
  </si>
  <si>
    <t>Tarika Subhash Hedaoo</t>
  </si>
  <si>
    <t>22f3002758@ds.study.iitm.ac.in</t>
  </si>
  <si>
    <t>23f3004412@ds.study.iitm.ac.in</t>
  </si>
  <si>
    <t>23f2003203@ds.study.iitm.ac.in</t>
  </si>
  <si>
    <t>Nitin yadav</t>
  </si>
  <si>
    <t>22f3002342@ds.study.iitm.ac.in</t>
  </si>
  <si>
    <t>https://drive.google.com/file/d/1NAazOZbu1df-SDPtu4dui42cOlqB33IJ/view?usp=drive_link</t>
  </si>
  <si>
    <t>Divyansh Ajay</t>
  </si>
  <si>
    <t>https://drive.google.com/file/d/11sDo5chObH8qerDgg5-NtoVKTNGRnPtY/view?usp=sharing</t>
  </si>
  <si>
    <t>23/03/2026 Monday 04:30 PM - 05:00 PM (Data Science) | Anamika</t>
  </si>
  <si>
    <t>24f1001827@ds.study.iitm.ac.in</t>
  </si>
  <si>
    <t>Ashmit Ghose</t>
  </si>
  <si>
    <t>22f3000768@ds.study.iitm.ac.in</t>
  </si>
  <si>
    <t>https://drive.google.com/file/d/1k8faK3bMy1ZWvJjkUKFf1nU5qRIAMQsj/view?usp=sharing</t>
  </si>
  <si>
    <t>Venumadhav R</t>
  </si>
  <si>
    <t>https://drive.google.com/file/d/1kxHHAYjV-0l-9BYvueiHc1NBdYGYWdxE/view?usp=sharing</t>
  </si>
  <si>
    <t>23f1002103@ds.study.iitm.ac.in</t>
  </si>
  <si>
    <t>Pruthvi Prasad S</t>
  </si>
  <si>
    <t>21f3002425@ds.study.iitm.ac.in</t>
  </si>
  <si>
    <t>Gurijala Loknath Sai</t>
  </si>
  <si>
    <t>https://drive.google.com/file/d/104nryzwyTS7FFFtk2SRj3W6-gmzFSbvZ/view?usp=sharing</t>
  </si>
  <si>
    <t>23f3003687@ds.study.iitm.ac.in</t>
  </si>
  <si>
    <t>Nitya Sharma</t>
  </si>
  <si>
    <t>27/04/2026 Monday 04:30 PM - 05:00 PM (Data Science) | Karthik</t>
  </si>
  <si>
    <t>23f2000239@ds.study.iitm.ac.in</t>
  </si>
  <si>
    <t>Sabari Biju</t>
  </si>
  <si>
    <t>23f3001694@ds.study.iitm.ac.in</t>
  </si>
  <si>
    <t>Akshit Mehta</t>
  </si>
  <si>
    <t>https://drive.google.com/file/d/10Xx36gjUQpW9BReDRIhUKnQZXjNmSbH8/view?usp=sharing</t>
  </si>
  <si>
    <t>15/05/2026 Friday 08:45 AM - 09:00 AM (Data Science) | Lalit</t>
  </si>
  <si>
    <t>Hariom Kashyap</t>
  </si>
  <si>
    <t>22f1000765@ds.study.iitm.ac.in</t>
  </si>
  <si>
    <t>21f2000584@ds.study.iitm.ac.in</t>
  </si>
  <si>
    <t>N M PRANITHA</t>
  </si>
  <si>
    <t>23f2003549@ds.study.iitm.ac.in</t>
  </si>
  <si>
    <t>Nimish Ratan Tilwani</t>
  </si>
  <si>
    <t>https://drive.google.com/drive/folders/1xZNIiTGuyv1Hszfso4rbI60U3Gfne1TF?usp=sharing</t>
  </si>
  <si>
    <t>22f3000982@ds.study.iitm.ac.in</t>
  </si>
  <si>
    <t>Ashish Raj</t>
  </si>
  <si>
    <t>22f3003055@ds.study.iitm.ac.in</t>
  </si>
  <si>
    <t>Aman Mani Tiwari</t>
  </si>
  <si>
    <t>https://drive.google.com/file/d/1dnkJ-vM-XWS0jQYbzdgkCt5cmVFlGiI3/view?usp=drivesdk</t>
  </si>
  <si>
    <t>23f2004965@ds.study.iitm.ac.in</t>
  </si>
  <si>
    <t>23/03/2026 Monday 05:00 PM - 05:30 PM (Data Science) | Anamika</t>
  </si>
  <si>
    <t>https://drive.google.com/drive/folders/1HwInnQ0S1PiIApES6OAFeyHT46fw62fe?usp=sharing</t>
  </si>
  <si>
    <t>Ashish</t>
  </si>
  <si>
    <t>23f1002786@ds.study.iitm.ac.in</t>
  </si>
  <si>
    <t>M Harsha Vardhan</t>
  </si>
  <si>
    <t>Devishi Jain</t>
  </si>
  <si>
    <t>23f3001911@ds.study.iitm.ac.in</t>
  </si>
  <si>
    <t>23f3003685@ds.study.iitm.ac.in</t>
  </si>
  <si>
    <t>https://drive.google.com/file/d/1j7b48SLkwWMnmm6Lo2z1_Ny8u0_B8t-9/view?usp=drivesdk</t>
  </si>
  <si>
    <t>Fathima surumi</t>
  </si>
  <si>
    <t>23/04/2026 Thursday 05:30 PM - 06:00 PM (Data Science) | Lalit</t>
  </si>
  <si>
    <t>https://drive.google.com/file/d/1dmiW_Ajp-5EDBriIXby6j5QUpu36h7Yp/view?usp=sharing</t>
  </si>
  <si>
    <t>kashyapcode@gmail.com</t>
  </si>
  <si>
    <t>23f3002872@ds.study.iitm.ac.in</t>
  </si>
  <si>
    <t>Khushi Choudhary</t>
  </si>
  <si>
    <t>Areeba Farooqui</t>
  </si>
  <si>
    <t>22f1001053@ds.study.iitm.ac.in</t>
  </si>
  <si>
    <t>23f3004115@ds.study.iitm.ac.in</t>
  </si>
  <si>
    <t>22/05/2026 Friday 11:15 AM - 11:30 AM (Data Science) | Lalit</t>
  </si>
  <si>
    <t>Nukasani Pardhiv</t>
  </si>
  <si>
    <t>https://drive.google.com/file/d/1UpPdqNxKPc_sr1wGrrA54V7ggYuBblY8/view?usp=drive_link</t>
  </si>
  <si>
    <t>23f2001572@ds.study.iitm.ac.in</t>
  </si>
  <si>
    <t xml:space="preserve">Sneha Dutta </t>
  </si>
  <si>
    <t>21f1001697@ds.study.iitm.ac.in</t>
  </si>
  <si>
    <t xml:space="preserve">Goteti Venkata Sai Srivardhan </t>
  </si>
  <si>
    <t>https://drive.google.com/file/d/130cZHgmpf-W7PUlQJ41WU8osKcXQvxyW/view?usp=sharing</t>
  </si>
  <si>
    <t>https://drive.google.com/file/d/14bQmbEdmUXmm8Av1ERL5ZGJE_Yj1qS1T/view?usp=drive_link</t>
  </si>
  <si>
    <t>21f1003889@ds.study.iitm.ac.in</t>
  </si>
  <si>
    <t>https://drive.google.com/file/d/12FnWB0j_Ezsh66xPIf2lDDBsnIy2UIbD/view?usp=sharing</t>
  </si>
  <si>
    <t>Anushka</t>
  </si>
  <si>
    <t>23f3004447@ds.study.iitm.ac.in</t>
  </si>
  <si>
    <t>Angeline Hephzibah J</t>
  </si>
  <si>
    <t>23f2005275@ds.study.iitm.ac.in</t>
  </si>
  <si>
    <t>Shahil Khan</t>
  </si>
  <si>
    <t>22f3001078@ds.study.iitm.ac.in</t>
  </si>
  <si>
    <t>23/04/2026 Thursday 05:00 PM - 05:30 PM (Data Science) | Lalit</t>
  </si>
  <si>
    <t>Nivedita Prasad</t>
  </si>
  <si>
    <t>https://drive.google.com/file/d/1PE8Ju7_dNpRVATTaeR9sjkKFt8ASdldy/view?usp=sharing</t>
  </si>
  <si>
    <t>21f1002234@ds.study.iitm.ac.in</t>
  </si>
  <si>
    <t>23/03/2026 Monday 05:30 PM - 06:00 PM (Data Science) | Anamika</t>
  </si>
  <si>
    <t>Harsh Narendra Patil</t>
  </si>
  <si>
    <t>21f1006385@ds.study.iitm.ac.in</t>
  </si>
  <si>
    <t>Deepak Kumar</t>
  </si>
  <si>
    <t>Avinash Kumar</t>
  </si>
  <si>
    <t>22f3000107@ds.study.iitm.ac.in</t>
  </si>
  <si>
    <t>21f1002443@ds.study.iitm.ac.in</t>
  </si>
  <si>
    <t>S NIRANJAN</t>
  </si>
  <si>
    <t>https://drive.google.com/file/d/1njgX8yM21P04_RCJ-rPHIO1284Ue7BJo/view?usp=drive_link</t>
  </si>
  <si>
    <t>MANDADAPU HARSHA VARDHAN</t>
  </si>
  <si>
    <t>20/05/2026 Wednesday 11:30 AM - 11:45 AM (Data Science) | Lalit</t>
  </si>
  <si>
    <t>https://drive.google.com/file/d/1oFKkuTGEfncGcIY6bZH-OKDEu3nFyHUy/view?usp=drive_link</t>
  </si>
  <si>
    <t>Shreya Shambhavi</t>
  </si>
  <si>
    <t>21f1001507@ds.study.iitm.ac.in</t>
  </si>
  <si>
    <t>21f1004098@ds.study.iitm.ac.in</t>
  </si>
  <si>
    <t>https://drive.google.com/file/d/1YKeu4fMigVOgPUkD8ABpTDiDHRCrC22r/view?usp=drivesdk</t>
  </si>
  <si>
    <t>Tejas Pradeep Sawant</t>
  </si>
  <si>
    <t>28/04/2026 Tuesday 04:30 PM - 05:00 PM (Data Science) | Nikitakumari</t>
  </si>
  <si>
    <t>23f1000356@ds.study.iitm.ac.in</t>
  </si>
  <si>
    <t>Vishakha Gouri Shankar Roy</t>
  </si>
  <si>
    <t>Taniya Chouhan</t>
  </si>
  <si>
    <t>22f3000926@ds.study.iitm.ac.in</t>
  </si>
  <si>
    <t>23f2003584@ds.study.iitm.ac.in</t>
  </si>
  <si>
    <t>https://drive.google.com/file/d/1gP4-zU_j3moB2WMJpavurLQSgKaqW8CW/view?usp=drivesdk</t>
  </si>
  <si>
    <t>Vaikhari Abhijeet Kanetkar</t>
  </si>
  <si>
    <t>23/03/2026 Monday 04:00 PM - 04:30 PM (Data Science) | Anamika</t>
  </si>
  <si>
    <t>https://drive.google.com/file/d/1XkL6bm4HJuJzc425LqNZMtYKdT5VOlV0/view?usp=sharing</t>
  </si>
  <si>
    <t>21f1006852@ds.study.iitm.ac.in</t>
  </si>
  <si>
    <t>Samadhan Kashinath Patil</t>
  </si>
  <si>
    <t>Aditri mandal</t>
  </si>
  <si>
    <t>23f2005067@ds.study.iitm.ac.in</t>
  </si>
  <si>
    <t>Sudhanshu Shekhar</t>
  </si>
  <si>
    <t>20/05/2026 Wednesday 12:45 PM - 01:00 PM (Data Science) | Lalit</t>
  </si>
  <si>
    <t>https://drive.google.com/file/d/1jknOGlysI5rhLjr3o2SzcPdTY7r77jgr/view?usp=sharing</t>
  </si>
  <si>
    <t>23f2005694@ds.study.iitm.ac.in</t>
  </si>
  <si>
    <t>https://drive.google.com/file/d/164rXzQicQDVHlNAU5Ih9xMmFFkaITr-M/view?usp=sharing</t>
  </si>
  <si>
    <t>Rasiga B</t>
  </si>
  <si>
    <t>23f2000783@ds.study.iitm.ac.in</t>
  </si>
  <si>
    <t xml:space="preserve">BRAHMKSHATRIYA SHIVAM ATULBHAI </t>
  </si>
  <si>
    <t>Nishant Joshi</t>
  </si>
  <si>
    <t>23ds3000034@ds.study.iitm.ac.in</t>
  </si>
  <si>
    <t>Brahmkshatriya Shivam Atulbhai</t>
  </si>
  <si>
    <t>21f1006665@ds.study.iitm.ac.in</t>
  </si>
  <si>
    <t>28/04/2026 Tuesday 04:00 PM - 04:30 PM (Data Science) | Karthik</t>
  </si>
  <si>
    <t>https://drive.google.com/file/d/1bNjKxB2lJR57hnNxit6GrieFf6n2Hfod/view?usp=sharing</t>
  </si>
  <si>
    <t>https://drive.google.com/file/d/1QOQeKWtuGhF5cwH56HAjkmSv8KR3RIAd/view?usp=sharing</t>
  </si>
  <si>
    <t>SACHIN KUMAR MISHRA</t>
  </si>
  <si>
    <t>https://drive.google.com/file/d/14BxzLGnxzbMj5nedQ9qOqY0xioaBmu_y/view?usp=sharing</t>
  </si>
  <si>
    <t>23f2004422@ds.study.iitm.ac.in</t>
  </si>
  <si>
    <t>Meikanda Sivam Sivakumar</t>
  </si>
  <si>
    <t>https://drive.google.com/file/d/1dnkJ-vM-XWS0jQYbzdgkCt5cmVFlGiI3/view?usp=sharing</t>
  </si>
  <si>
    <t>23f2003068@ds.study.iitm.ac.in</t>
  </si>
  <si>
    <t>Vikas Yadav</t>
  </si>
  <si>
    <t>23/03/2026 Monday 12:00 PM - 12:30 PM (Data Science) | Lalit</t>
  </si>
  <si>
    <t>21f1006903@ds.study.iitm.ac.in</t>
  </si>
  <si>
    <t xml:space="preserve">Bhatt Diyanshi Nainesh </t>
  </si>
  <si>
    <t>Muskan Periwal</t>
  </si>
  <si>
    <t>22f1000634@ds.study.iitm.ac.in</t>
  </si>
  <si>
    <t>Prince Raj</t>
  </si>
  <si>
    <t>https://drive.google.com/file/d/1j7b48SLkwWMnmm6Lo2z1_Ny8u0_B8t-9/view?usp=sharing</t>
  </si>
  <si>
    <t>22f3001005@ds.study.iitm.ac.in</t>
  </si>
  <si>
    <t>23f1000839@ds.study.iitm.ac.in</t>
  </si>
  <si>
    <t>https://drive.google.com/file/d/1jRsb5lSEGao48OXi8qeJfleKnSI18ZWP/view?usp=sharing</t>
  </si>
  <si>
    <t>Dimple Surana</t>
  </si>
  <si>
    <t>21/05/2026 Thursday 12:00 PM - 12:15 PM (Data Science) | Lalit</t>
  </si>
  <si>
    <t>21/04/2026 Tuesday 04:30 PM - 05:00 PM (Data Science) | Lalit</t>
  </si>
  <si>
    <t>24f1002781@ds.study.iitm.ac.in</t>
  </si>
  <si>
    <t xml:space="preserve">Lakshmi Nivasan B </t>
  </si>
  <si>
    <t>achaldeep2004@gmail.com</t>
  </si>
  <si>
    <t>22f3000624@ds.study.iitm.ac.in</t>
  </si>
  <si>
    <t>SAGARLA SRI SAI</t>
  </si>
  <si>
    <t>https://drive.google.com/file/d/1V2ywLMkIvJ7fkdBNgruQmBlnzGxIdJjT/view?usp=sharing</t>
  </si>
  <si>
    <t>Akula Geetha Maheswari</t>
  </si>
  <si>
    <t xml:space="preserve">Anish Maity </t>
  </si>
  <si>
    <t>23f1000873@ds.study.iitm.ac.in</t>
  </si>
  <si>
    <t>21f3000254@ds.study.iitm.ac.in</t>
  </si>
  <si>
    <t>21f3000417@ds.study.iitm.ac.in</t>
  </si>
  <si>
    <t>Aditya Nupani</t>
  </si>
  <si>
    <t>23f1002653@ds.study.iitm.ac.in</t>
  </si>
  <si>
    <t>Rahul Maurya</t>
  </si>
  <si>
    <t xml:space="preserve">  https://drive.google.com/file/d/1ULY_BYlZ1UgPwctDHSz8bWCoPzq_RrPX/view?usp=sharing</t>
  </si>
  <si>
    <t>23f2000575@ds.study.iitm.ac.in</t>
  </si>
  <si>
    <t>Vidhatri H R</t>
  </si>
  <si>
    <t>23f2004636@ds.study.iitm.ac.in</t>
  </si>
  <si>
    <t>Akshit Mittal</t>
  </si>
  <si>
    <t>23/03/2026 Monday 12:30 PM - 01:00 PM (Data Science) | Lalit</t>
  </si>
  <si>
    <t>21f1002735@ds.study.iitm.ac.in</t>
  </si>
  <si>
    <t>https://drive.google.com/file/d/1sbxHBnTKxcolXX5ZDSTZZ6WFVmqWzAl6/view?usp=sharing</t>
  </si>
  <si>
    <t>Aniruddan Shrinivasan Iyengar</t>
  </si>
  <si>
    <t>https://drive.google.com/file/d/1gjHj2KHfSH9PHa6LZBzLc6AHpa32Askh/view?usp=sharing</t>
  </si>
  <si>
    <t>Shubham Tiwari</t>
  </si>
  <si>
    <t>24f2001786@ds.study.iitm.ac.in</t>
  </si>
  <si>
    <t>Sharib Ahmad</t>
  </si>
  <si>
    <t>22f1001934@ds.study.iitm.ac.in</t>
  </si>
  <si>
    <t>23f2002096@ds.study.iitm.ac.in</t>
  </si>
  <si>
    <t>Neeraj Kumar</t>
  </si>
  <si>
    <t>23f3000151@ds.study.iitm.ac.in</t>
  </si>
  <si>
    <t>https://drive.google.com/file/d/1uROuR8Zvz4Gfk2xNV2Yb5MmERV6a3gaA/view?usp=drive_link</t>
  </si>
  <si>
    <t>Utkarsh Omre</t>
  </si>
  <si>
    <t>https://drive.google.com/file/d/1-aVk61y8QHF2cpQL-5dFxAFw7DR48WhC/view?usp=sharing</t>
  </si>
  <si>
    <t>22f2001565@ds.study.iitm.ac.in</t>
  </si>
  <si>
    <t>27/04/2026 Monday 04:00 PM - 04:30 PM (Data Science) | Karthik</t>
  </si>
  <si>
    <t xml:space="preserve"> S Radhesree</t>
  </si>
  <si>
    <t>24f1001642@ds.study.iitm.ac.in</t>
  </si>
  <si>
    <t>Nivedita Shill</t>
  </si>
  <si>
    <t>Prajwal Dhote</t>
  </si>
  <si>
    <t>23f2003700@ds.study.iitm.ac.in</t>
  </si>
  <si>
    <t>https://drive.google.com/file/d/1nSZKXyoo4q1cG94R91V_B5dzxMIgYNhY/view?usp=drive_link</t>
  </si>
  <si>
    <t>21f3003238@ds.study.iitm.ac.in</t>
  </si>
  <si>
    <t>Aaryan Choudhary</t>
  </si>
  <si>
    <t>15/05/2026 Friday 08:30 AM - 08:45 AM (Data Science) | Lalit</t>
  </si>
  <si>
    <t>21f1001721@ds.study.iitm.ac.in</t>
  </si>
  <si>
    <t>Shetty Aniket Umesh</t>
  </si>
  <si>
    <t>https://drive.google.com/file/d/1EV-u2QhvSsOQp4rbw7fVclO8iE4BFyhP/view?usp=drivesdk</t>
  </si>
  <si>
    <t>22f3002885@ds.study.iitm.ac.in</t>
  </si>
  <si>
    <t>24/03/2026 Tuesday 12:30 PM - 01:00 PM (Data Science) | Lalit</t>
  </si>
  <si>
    <t>https://drive.google.com/file/d/1I9nSTF_NIAoHtVsZk-_5ssn0HWg3fUIV/view?usp=sharing</t>
  </si>
  <si>
    <t>https://drive.google.com/file/d/1K7-aBwGqZ9iZrR7BwmN7fyZ-XdTLt5SO/view?usp=drivesdk</t>
  </si>
  <si>
    <t>Soham Bharamgonde</t>
  </si>
  <si>
    <t>Sneha Dutta</t>
  </si>
  <si>
    <t>https://drive.google.com/file/d/147eP9Hs5KWGSAiFGHrzD94IiLC-CGknh/view?usp=sharing</t>
  </si>
  <si>
    <t>22f1001401@ds.study.iitm.ac.in</t>
  </si>
  <si>
    <t>SARVEPALLI DAVID SHINE</t>
  </si>
  <si>
    <t>23f1001156@ds.study.iitm.ac.in</t>
  </si>
  <si>
    <t>Rohit B Lakshmanan</t>
  </si>
  <si>
    <t>23f1002471@ds.study.iitm.ac.in</t>
  </si>
  <si>
    <t>21/04/2026 Tuesday 04:30 PM - 05:00 PM (Data Science) | Anamika</t>
  </si>
  <si>
    <t>Ayush Shashikant Jadhav</t>
  </si>
  <si>
    <t>22/05/2026 Friday 11:30 AM - 11:45 AM (Data Science) | Lalit</t>
  </si>
  <si>
    <t>23f2002205@ds.study.iitm.ac.in</t>
  </si>
  <si>
    <t>Pawar Lalith Seervi</t>
  </si>
  <si>
    <t>Drishya shrivastava</t>
  </si>
  <si>
    <t>21f1002425@ds.study.iitm.ac.in</t>
  </si>
  <si>
    <t>TR RITHVIK</t>
  </si>
  <si>
    <t>22f2000244@ds.study.iitm.ac.in</t>
  </si>
  <si>
    <t>Punit Kumar</t>
  </si>
  <si>
    <t>23f2001390@ds.study.iitm.ac.in</t>
  </si>
  <si>
    <t>23f1002051@ds.study.iitm.ac.in</t>
  </si>
  <si>
    <t>D HARICHARAN</t>
  </si>
  <si>
    <t>https://drive.google.com/drive/folders/15cf4vd8QrsJuNSo1S7XkCRJkQSN02Bk-?usp=sharing</t>
  </si>
  <si>
    <t>23f2003807@ds.study.iitm.ac.in</t>
  </si>
  <si>
    <t>Jash Milankumar Mevada</t>
  </si>
  <si>
    <t>https://drive.google.com/file/d/1rtr9UV3cvTl_YoRUAb1hTRQa-ieuY0Jv/view?usp=sharing</t>
  </si>
  <si>
    <t>21f2001257@ds.study.iitm.ac.in</t>
  </si>
  <si>
    <t>https://drive.google.com/file/d/1dr2ap37uMy9pAN48mAIO98noiuZAAbNP/view?usp=sharing</t>
  </si>
  <si>
    <t>Satyaki Goswami</t>
  </si>
  <si>
    <t>23f1002364@ds.study.iitm.ac.in</t>
  </si>
  <si>
    <t>Mohit Tewari</t>
  </si>
  <si>
    <t>https://drive.google.com/file/d/1EPzEVFfYBm92ytjZa-YjuZEaYyF6C5P0/view?usp=sharing</t>
  </si>
  <si>
    <t>24/03/2026 Tuesday 12:00 PM - 12:30 PM (Data Science) | Lalit</t>
  </si>
  <si>
    <t>24f2004508@ds.study.iitm.ac.in</t>
  </si>
  <si>
    <t>Dorothy</t>
  </si>
  <si>
    <t>23f1000718@ds.study.iitm.ac.in</t>
  </si>
  <si>
    <t>Jaskirat Singh Riyat</t>
  </si>
  <si>
    <t>15/05/2026 Friday 04:00 PM - 04:30 PM (Data Science) | Nikitakumari</t>
  </si>
  <si>
    <t>drishya.shrivastava11@gmail.com</t>
  </si>
  <si>
    <t>21f1002373@ds.study.iitm.ac.in</t>
  </si>
  <si>
    <t>23/04/2026 Thursday 04:30 PM - 05:00 PM (Data Science) | Nikitakumari</t>
  </si>
  <si>
    <t>Piyush Jha</t>
  </si>
  <si>
    <t>23f2004577@ds.study.iitm.ac.in</t>
  </si>
  <si>
    <t>Himanshu Singh</t>
  </si>
  <si>
    <t>vivekanand kumawat</t>
  </si>
  <si>
    <t>https://drive.google.com/file/d/1hCoEceiSBzDPu5HWPjRJamQvFM9dhj6W/view?usp=sharing</t>
  </si>
  <si>
    <t>21f1003259@ds.study.iitm.ac.in</t>
  </si>
  <si>
    <t>21f3000961@ds.study.iitm.ac.in</t>
  </si>
  <si>
    <t>Sanket Satish Metrewar</t>
  </si>
  <si>
    <t>https://drive.google.com/file/d/1CQqf9-tLTVvGs8VdT9Ne0uoDvpxQO96o/view?usp=sharing</t>
  </si>
  <si>
    <t>https://drive.google.com/file/d/1l6POI80q2n358eFGV2XjZjdVUySqfIpL/view?usp=sharing</t>
  </si>
  <si>
    <t>https://drive.google.com/file/d/1bt4OhQCj51FEUjM6gZaC3T5GKL8NWxu4/view?usp=sharing</t>
  </si>
  <si>
    <t>21f3000843@ds.study.iitm.ac.in</t>
  </si>
  <si>
    <t>Pranita Sinha</t>
  </si>
  <si>
    <t>https://drive.google.com/file/d/1omR9TB8LXjUCebNoOM7LI2HMDKebTpkY/view?usp=sharing</t>
  </si>
  <si>
    <t>21f2001021@ds.study.iitm.ac.in</t>
  </si>
  <si>
    <t xml:space="preserve">Pragati Sethi </t>
  </si>
  <si>
    <t>22/05/2026 Friday 12:30 PM - 12:45 PM (Data Science) | Lalit</t>
  </si>
  <si>
    <t>23f1001236@ds.study.iitm.ac.in</t>
  </si>
  <si>
    <t>Mahesh Singh Bohra</t>
  </si>
  <si>
    <t xml:space="preserve">Satyaki Goswami </t>
  </si>
  <si>
    <t>https://drive.google.com/file/d/1Q2o7F_CmF2yddPTRNHbfI9ITMt76aQWd/view?usp=sharing</t>
  </si>
  <si>
    <t>20/04/2026 Monday 04:30 PM - 05:00 PM (Data Science) | Lalit</t>
  </si>
  <si>
    <t>22f1001082@ds.study.iitm.ac.in</t>
  </si>
  <si>
    <t>Lakshya Luv Mimani</t>
  </si>
  <si>
    <t>23f2002702@ds.study.iitm.ac.in</t>
  </si>
  <si>
    <t xml:space="preserve">Shilajit Mukherjee </t>
  </si>
  <si>
    <t>https://drive.google.com/file/d/1FJ8g3v3IysXpR3oNcaMDh6Ld15Oow8TV/view?usp=drivesdk</t>
  </si>
  <si>
    <t xml:space="preserve">Shaoni Samanta </t>
  </si>
  <si>
    <t>22f3003124@ds.study.iitm.ac.in</t>
  </si>
  <si>
    <t>Namish Kumar Sahu</t>
  </si>
  <si>
    <t>https://drive.google.com/file/d/1kUrgnXrHUcEAXnY2dnrruZufLVXCxmRZ/view?usp=sharing</t>
  </si>
  <si>
    <t>23f2004210@ds.study.iitm.ac.in</t>
  </si>
  <si>
    <t>https://drive.google.com/file/d/1BRzQeprmL_xbkCfiy4bWQsPJro6n6fQg/view?usp=drivesdk</t>
  </si>
  <si>
    <t>ILESHA SRIVASTAVA</t>
  </si>
  <si>
    <t>23f1001947@ds.study.iitm.ac.in</t>
  </si>
  <si>
    <t>Kulkarni Amit Dilip</t>
  </si>
  <si>
    <t>22f3000794@ds.study.iitm.ac.in</t>
  </si>
  <si>
    <t>20/05/2026 Wednesday 11:15 AM - 11:30 AM (Data Science) | Lalit</t>
  </si>
  <si>
    <t>Garima</t>
  </si>
  <si>
    <t>21/04/2026 Tuesday 04:30 PM - 05:00 PM (Data Science) | Karthik</t>
  </si>
  <si>
    <t>22f3003226@ds.study.iitm.ac.in</t>
  </si>
  <si>
    <t>24/03/2026 Tuesday 11:30 AM - 12:00 PM (Data Science) | Lalit</t>
  </si>
  <si>
    <t>Shibashish Banerjee</t>
  </si>
  <si>
    <t>Anup Swarnsing Patil</t>
  </si>
  <si>
    <t>23f2003212@ds.study.iitm.ac.in</t>
  </si>
  <si>
    <t>Ashish Agarwal</t>
  </si>
  <si>
    <t>23f1002849@ds.study.iitm.ac.in</t>
  </si>
  <si>
    <t xml:space="preserve"> PALLAPU CALEB KUMAR</t>
  </si>
  <si>
    <t>22f3000526@ds.study.iitm.ac.in</t>
  </si>
  <si>
    <t>22f3002016@ds.study.iitm.ac.in</t>
  </si>
  <si>
    <t>https://drive.google.com/file/d/16d_6WIyvZ_oxteiK4u7ylrvsigL7KSwb/view?usp=drive_link</t>
  </si>
  <si>
    <t>Sujit Annasaheb Laware</t>
  </si>
  <si>
    <t>Trisha Vijayekkumaran</t>
  </si>
  <si>
    <t>22f3002914@ds.study.iitm.ac.in</t>
  </si>
  <si>
    <t>https://drive.google.com/file/d/1TLkQuvM3F_8C3taoEVPk2iD255XPEtBf/view?usp=drivesdk</t>
  </si>
  <si>
    <t xml:space="preserve">Gunda Shiva Kumar </t>
  </si>
  <si>
    <t>23f3003719@ds.study.iitm.ac.in</t>
  </si>
  <si>
    <t>22f3001838@ds.study.iitm.ac.in</t>
  </si>
  <si>
    <t>Abhishek Dutta</t>
  </si>
  <si>
    <t>https://drive.google.com/file/d/1a15v6jAsWEvY3EoIQfYk14DkWOy1-P6i/view?usp=drive_link</t>
  </si>
  <si>
    <t xml:space="preserve">Ritik Yadav </t>
  </si>
  <si>
    <t>https://drive.google.com/file/d/1gmbB0rn4vzxoLo-be7ugHWdmgT8g-8-X/view?usp=drivesdk</t>
  </si>
  <si>
    <t>21f2000759@ds.study.iitm.ac.in</t>
  </si>
  <si>
    <t>https://drive.google.com/file/d/197OfHJ_ZBtTEDUF8Lj6exVeC8-wGzoe-/view?usp=sharing</t>
  </si>
  <si>
    <t>Jyotiraditya Saha</t>
  </si>
  <si>
    <t>23f2004089@ds.study.iitm.ac.in</t>
  </si>
  <si>
    <t xml:space="preserve">Ankit Kuniyal </t>
  </si>
  <si>
    <t>23f2000566@ds.study.iitm.ac.in</t>
  </si>
  <si>
    <t>14/05/2026 Thursday 08:45 AM - 09:00 AM (Data Science) | Lalit</t>
  </si>
  <si>
    <t>Shreya Aggarwal</t>
  </si>
  <si>
    <t>21/04/2026 Tuesday 04:00 PM - 04:30 PM (Data Science) | Anamika</t>
  </si>
  <si>
    <t>21f3003066@ds.study.iitm.ac.in</t>
  </si>
  <si>
    <t>Mohd Mafaz</t>
  </si>
  <si>
    <t>ABHILASH KUMAR DAS</t>
  </si>
  <si>
    <t>22f2000088@ds.study.iitm.ac.in</t>
  </si>
  <si>
    <t>Soham Kulkarni</t>
  </si>
  <si>
    <t>https://drive.google.com/file/d/1eTqf5G7rCLwKnfIL7trnxWI_S8Kvg2HM/view?usp=sharing</t>
  </si>
  <si>
    <t>22f3002597@ds.study.iitm.ac.in</t>
  </si>
  <si>
    <t>22f1000610@ds.study.iitm.ac.in</t>
  </si>
  <si>
    <t>https://drive.google.com/file/d/1DW8D37UW4Rhg5gMdy2tj8TkTPMA_KiIJ/view?usp=drive_link</t>
  </si>
  <si>
    <t>S.M. Muzammil Afroz</t>
  </si>
  <si>
    <t>https://drive.google.com/file/d/1xE09sPkfU-VCAFgMOX_aT-2Z9l_sQH7X/view?usp=sharing</t>
  </si>
  <si>
    <t>23f2001566@ds.study.iitm.ac.in</t>
  </si>
  <si>
    <t>GOKUL SIVASUBRAMANIAM</t>
  </si>
  <si>
    <t>23f3003750@ds.study.iitm.ac.in</t>
  </si>
  <si>
    <t>https://drive.google.com/file/d/1SZn-N-9r_Wz9R_YwsgeYhw0JLy2Upzbm/view?usp=drive_link</t>
  </si>
  <si>
    <t>https://drive.google.com/file/d/1OzLcJZA2Bfq9IEYAkQCOYcpKEcV992cj/view?usp=sharing</t>
  </si>
  <si>
    <t>NARAYAN LAL SUTHAR</t>
  </si>
  <si>
    <t>23f2000592@ds.study.iitm.ac.in</t>
  </si>
  <si>
    <t>B Sarveshraj</t>
  </si>
  <si>
    <t>22f1001700@ds.study.iitm.ac.in</t>
  </si>
  <si>
    <t>K RAMACHANDRAN</t>
  </si>
  <si>
    <t>22f2001444@ds.study.iitm.ac.in</t>
  </si>
  <si>
    <t>21/04/2026 Tuesday 04:00 PM - 04:30 PM (Data Science) | Karthik</t>
  </si>
  <si>
    <t>24/03/2026 Tuesday 11:00 AM - 11:30 AM (Data Science) | Lalit</t>
  </si>
  <si>
    <t>20/05/2026 Wednesday 12:15 PM - 12:30 PM (Data Science) | Lalit</t>
  </si>
  <si>
    <t xml:space="preserve">Shiva Kumar </t>
  </si>
  <si>
    <t>Samyuktha Shriram</t>
  </si>
  <si>
    <t>https://drive.google.com/file/d/1fA8bUHbdweCICgwIiXeJAIDq-Wypw5w6/view?usp=drivesdk</t>
  </si>
  <si>
    <t>Deepak kumar</t>
  </si>
  <si>
    <t>21f1003251@ds.study.iitm.ac.in</t>
  </si>
  <si>
    <t>Sachin Singh</t>
  </si>
  <si>
    <t>https://drive.google.com/file/d/1qas9XfSxuMx-2vt6KN4Mt0AbOD79qgsb/view?usp=drivesdk</t>
  </si>
  <si>
    <t>https://drive.google.com/file/d/1jmC2JyXmeqk1tKcbHBJcnB44eGOuDSLN/view?usp=sharing</t>
  </si>
  <si>
    <t>23f2001262@ds.study.iitm.ac.in</t>
  </si>
  <si>
    <t xml:space="preserve">Atul Mishra </t>
  </si>
  <si>
    <t>20/04/2026 Monday 04:00 PM - 04:30 PM (Data Science) | Jimmi</t>
  </si>
  <si>
    <t>22f3002191@ds.study.iitm.ac.in</t>
  </si>
  <si>
    <t>Hiyaa Thaker</t>
  </si>
  <si>
    <t>Shubham Singh</t>
  </si>
  <si>
    <t>22f2000552@ds.study.iitm.ac.in</t>
  </si>
  <si>
    <t>https://drive.google.com/file/d/1xnwCggBHUeT24FLcoUKHHB6dlJrzNxus/view?usp=sharing</t>
  </si>
  <si>
    <t>23f2005282@ds.study.iitm.ac.in</t>
  </si>
  <si>
    <t>Parth Chitranshi</t>
  </si>
  <si>
    <t>20/05/2026 Wednesday 12:30 PM - 12:45 PM (Data Science) | Lalit</t>
  </si>
  <si>
    <t>21f3002914@ds.study.iitm.ac.in</t>
  </si>
  <si>
    <t xml:space="preserve">Sanjay Rajesh Manwani </t>
  </si>
  <si>
    <t>https://drive.google.com/file/d/1SHQGfKyJ8FH9iKz_6IpXfVzOwHUl5yql/view?usp=sharing</t>
  </si>
  <si>
    <t xml:space="preserve">Samadhan Kashinath Patil </t>
  </si>
  <si>
    <t>23f2004912@ds.study.iitm.ac.in</t>
  </si>
  <si>
    <t>Abhijeet Kumar</t>
  </si>
  <si>
    <t>23/03/2026 Monday 11:30 AM - 12:00 PM (Data Science) | Lalit</t>
  </si>
  <si>
    <t>22f3000089@ds.study.iitm.ac.in</t>
  </si>
  <si>
    <t>https://drive.google.com/file/d/1imaIp-tK405dRHi_0ZduvBqmX-d8c6G0/view?usp=drivesdk</t>
  </si>
  <si>
    <t>Samreen Fathima S</t>
  </si>
  <si>
    <t>https://drive.google.com/file/d/1xRqZgrClW1OZ5FE8Ypk05hUX4E5NMmMF/view?usp=sharing</t>
  </si>
  <si>
    <t>23f1003112@ds.study.iitm.ac.in</t>
  </si>
  <si>
    <t>Abhishek Kumar</t>
  </si>
  <si>
    <t>https://drive.google.com/file/d/1lSVn-m783kDepxK3VQqSqwAy1Rlyl8My/view?usp=drivesdk</t>
  </si>
  <si>
    <t>21f3002151@ds.study.iitm.ac.in</t>
  </si>
  <si>
    <t>Saima Zainab Shroff</t>
  </si>
  <si>
    <t>22f3002587@ds.study.iitm.ac.in</t>
  </si>
  <si>
    <t>21/04/2026 Tuesday 04:00 PM - 04:30 PM (Data Science) | Lalit</t>
  </si>
  <si>
    <t>Harshit Tiwari</t>
  </si>
  <si>
    <t>21f3001168@ds.study.iitm.ac.in</t>
  </si>
  <si>
    <t>Arnab Ghosh</t>
  </si>
  <si>
    <t>24f2000777@ds.study.iitm.ac.in</t>
  </si>
  <si>
    <t>Harsh Patel</t>
  </si>
  <si>
    <t>Akshit Garg</t>
  </si>
  <si>
    <t>22/05/2026 Friday 12:45 PM - 01:00 PM (Data Science) | Lalit</t>
  </si>
  <si>
    <t>22f1001058@ds.study.iitm.ac.in</t>
  </si>
  <si>
    <t>21f3002571@ds.study.iitm.ac.in</t>
  </si>
  <si>
    <t>Ghiridharan M G</t>
  </si>
  <si>
    <t>Arya Agrahari</t>
  </si>
  <si>
    <t>22f1000662@ds.study.iitm.ac.in</t>
  </si>
  <si>
    <t>Siddhanth Muragundi</t>
  </si>
  <si>
    <t>24f1002359@ds.study.iitm.ac.in</t>
  </si>
  <si>
    <t>22f3002771@ds.study.iitm.ac.in</t>
  </si>
  <si>
    <t>Kaif Fazal</t>
  </si>
  <si>
    <t>https://drive.google.com/file/d/1UOx5EBwfNbBxGbiWA7kf-QBIh8IqpMtL/view?usp=sharing</t>
  </si>
  <si>
    <t>21f2000502@ds.study.iitm.ac.in</t>
  </si>
  <si>
    <t xml:space="preserve">Subha Bhadra </t>
  </si>
  <si>
    <t>23/03/2026 Monday 11:00 AM - 11:30 AM (Data Science) | Lalit</t>
  </si>
  <si>
    <t>https://drive.google.com/file/d/1tden2CsZtn674Zey7tujeBcc8ZXGWS7n/view?usp=sharing</t>
  </si>
  <si>
    <t>22f2000080@ds.study.iitm.ac.in</t>
  </si>
  <si>
    <t>Abhinandan Godara</t>
  </si>
  <si>
    <t>https://drive.google.com/file/d/1JAZ9xQoIKz8mrAGKVlhlRivzibY_Zq1Z/view?usp=sharing</t>
  </si>
  <si>
    <t>25ds1000082@ds.study.iitm.ac.in</t>
  </si>
  <si>
    <t>G Sandeepp</t>
  </si>
  <si>
    <t>https://drive.google.com/file/d/1Gpg3_ZQ4ybQZ_MMGK1sWZMJi5YpuK90W/view?usp=sharing</t>
  </si>
  <si>
    <t>https://drive.google.com/file/d/1Fe5GCN7CWf7JaXJdzOHNAxQMh2JZCjcx/view?usp=sharing</t>
  </si>
  <si>
    <t xml:space="preserve">Khushi Tiwari </t>
  </si>
  <si>
    <t>23f2004291@ds.study.iitm.ac.in</t>
  </si>
  <si>
    <t>Mili Parashar</t>
  </si>
  <si>
    <t>24f2003480@ds.study.iitm.ac.in</t>
  </si>
  <si>
    <t>20/04/2026 Monday 05:30 PM - 06:00 PM (Data Science) | Lalit</t>
  </si>
  <si>
    <t>Aakash Sharma</t>
  </si>
  <si>
    <t>15/05/2026 Friday 08:00 AM - 08:15 AM (Data Science) | Lalit</t>
  </si>
  <si>
    <t>aryaagrahari871@gmail.com</t>
  </si>
  <si>
    <t>24f1001713@ds.study.iitm.ac.in</t>
  </si>
  <si>
    <t>https://drive.google.com/file/d/1wBEQXKtbguYP0k9U84boTdmxWOV7o3rx/view?usp=sharing</t>
  </si>
  <si>
    <t>Mohamed Asif</t>
  </si>
  <si>
    <t>22f3002045@ds.study.iitm.ac.in</t>
  </si>
  <si>
    <t>SAMTA RANKA</t>
  </si>
  <si>
    <t xml:space="preserve">Adarshom Panigrahi </t>
  </si>
  <si>
    <t>23f1001316@ds.study.iitm.ac.in</t>
  </si>
  <si>
    <t>22f3002698@ds.study.iitm.ac.in</t>
  </si>
  <si>
    <t>D Narendran</t>
  </si>
  <si>
    <t>https://drive.google.com/file/d/16Ueuohz139HlgYNoqdBYWF5EZq_JEp_9/view?usp=drivesdk</t>
  </si>
  <si>
    <t>23f2004839@ds.study.iitm.ac.in</t>
  </si>
  <si>
    <t>https://drive.google.com/file/d/1a9_P4_4C13BWcYyW5bG-IEMsFgXNt3zj/view?usp=sharing</t>
  </si>
  <si>
    <t>Faiz Malik</t>
  </si>
  <si>
    <t>22f2001653@ds.study.iitm.ac.in</t>
  </si>
  <si>
    <t>Programming</t>
  </si>
  <si>
    <t>Tasneem Shahnawaz</t>
  </si>
  <si>
    <t>30/03/2026 Monday 04:30 PM - 05:00 PM (Programming) | Arup</t>
  </si>
  <si>
    <t>23f3003805@ds.study.iitm.ac.in</t>
  </si>
  <si>
    <t>https://drive.google.com/file/d/1IPkUX12m-iJKOtWNXdyuwn80rTHIhoIY/view?usp=drivesdk</t>
  </si>
  <si>
    <t>https://drive.google.com/file/d/1QMDxtQbYdYlG5lzo-4ZLU1F2clyuhcT1/view?usp=sharing</t>
  </si>
  <si>
    <t>Ananya Chakraborty</t>
  </si>
  <si>
    <t>Shreya Harshad Mantry</t>
  </si>
  <si>
    <t>21f2000372@ds.study.iitm.ac.in</t>
  </si>
  <si>
    <t>21f1005555@ds.study.iitm.ac.in</t>
  </si>
  <si>
    <t>sanat kumar  thakuria</t>
  </si>
  <si>
    <t>14/05/2026 Thursday 04:00 PM - 04:30 PM (Data Science) | Mayur</t>
  </si>
  <si>
    <t>23f3002463@ds.study.iitm.ac.in</t>
  </si>
  <si>
    <t>20/04/2026 Monday 04:00 PM - 04:30 PM (Data Science) | Lalit</t>
  </si>
  <si>
    <t xml:space="preserve">ARYVI PATEL </t>
  </si>
  <si>
    <t>https://drive.google.com/file/d/1AZDapGfVcCNex0zn6MrXSjWbHnGstavW/view?usp=sharing</t>
  </si>
  <si>
    <t>Ankit Kumar</t>
  </si>
  <si>
    <t>23f2003519@ds.study.iitm.ac.in</t>
  </si>
  <si>
    <t>Adhyan Mishra</t>
  </si>
  <si>
    <t>23f2000260@ds.study.iitm.ac.in</t>
  </si>
  <si>
    <t>Pingaksha Sahay</t>
  </si>
  <si>
    <t>https://drive.google.com/file/d/13ix8NdlWD8nn3bg2d10jah7_-sOIVhvq/view?usp=sharing</t>
  </si>
  <si>
    <t>https://drive.google.com/file/d/1BRFlndqHUXMD5ECEdQj-Vaz-wOBh04Gc/view?usp=drivesdk</t>
  </si>
  <si>
    <t>Thadeshwar jay jiteshbhai</t>
  </si>
  <si>
    <t>https://drive.google.com/file/d/1G1Nmmtbv-x2CsxBM3mAbyWIcFoV9BdHT/view?usp=sharing</t>
  </si>
  <si>
    <t>23f2004752@ds.study.iitm.ac.in</t>
  </si>
  <si>
    <t>Ansh Bansal</t>
  </si>
  <si>
    <t>https://drive.google.com/file/d/1y9CPtFvjTftiA6BfqmpZ3w_BjaalB8cQ/view?usp=drivesdk</t>
  </si>
  <si>
    <t>https://drive.google.com/file/d/1wiIuK53QB5yeHQITI8lREGsZrsDXw_8D/view?usp=sharing</t>
  </si>
  <si>
    <t>22f3000653@ds.study.iitm.ac.in</t>
  </si>
  <si>
    <t>Riya Agarwal</t>
  </si>
  <si>
    <t>23f3003507@ds.study.iitm.ac.in</t>
  </si>
  <si>
    <t>Aakash Deka</t>
  </si>
  <si>
    <t>23f2003430@ds.study.iitm.ac.in</t>
  </si>
  <si>
    <t>Sibiraj T</t>
  </si>
  <si>
    <t>21f1003816@ds.study.iitm.ac.in</t>
  </si>
  <si>
    <t>28/04/2026 Tuesday 05:30 PM - 06:00 PM (Programming) | Atul</t>
  </si>
  <si>
    <t>Praul Kumar Ayar</t>
  </si>
  <si>
    <t>20/05/2026 Wednesday 11:45 AM - 12:00 PM (Data Science) | Lalit</t>
  </si>
  <si>
    <t>21f1001365@ds.study.iitm.ac.in</t>
  </si>
  <si>
    <t>Daaris Ameen</t>
  </si>
  <si>
    <t>30/03/2026 Monday 04:00 PM - 04:30 PM (Programming) | Arup</t>
  </si>
  <si>
    <t>Jash Mevada</t>
  </si>
  <si>
    <t>22f3001789@ds.study.iitm.ac.in</t>
  </si>
  <si>
    <t>R Arjun Thilak</t>
  </si>
  <si>
    <t>21f1005865@ds.study.iitm.ac.in</t>
  </si>
  <si>
    <t xml:space="preserve">Ravindra Kumar </t>
  </si>
  <si>
    <t xml:space="preserve">Rishav Kumar </t>
  </si>
  <si>
    <t>https://docs.google.com/document/d/1zzkUISYcYB0pUsPj9rbD4Le6m0kh__Aji58kZOu7cjs/edit?usp=sharing</t>
  </si>
  <si>
    <t>https://drive.google.com/file/d/1p0G3_ultsLtSBiUGz78g_4wUPmTOqCUn/view?usp=sharing</t>
  </si>
  <si>
    <t>23f1003150@ds.study.iitm.ac.in</t>
  </si>
  <si>
    <t>24f3000814@ds.study.iitm.ac.in</t>
  </si>
  <si>
    <t>Aryan Dinakaran</t>
  </si>
  <si>
    <t>22f1000455@ds.study.iitm.ac.in</t>
  </si>
  <si>
    <t>Deepanshi</t>
  </si>
  <si>
    <t>https://drive.google.com/file/d/1q9sr5vpfPJMEbxg4uZ4au1Pmt8hYluRA/view?usp=drivesdk</t>
  </si>
  <si>
    <t>23f2004759@ds.study.iitm.ac.in</t>
  </si>
  <si>
    <t>https://drive.google.com/file/d/1FbqkkMNhuXEWx3Vc4MMmfqwXpELAJDBN/view?usp=sharing</t>
  </si>
  <si>
    <t>https://drive.google.com/file/d/1gwIw3m8TYhK6uAkioCKFTjIv7cFObI1D/view?usp=sharing</t>
  </si>
  <si>
    <t>Sujal Raj Pradhan</t>
  </si>
  <si>
    <t>https://drive.google.com/file/d/1q8Qak1ATuHxIOt0XCo1RkZ3Toe2mzhUe/view?usp=drivesdk</t>
  </si>
  <si>
    <t>28/04/2026 Tuesday 05:00 PM - 05:30 PM (Programming) | Atul</t>
  </si>
  <si>
    <t>14/05/2026 Thursday 04:30 PM - 05:00 PM (Data Science) | Karthik</t>
  </si>
  <si>
    <t>22f2000109@ds.study.iitm.ac.in</t>
  </si>
  <si>
    <t>Gokul Amirthan J</t>
  </si>
  <si>
    <t>23f1001709@ds.study.iitm.ac.in</t>
  </si>
  <si>
    <t>SANKET AGRAWAL</t>
  </si>
  <si>
    <t>https://drive.google.com/file/d/1D5zVWMZzTy4OT-4-n2nHgRp8eOTGu33h/view?usp=sharing</t>
  </si>
  <si>
    <t>28/03/2026 Saturday 04:30 PM - 05:00 PM (Programming) | Arup</t>
  </si>
  <si>
    <t>21f3002599@ds.study.iitm.ac.in</t>
  </si>
  <si>
    <t>Chittepu Rajeevan Reddy</t>
  </si>
  <si>
    <t>https://drive.google.com/file/d/1k0beckzE_-ZrLSB0dZohKhjW1kzYfnBP/view?usp=sharing</t>
  </si>
  <si>
    <t>21f1002563@ds.study.iitm.ac.in</t>
  </si>
  <si>
    <t>Paulose Kurian</t>
  </si>
  <si>
    <t xml:space="preserve">Taniya chouhan </t>
  </si>
  <si>
    <t>https://drive.google.com/file/d/1xX7x1mouzmy5JOdoVJATlD7TG4ibZhab/view?usp=sharing</t>
  </si>
  <si>
    <t>13/05/2026 Wednesday 09:30 PM - 09:45 PM (Data Science) | Lalit</t>
  </si>
  <si>
    <t>23f2004955@ds.study.iitm.ac.in</t>
  </si>
  <si>
    <t>Akash O G</t>
  </si>
  <si>
    <t>30/04/2026 Thursday 04:00 PM - 04:30 PM (Data Science) | Nikitakumari</t>
  </si>
  <si>
    <t>23f3000387@ds.study.iitm.ac.in</t>
  </si>
  <si>
    <t xml:space="preserve">Venumadhav R </t>
  </si>
  <si>
    <t xml:space="preserve">Ayush Malviya </t>
  </si>
  <si>
    <t>21f3002277@ds.study.iitm.ac.in</t>
  </si>
  <si>
    <t>Rishi Bhatt</t>
  </si>
  <si>
    <t>VIKASH PRASAD</t>
  </si>
  <si>
    <t>https://drive.google.com/file/d/1NZ-fPg5ICHO_gCvBcDgTJFTal9VuTQa0/view?usp=sharing</t>
  </si>
  <si>
    <t>21f1000330@ds.study.iitm.ac.in</t>
  </si>
  <si>
    <t>https://drive.google.com/file/d/1Fl4SnyUshmiL53jTlxuAr3J3QUGkjFLX/view?usp=drive_link</t>
  </si>
  <si>
    <t>22f3001741@ds.study.iitm.ac.in</t>
  </si>
  <si>
    <t>Archit Samvart</t>
  </si>
  <si>
    <t>https://drive.google.com/drive/folders/1IkTyfqBjuWGMKnxA0Ib-5-cA8tlohFgb?dmr=1&amp;ec=wgc-drive-%5Bmodule%5D-goto</t>
  </si>
  <si>
    <t>21f1001076@ds.study.iitm.ac.in</t>
  </si>
  <si>
    <t>Aryan Tiwari</t>
  </si>
  <si>
    <t>https://drive.google.com/file/d/12KUUXjnzsmmHMCu3qQ_cinAgPG6BO_73/view?usp=drive_link</t>
  </si>
  <si>
    <t>21f1006129@ds.study.iitm.ac.in</t>
  </si>
  <si>
    <t>Katta Midhil</t>
  </si>
  <si>
    <t>28/03/2026 Saturday 04:00 PM - 04:30 PM (Programming) | Arup</t>
  </si>
  <si>
    <t>24dp1000036@ds.study.iitm.ac.in</t>
  </si>
  <si>
    <t>https://drive.google.com/file/d/1_yUc3ihtrL02hF8Voe2Lb2AMdtkVuQMA/view?usp=drive_link</t>
  </si>
  <si>
    <t>Amirtha Varshini E</t>
  </si>
  <si>
    <t>S Radhesree</t>
  </si>
  <si>
    <t>14/05/2026 Thursday 04:00 PM - 04:30 PM (Data Science) | Nikitakumari</t>
  </si>
  <si>
    <t>21f2000283@ds.study.iitm.ac.in</t>
  </si>
  <si>
    <t>Adarsh Pradhan</t>
  </si>
  <si>
    <t>21f3002397@ds.study.iitm.ac.in</t>
  </si>
  <si>
    <t>Neelotpal Dutta</t>
  </si>
  <si>
    <t>https://drive.google.com/file/d/1U_gfc9Bk7DtVxKrDg8K4FXcu_Xthr-Xv/view?usp=sharing</t>
  </si>
  <si>
    <t>01/05/2026 Friday 12:45 PM - 01:00 PM (Data Science) | Lalit</t>
  </si>
  <si>
    <t>22f3001832@ds.study.iitm.ac.in</t>
  </si>
  <si>
    <t>https://drive.google.com/file/d/1ziNYeG2tAcb9GpluFiB1wPMbk5dkjLD5/view?usp=drivesdk</t>
  </si>
  <si>
    <t>Aryan Kohli</t>
  </si>
  <si>
    <t xml:space="preserve">Nivedita Shill </t>
  </si>
  <si>
    <t>22f2001062@ds.study.iitm.ac.in</t>
  </si>
  <si>
    <t>Karan Shrivastava</t>
  </si>
  <si>
    <t>https://drive.google.com/file/d/1TBcEzfYBGWUnlm4EyHZaBqmCsDf8sxHM/view?usp=sharing</t>
  </si>
  <si>
    <t>https://drive.google.com/file/d/1ecHarDtIurfssl8JRof5RTCGfCoJeG2T/view?usp=drivesdk</t>
  </si>
  <si>
    <t>https://drive.google.com/file/d/1r2FlywJo2bge72zHu6R5kD0199iY777H/view?usp=sharing</t>
  </si>
  <si>
    <t>21f2000858@ds.study.iitm.ac.in</t>
  </si>
  <si>
    <t>Tilwani Manan Vasudev</t>
  </si>
  <si>
    <t xml:space="preserve">Arya Agrahari </t>
  </si>
  <si>
    <t>13/05/2026 Wednesday 07:00 PM - 07:30 PM (Data Science) | Mayur</t>
  </si>
  <si>
    <t>https://drive.google.com/file/d/1D1vKqw-uU4rLGfYUVR7tnFNishemqCUn/view?usp=sharing</t>
  </si>
  <si>
    <t>21f1005286@ds.study.iitm.ac.in</t>
  </si>
  <si>
    <t>Rashi Singhal</t>
  </si>
  <si>
    <t>22f2001129@ds.study.iitm.ac.in</t>
  </si>
  <si>
    <t xml:space="preserve">Vishakha Gouri Shankar Roy </t>
  </si>
  <si>
    <t>Sunni Kumar</t>
  </si>
  <si>
    <t>23f1000358@ds.study.iitm.ac.in</t>
  </si>
  <si>
    <t>Rounak Mishra</t>
  </si>
  <si>
    <t>26/03/2026 Thursday 04:00 PM - 04:30 PM (Programming) | Arup</t>
  </si>
  <si>
    <t>21f2000206@ds.study.iitm.ac.in</t>
  </si>
  <si>
    <t>https://drive.google.com/file/d/15H-XMiv68KBywfGHlNgySOPx_5k9ouDj/view?usp=sharing</t>
  </si>
  <si>
    <t>Jhanvii Rawat</t>
  </si>
  <si>
    <t>01/05/2026 Friday 12:30 PM - 12:45 PM (Data Science) | Lalit</t>
  </si>
  <si>
    <t>22f3001657@ds.study.iitm.ac.in</t>
  </si>
  <si>
    <t>niveditashill444@gmail.com</t>
  </si>
  <si>
    <t>Sayan Bhowmick</t>
  </si>
  <si>
    <t>23f1001797@ds.study.iitm.ac.in</t>
  </si>
  <si>
    <t>Hemlata Mahawar</t>
  </si>
  <si>
    <t xml:space="preserve">Vaikhari Kanetkar </t>
  </si>
  <si>
    <t>https://drive.google.com/file/d/1vFis3tWzd4yZ3CsMduQl3O2tHfY5UIl9/view?usp=sharing</t>
  </si>
  <si>
    <t>23f3001196@ds.study.iitm.ac.in</t>
  </si>
  <si>
    <t>Abhishek kumar</t>
  </si>
  <si>
    <t>Vaidisha P Shetty</t>
  </si>
  <si>
    <t>23f3004202@ds.study.iitm.ac.in</t>
  </si>
  <si>
    <t xml:space="preserve">Anjali Malviya </t>
  </si>
  <si>
    <t>https://drive.google.com/file/d/1GX3HJbOFImb5QFxkdt7Be8IU2uKZMAUq/view?usp=drivesdk</t>
  </si>
  <si>
    <t>21f1006339@ds.study.iitm.ac.in</t>
  </si>
  <si>
    <t xml:space="preserve">Ganesh Venkataraman Bharatwaj </t>
  </si>
  <si>
    <t>13/05/2026 Wednesday 09:45 PM - 10:00 PM (Data Science) | Lalit</t>
  </si>
  <si>
    <t>21f2000575@ds.study.iitm.ac.in</t>
  </si>
  <si>
    <t>https://drive.google.com/file/d/1pFEYk-ChoshPWyOt9AqfMsC4gOFXHibW/view?usp=sharing</t>
  </si>
  <si>
    <t>Mohammad Aban Ali</t>
  </si>
  <si>
    <t>https://drive.google.com/file/d/1nzX5rqaapgfqE69VO8J3pi7PxvOxrChr/view?usp=drivesdk</t>
  </si>
  <si>
    <t>Devendra Kumar</t>
  </si>
  <si>
    <t>22f1001086@ds.study.iitm.ac.in</t>
  </si>
  <si>
    <t>21f3000931@ds.study.iitm.ac.in</t>
  </si>
  <si>
    <t>Dushyant Singh Bhadauriya</t>
  </si>
  <si>
    <t>https://drive.google.com/file/d/1K8K5805B3YITKbFk4iYdnIE8fV_w7WtG/view?usp=sharing</t>
  </si>
  <si>
    <t>01/05/2026 Friday 12:15 PM - 12:30 PM (Data Science) | Lalit</t>
  </si>
  <si>
    <t>https://drive.google.com/file/d/1MKS-98fG94yM2TNPFXIU8LcAwO7pYBNw/view?usp=sharing</t>
  </si>
  <si>
    <t>https://drive.google.com/file/d/1abvdrpe4oviGiLL8_HzGS2TB9m-P8QFO/view?usp=sharing</t>
  </si>
  <si>
    <t xml:space="preserve">Adhyan Mishra </t>
  </si>
  <si>
    <t>22f3001138@ds.study.iitm.ac.in</t>
  </si>
  <si>
    <t>Kabir Suhel Jamadar</t>
  </si>
  <si>
    <t>14/05/2026 Thursday 04:30 PM - 05:00 PM (Data Science) | Mayur</t>
  </si>
  <si>
    <t>26/03/2026 Thursday 04:30 PM - 05:00 PM (Programming) | Arup</t>
  </si>
  <si>
    <t>22f2000802@ds.study.iitm.ac.in</t>
  </si>
  <si>
    <t>mohammadaban91@gmail.com</t>
  </si>
  <si>
    <t>Bhabatosh Acharya</t>
  </si>
  <si>
    <t>21f1003066@ds.study.iitm.ac.in</t>
  </si>
  <si>
    <t>Anagha Choudhary</t>
  </si>
  <si>
    <t>22f3001166@ds.study.iitm.ac.in</t>
  </si>
  <si>
    <t>Dalyodh Singh</t>
  </si>
  <si>
    <t xml:space="preserve">Vivekanand kumawat </t>
  </si>
  <si>
    <t>21f1000473@ds.study.iitm.ac.in</t>
  </si>
  <si>
    <t>https://drive.google.com/file/d/1mLPXxrGK-iO9228n_s7pRaW9CVyA0fcf/view?usp=sharing</t>
  </si>
  <si>
    <t>ABHINAV CHINNU</t>
  </si>
  <si>
    <t>22f1000776@ds.study.iitm.ac.in</t>
  </si>
  <si>
    <t>Ravi Teja Ravipati</t>
  </si>
  <si>
    <t>01/05/2026 Friday 12:00 PM - 12:15 PM (Data Science) | Lalit</t>
  </si>
  <si>
    <t>22f3001480@ds.study.iitm.ac.in</t>
  </si>
  <si>
    <t>https://drive.google.com/file/d/138-VEks1l9-jvmVItVBVw8c85BhMsRDm/view?usp=sharing</t>
  </si>
  <si>
    <t>Sidhaarth Shree</t>
  </si>
  <si>
    <t>https://drive.google.com/file/d/1jG6iLvelrosKIBIfHPy8tn-SnFLLlTRb/view?usp=sharing</t>
  </si>
  <si>
    <t>23f2004159@ds.study.iitm.ac.in</t>
  </si>
  <si>
    <t>Anant Luthra</t>
  </si>
  <si>
    <t>Gautam Seyal</t>
  </si>
  <si>
    <t>22f1001536@ds.study.iitm.ac.in</t>
  </si>
  <si>
    <t>21f2000646@ds.study.iitm.ac.in</t>
  </si>
  <si>
    <t>Rohit Prajapat</t>
  </si>
  <si>
    <t>21f1006953@ds.study.iitm.ac.in</t>
  </si>
  <si>
    <t>Sarwar karim akhand</t>
  </si>
  <si>
    <t>https://drive.google.com/file/d/1wkSQwWNfrRR5i0T6_K6dJSoDzhA3RTBA/view?usp=sharing</t>
  </si>
  <si>
    <t>14/05/2026 Thursday 04:00 PM - 04:30 PM (Data Science) | Karthik</t>
  </si>
  <si>
    <t>23f1001420@ds.study.iitm.ac.in</t>
  </si>
  <si>
    <t>Somya</t>
  </si>
  <si>
    <t>21f1004355@ds.study.iitm.ac.in</t>
  </si>
  <si>
    <t>Schwartz Rajadurai Rajamanickam Selvaruby</t>
  </si>
  <si>
    <t xml:space="preserve">Prajwal Dhote </t>
  </si>
  <si>
    <t>22f3000612@ds.study.iitm.ac.in</t>
  </si>
  <si>
    <t xml:space="preserve">Ayushi Prajapati </t>
  </si>
  <si>
    <t>https://drive.google.com/file/d/1dUY1_cTrZU4mV49hSPcQwKx0Tke2yvN5/view?usp=drive_link</t>
  </si>
  <si>
    <t>https://drive.google.com/file/d/1TtGH5gxasCbRzfmW6iywlCuAKyQarzZl/view</t>
  </si>
  <si>
    <t>23f3001747@ds.study.iitm.ac.in</t>
  </si>
  <si>
    <t>Utkarsh</t>
  </si>
  <si>
    <t>https://drive.google.com/file/d/14Q3xZ1Oua43WkHEGl7dNz9JrbSgM6zs7/view?usp=drivesdk</t>
  </si>
  <si>
    <t>22f3001758@ds.study.iitm.ac.in</t>
  </si>
  <si>
    <t>Vikash P</t>
  </si>
  <si>
    <t>23f2004975@ds.study.iitm.ac.in</t>
  </si>
  <si>
    <t>Sreenivasan S</t>
  </si>
  <si>
    <t>22f3002299@ds.study.iitm.ac.in</t>
  </si>
  <si>
    <t>01/05/2026 Friday 11:45 AM - 12:00 PM (Data Science) | Lalit</t>
  </si>
  <si>
    <t xml:space="preserve">Anjali Galav </t>
  </si>
  <si>
    <t>22f3002782@ds.study.iitm.ac.in</t>
  </si>
  <si>
    <t>KhushiTiwari</t>
  </si>
  <si>
    <t>Abhinav Jaswal</t>
  </si>
  <si>
    <t>14/05/2026 Thursday 08:15 AM - 08:30 AM (Data Science) | Lalit</t>
  </si>
  <si>
    <t>22f1000784@ds.study.iitm.ac.in</t>
  </si>
  <si>
    <t>26/03/2026 Thursday 04:30 PM - 05:00 PM (Programming) | Atul</t>
  </si>
  <si>
    <t>Ayush Vats</t>
  </si>
  <si>
    <t>Abhishek Saha</t>
  </si>
  <si>
    <t>23f1001572@ds.study.iitm.ac.in</t>
  </si>
  <si>
    <t>21f1003070@ds.study.iitm.ac.in</t>
  </si>
  <si>
    <t>Soumyabrata Mahapatra</t>
  </si>
  <si>
    <t>https://drive.google.com/file/d/13mqGaH_fKw1OuqL0Oo71MIOOHIg3dObr/view?usp=sharing</t>
  </si>
  <si>
    <t>https://drive.google.com/drive/home</t>
  </si>
  <si>
    <t>23f1002250@ds.study.iitm.ac.in</t>
  </si>
  <si>
    <t xml:space="preserve">Priasha Mukherjee </t>
  </si>
  <si>
    <t>https://drive.google.com/file/d/1rZrT4ctEFVmpJQaqxIHtNjy9ef4z0bOF/view?usp=sharing</t>
  </si>
  <si>
    <t>01/05/2026 Friday 11:30 AM - 11:45 AM (Data Science) | Lalit</t>
  </si>
  <si>
    <t>22f3001315@ds.study.iitm.ac.in</t>
  </si>
  <si>
    <t>Guddu Kumar Mishra</t>
  </si>
  <si>
    <t>Dipshikha</t>
  </si>
  <si>
    <t>23f2001481@ds.study.iitm.ac.in</t>
  </si>
  <si>
    <t>21/05/2026 Thursday 11:15 AM - 11:30 AM (Data Science) | Lalit</t>
  </si>
  <si>
    <t>https://drive.google.com/file/d/1fKlN6yKcK2YJ7fCyZ1iULPsoSf7wzDnw/view?usp=sharing</t>
  </si>
  <si>
    <t>21f3002872@ds.study.iitm.ac.in</t>
  </si>
  <si>
    <t>Tanisha Maheshwari</t>
  </si>
  <si>
    <t>https://drive.google.com/file/d/1nbHBTCuyFVYtJ9DO5U22AeI-cWkBXTe3/view?usp=drive_link</t>
  </si>
  <si>
    <t>22f3001755@ds.study.iitm.ac.in</t>
  </si>
  <si>
    <t xml:space="preserve">Pankaj Kumar Prajapati </t>
  </si>
  <si>
    <t>21f2001203@ds.study.iitm.ac.in</t>
  </si>
  <si>
    <t>PANKAJ MOHAN SAHU</t>
  </si>
  <si>
    <t>https://drive.google.com/file/d/15nSUCe9-4oKLb0yErT-dhCP0Z_yw6eea/view?usp=drivesdk</t>
  </si>
  <si>
    <t>https://drive.google.com/file/d/1J31ZeiohoQ68T0GdXi2rWk5pdjiIt-HP/view?usp=sharing</t>
  </si>
  <si>
    <t>22f2001468@ds.study.iitm.ac.in</t>
  </si>
  <si>
    <t>Sathvik V</t>
  </si>
  <si>
    <t>23f1002240@ds.study.iitm.ac.in</t>
  </si>
  <si>
    <t xml:space="preserve">Roushan Kumar Singh </t>
  </si>
  <si>
    <t>https://drive.google.com/file/d/1T1YzqXUiw2G_k2nVdtN3Wuzmhib66-oe/view?usp=drivesdk</t>
  </si>
  <si>
    <t>21f3002998@ds.study.iitm.ac.in</t>
  </si>
  <si>
    <t>Kaarshnee Dewan</t>
  </si>
  <si>
    <t>23f1001879@ds.study.iitm.ac.in</t>
  </si>
  <si>
    <t>Rahul Sharma</t>
  </si>
  <si>
    <t>01/05/2026 Friday 11:15 AM - 11:30 AM (Data Science) | Lalit</t>
  </si>
  <si>
    <t>23f1000398@ds.study.iitm.ac.in</t>
  </si>
  <si>
    <t>khushbu rawal</t>
  </si>
  <si>
    <t>22f3000364@ds.study.iitm.ac.in</t>
  </si>
  <si>
    <t>22/05/2026 Friday 12:00 PM - 12:15 PM (Data Science) | Lalit</t>
  </si>
  <si>
    <t>Sarita Kumari</t>
  </si>
  <si>
    <t>21f3000500@ds.study.iitm.ac.in</t>
  </si>
  <si>
    <t>Ayush Verma</t>
  </si>
  <si>
    <t>21f2000639@ds.study.iitm.ac.in</t>
  </si>
  <si>
    <t>Dhuri Gaurangi Dattaram</t>
  </si>
  <si>
    <t>21f2000255@ds.study.iitm.ac.in</t>
  </si>
  <si>
    <t>Aaruni Anant Kale</t>
  </si>
  <si>
    <t>01/04/2026 Wednesday 07:30 PM - 08:00 PM (Data Science) | Jimmi</t>
  </si>
  <si>
    <t>21f2000210@ds.study.iitm.ac.in</t>
  </si>
  <si>
    <t>https://drive.google.com/file/d/1eyfd-nKG1JBhJAJ-viY-_jpEtss_brjJ/view?usp=drive_link</t>
  </si>
  <si>
    <t>Simran Sharma</t>
  </si>
  <si>
    <t>23f1000242@ds.study.iitm.ac.in</t>
  </si>
  <si>
    <t>Shubham Sharma</t>
  </si>
  <si>
    <t>https://drive.google.com/file/d/1O06XLBiYr9fZ3QiEzFplRBOBYvKZyuaS/view?usp=drive_link</t>
  </si>
  <si>
    <t>22f1000296@ds.study.iitm.ac.in</t>
  </si>
  <si>
    <t xml:space="preserve">Khushi Kumari </t>
  </si>
  <si>
    <t>21f2000480@ds.study.iitm.ac.in</t>
  </si>
  <si>
    <t xml:space="preserve">Aziz Ahmed </t>
  </si>
  <si>
    <t>Harsh pratap Singh</t>
  </si>
  <si>
    <t>22f3002362@ds.study.iitm.ac.in</t>
  </si>
  <si>
    <t>https://drive.google.com/file/d/1-wsCVyPgfCy1OCx4vpdCVGW3uTfKHuPO/view?usp=sharing</t>
  </si>
  <si>
    <t>Akarsh Gupta</t>
  </si>
  <si>
    <t>22/05/2026 Friday 11:00 AM - 11:15 AM (Data Science) | Lalit</t>
  </si>
  <si>
    <t>21f3003095@ds.study.iitm.ac.in</t>
  </si>
  <si>
    <t xml:space="preserve">Rishav sagar </t>
  </si>
  <si>
    <t>21f3001560@ds.study.iitm.ac.in</t>
  </si>
  <si>
    <t>Parveen</t>
  </si>
  <si>
    <t>23f1003168@ds.study.iitm.ac.in</t>
  </si>
  <si>
    <t xml:space="preserve">Mayank Kumar </t>
  </si>
  <si>
    <t>21f1003639@ds.study.iitm.ac.in</t>
  </si>
  <si>
    <t>Apoorva Gupta</t>
  </si>
  <si>
    <t>21f3002105@ds.study.iitm.ac.in</t>
  </si>
  <si>
    <t>Pratyush Parth</t>
  </si>
  <si>
    <t>22f3000721@ds.study.iitm.ac.in</t>
  </si>
  <si>
    <t xml:space="preserve">Saksham gupta </t>
  </si>
  <si>
    <t>22f2001379@ds.study.iitm.ac.in</t>
  </si>
  <si>
    <t xml:space="preserve">Renee Keerthana Paturi </t>
  </si>
  <si>
    <t>21f1005152@ds.study.iitm.ac.in</t>
  </si>
  <si>
    <t>Advait Vats</t>
  </si>
  <si>
    <t>31/03/2026 Tuesday 04:30 PM - 05:00 PM (Data Science) | Anamika</t>
  </si>
  <si>
    <t>20/05/2026 Wednesday 05:30 PM - 06:00 PM (Programming) | Shivani</t>
  </si>
  <si>
    <t>Ashish Bajaj</t>
  </si>
  <si>
    <t>21f3001936@ds.study.iitm.ac.in</t>
  </si>
  <si>
    <t>21f3001304@ds.study.iitm.ac.in</t>
  </si>
  <si>
    <t>Sarthak Singh Gaur</t>
  </si>
  <si>
    <t>Sujit Laware</t>
  </si>
  <si>
    <t>https://drive.google.com/file/d/1FlYkjhEchru5bQPMVpqCCksMrOwN8bdH/view?usp=sharing</t>
  </si>
  <si>
    <t>https://drive.google.com/file/d/1GMZnDMqrezL6PvnDBAKVDT6pfZEHGZRa/view?usp=sharing</t>
  </si>
  <si>
    <t>https://drive.google.com/file/d/1ie3HlSQtIKLp3bkyz5JUht4NEIbHvFBN/view?usp=sharing</t>
  </si>
  <si>
    <t>21f3001858@ds.study.iitm.ac.in</t>
  </si>
  <si>
    <t>Chinavalkar Prajakta Nitin</t>
  </si>
  <si>
    <t>22f1001182@ds.study.iitm.ac.in</t>
  </si>
  <si>
    <t>Md. Alauddin Ansari</t>
  </si>
  <si>
    <t xml:space="preserve">Harshit Tiwari </t>
  </si>
  <si>
    <t>23f2004097@ds.study.iitm.ac.in</t>
  </si>
  <si>
    <t xml:space="preserve">Deepanshu Kamboj </t>
  </si>
  <si>
    <t>https://drive.google.com/file/d/1bQ6aDMlWKb0RdD2TQVW8mP-laTjv665G/view?usp=sharing</t>
  </si>
  <si>
    <t>21f3001136@ds.study.iitm.ac.in</t>
  </si>
  <si>
    <t>21/05/2026 Thursday 05:30 PM - 06:00 PM (Programming) | Shivani</t>
  </si>
  <si>
    <t xml:space="preserve">Devaanshi Chaudhary </t>
  </si>
  <si>
    <t>https://drive.google.com/file/d/1hU4RGh546o0MXIjwKlOo3rOhLDbMcP8U/view?usp=sharing</t>
  </si>
  <si>
    <t>21f3002640@ds.study.iitm.ac.in</t>
  </si>
  <si>
    <t>Mahesh Sharma</t>
  </si>
  <si>
    <t>22f3003201@ds.study.iitm.ac.in</t>
  </si>
  <si>
    <t>Abhishek Pandia</t>
  </si>
  <si>
    <t>https://drive.google.com/drive/folders/15zpwSWGoKbaSisg10MF7jsTZXp40nrmH</t>
  </si>
  <si>
    <t>22f3002399@ds.study.iitm.ac.in</t>
  </si>
  <si>
    <t>https://drive.google.com/file/d/19Pyk_7vqARDAez5hbznGAdhnLNJDOs9h/view?usp=sharing</t>
  </si>
  <si>
    <t xml:space="preserve">Maan Kaur </t>
  </si>
  <si>
    <t>21f3001256@ds.study.iitm.ac.in</t>
  </si>
  <si>
    <t>Sivakumar P</t>
  </si>
  <si>
    <t>https://drive.google.com/file/d/1d1QqJioNJJRRWyp-g6mxkmJrq-wxsraV/view?usp=drivesdk</t>
  </si>
  <si>
    <t>22f2001300@ds.study.iitm.ac.in</t>
  </si>
  <si>
    <t>Chaudhari Prafullbhai Kanchhibhai</t>
  </si>
  <si>
    <t>21f1000629@ds.study.iitm.ac.in</t>
  </si>
  <si>
    <t>31/03/2026 Tuesday 04:00 PM - 04:30 PM (Data Science) | Anamika</t>
  </si>
  <si>
    <t xml:space="preserve">Satyam Srivastava </t>
  </si>
  <si>
    <t>19/03/2026 Thursday 12:30 PM - 01:00 PM (Data Science) | Lalit</t>
  </si>
  <si>
    <t>21f3002792@ds.study.iitm.ac.in</t>
  </si>
  <si>
    <t>Ravi Kant</t>
  </si>
  <si>
    <t>22/05/2026 Friday 12:15 PM - 12:30 PM (Data Science) | Lalit</t>
  </si>
  <si>
    <t>21f1005729@ds.study.iitm.ac.in</t>
  </si>
  <si>
    <t>Neeraj Yadav</t>
  </si>
  <si>
    <t>https://drive.google.com/file/d/1WGoINZDVxJxlAgrYTzNugmrlvB5HW1Np/view?usp=sharing</t>
  </si>
  <si>
    <t>https://drive.google.com/file/d/1xZr5oa2vTk-UJjA9yGj8le5m4cYwCzWg/view?usp=sharing</t>
  </si>
  <si>
    <t>21f3000759@ds.study.iitm.ac.in</t>
  </si>
  <si>
    <t>https://drive.google.com/file/d/1Za77pmaABHQhNtKC-ItJWzxih5un-E6o/view?usp=sharing</t>
  </si>
  <si>
    <t>https://drive.google.com/file/d/1T7H0GAlEUpZTeMGFSMH79GN4d8Q2pBfi/view?usp=sharing</t>
  </si>
  <si>
    <t>Swati Jain</t>
  </si>
  <si>
    <t>20/03/2026 Friday 07:00 PM - 07:30 PM (Data Science) | Mayur</t>
  </si>
  <si>
    <t>21f1004258@ds.study.iitm.ac.in</t>
  </si>
  <si>
    <t>22/05/2026 Friday 01:00 PM - 01:15 PM (Data Science) | Lalit</t>
  </si>
  <si>
    <t>Debadrita Ghosh</t>
  </si>
  <si>
    <t>23f2000098@ds.study.iitm.ac.in</t>
  </si>
  <si>
    <t>YOGASWETHA SANJAYGANDHI</t>
  </si>
  <si>
    <t>01/04/2026 Wednesday 07:00 PM - 07:30 PM (Data Science) | Jimmi</t>
  </si>
  <si>
    <t>https://drive.google.com/file/d/1L68Kes5MHHVp4uzDfXlNWSRdSDpZfD-4/view?usp=drivesdk</t>
  </si>
  <si>
    <t>22f3001090@ds.study.iitm.ac.in</t>
  </si>
  <si>
    <t>Aman Prakash</t>
  </si>
  <si>
    <t>21f3001175@ds.study.iitm.ac.in</t>
  </si>
  <si>
    <t>Gokuljith K P</t>
  </si>
  <si>
    <t>https://drive.google.com/file/d/11ZcDbRJIlvc4KCmZePHAhYKSyIWR5kTS/view?usp=drivesdk</t>
  </si>
  <si>
    <t xml:space="preserve">Aarush Agarwal </t>
  </si>
  <si>
    <t>23f1002495@ds.study.iitm.ac.in</t>
  </si>
  <si>
    <t>Potipireddy Bhanu Venkata Akhilesh</t>
  </si>
  <si>
    <t>22f3001115@ds.study.iitm.ac.in</t>
  </si>
  <si>
    <t>21f3003026@ds.study.iitm.ac.in</t>
  </si>
  <si>
    <t>20/03/2026 Friday 07:30 PM - 08:00 PM (Data Science) | Mayur</t>
  </si>
  <si>
    <t>Varada N M</t>
  </si>
  <si>
    <t>22f2000961@ds.study.iitm.ac.in</t>
  </si>
  <si>
    <t xml:space="preserve">C Glenn Varshan </t>
  </si>
  <si>
    <t>21f1006870@ds.study.iitm.ac.in</t>
  </si>
  <si>
    <t>21/05/2026 Thursday 12:45 PM - 01:00 PM (Data Science) | Lalit</t>
  </si>
  <si>
    <t>Pal Amitkumar Shish</t>
  </si>
  <si>
    <t>https://drive.google.com/file/d/10UlKudGcl6GfqwSTKbeNsQyOCjrMph_6/view?usp=sharing</t>
  </si>
  <si>
    <t>21f1000344@ds.study.iitm.ac.in</t>
  </si>
  <si>
    <t>SATVIK CHANDRAKAR</t>
  </si>
  <si>
    <t xml:space="preserve">Bhargavi Jaiswal </t>
  </si>
  <si>
    <t>https://drive.google.com/file/d/1z0Lv5kMNniBXoqPCv7TexQ2BbKIEHlll/view?usp=sharing</t>
  </si>
  <si>
    <t>22f1000640@ds.study.iitm.ac.in</t>
  </si>
  <si>
    <t>23f3002094@ds.study.iitm.ac.in</t>
  </si>
  <si>
    <t>Prashant Sharma</t>
  </si>
  <si>
    <t>22f1001090@ds.study.iitm.ac.in</t>
  </si>
  <si>
    <t xml:space="preserve">Akshat Kumar </t>
  </si>
  <si>
    <t>https://drive.google.com/file/d/1q-fuKCYdKP47EYv4CwIwZQKJCM1ZJJ-A/view?usp=sharing</t>
  </si>
  <si>
    <t>https://drive.google.com/file/d/13G0RrFmjFveffWgdVLhkCQDDtxb_oicV/view?usp=sharing</t>
  </si>
  <si>
    <t>22f3002948@ds.study.iitm.ac.in</t>
  </si>
  <si>
    <t>Soham Ghosh</t>
  </si>
  <si>
    <t>https://drive.google.com/file/d/1HI9pIHt1v1dSL7edw1t6CyHIdFUKD01r/view?usp=sharing</t>
  </si>
  <si>
    <t>21f1004301@ds.study.iitm.ac.in</t>
  </si>
  <si>
    <t>Pratik Kumar Jha</t>
  </si>
  <si>
    <t>23f2001985@ds.study.iitm.ac.in</t>
  </si>
  <si>
    <t>https://drive.google.com/file/d/1J3BHa8zz8jC5BSubH2FQ1gzNhknREZsT/view?usp=sharing</t>
  </si>
  <si>
    <t>Mayukh Roy</t>
  </si>
  <si>
    <t>21f1005968@ds.study.iitm.ac.in</t>
  </si>
  <si>
    <t>Abhijeet Mishra</t>
  </si>
  <si>
    <t>31/03/2026 Tuesday 11:45 AM - 12:00 PM (Data Science) | Lalit</t>
  </si>
  <si>
    <t>19/03/2026 Thursday 04:30 PM - 05:00 PM (Programming) | Atul</t>
  </si>
  <si>
    <t>23f2004899@ds.study.iitm.ac.in</t>
  </si>
  <si>
    <t>Diksha Sharma</t>
  </si>
  <si>
    <t>Paramananda Samantara</t>
  </si>
  <si>
    <t>21f1002677@ds.study.iitm.ac.in</t>
  </si>
  <si>
    <t>Valaboju Bharath</t>
  </si>
  <si>
    <t>21/05/2026 Thursday 12:30 PM - 12:45 PM (Data Science) | Lalit</t>
  </si>
  <si>
    <t>22f1001551@ds.study.iitm.ac.in</t>
  </si>
  <si>
    <t xml:space="preserve">Ashish Al Rashid </t>
  </si>
  <si>
    <t xml:space="preserve">Ravisha Shrivastava </t>
  </si>
  <si>
    <t>22f3002384@ds.study.iitm.ac.in</t>
  </si>
  <si>
    <t>https://drive.google.com/file/d/1mpqWz-8WKBy2P8QJuVBRfALypfGGKaXM/view?usp=sharing</t>
  </si>
  <si>
    <t>Garvit Man Singh</t>
  </si>
  <si>
    <t>Anurag Pandey</t>
  </si>
  <si>
    <t>22f1000812@ds.study.iitm.ac.in</t>
  </si>
  <si>
    <t>21f3001076@ds.study.iitm.ac.in</t>
  </si>
  <si>
    <t>Lakshay</t>
  </si>
  <si>
    <t>https://drive.google.com/file/d/18rVG9IiKDx39PVTBMPbV73bnY3cc3bOl/view?usp=sharing</t>
  </si>
  <si>
    <t>21f2000316@ds.study.iitm.ac.in</t>
  </si>
  <si>
    <t xml:space="preserve">Aishwarya Ramesh </t>
  </si>
  <si>
    <t>https://drive.google.com/file/d/14DlK4ajl14lN9ZQNLoJhsR21QoyOwsT-/view?usp=sharing</t>
  </si>
  <si>
    <t>22f3003001@ds.study.iitm.ac.in</t>
  </si>
  <si>
    <t>Disha Raghuwanshi</t>
  </si>
  <si>
    <t>23f1000049@ds.study.iitm.ac.in</t>
  </si>
  <si>
    <t xml:space="preserve">VIJAYAGEETHA V </t>
  </si>
  <si>
    <t>https://drive.google.com/file/d/1H6Q_khePBI42DV7irib2apiFWq37ebXE/view?usp=sharing</t>
  </si>
  <si>
    <t>22f1000756@ds.study.iitm.ac.in</t>
  </si>
  <si>
    <t>https://drive.google.com/file/d/1hX2DT-LPlHjFzvvBhCNPD1o7_1Q4rHn5/view?usp=sharing</t>
  </si>
  <si>
    <t xml:space="preserve">R Rahul Varma </t>
  </si>
  <si>
    <t>22f1000624@ds.study.iitm.ac.in</t>
  </si>
  <si>
    <t>Kanishk N D</t>
  </si>
  <si>
    <t>30/03/2026 Monday 11:30 AM - 11:45 AM (Data Science) | Lalit</t>
  </si>
  <si>
    <t xml:space="preserve">Muskan Periwal </t>
  </si>
  <si>
    <t>19/03/2026 Thursday 06:00 PM - 06:30 PM (Data Science) | Lalit</t>
  </si>
  <si>
    <t>23f3003469@ds.study.iitm.ac.in</t>
  </si>
  <si>
    <t>Prakhar Agrawal</t>
  </si>
  <si>
    <t>21/05/2026 Thursday 11:00 AM - 11:15 AM (Data Science) | Lalit</t>
  </si>
  <si>
    <t>21f2000709@ds.study.iitm.ac.in</t>
  </si>
  <si>
    <t>luvyansh2001@gmail.com</t>
  </si>
  <si>
    <t>Pradeep Mondal</t>
  </si>
  <si>
    <t>https://drive.google.com/file/d/16hi3hj0XinFFgKv5ssx1pd0RrQD7Izic/view?usp=sharing</t>
  </si>
  <si>
    <t>24dp1000038@ds.study.iitm.ac.in</t>
  </si>
  <si>
    <t>Darshan Ganatra</t>
  </si>
  <si>
    <t>Suraj Kumar</t>
  </si>
  <si>
    <t>https://drive.google.com/file/d/1SEX7TP0yIDthFcTAbfEem16TvQWCOXvB/view?usp=sharing</t>
  </si>
  <si>
    <t>22f2000931@ds.study.iitm.ac.in</t>
  </si>
  <si>
    <t>22f3000336@ds.study.iitm.ac.in</t>
  </si>
  <si>
    <t>Rangan Ghosh</t>
  </si>
  <si>
    <t>https://drive.google.com/file/d/11irWen5Fj5M5cZt2FH6YrLokg2McoGGT/view?usp=drive_link</t>
  </si>
  <si>
    <t>23f2003521@ds.study.iitm.ac.in</t>
  </si>
  <si>
    <t>Preeti Maurya</t>
  </si>
  <si>
    <t>22f3001777@ds.study.iitm.ac.in</t>
  </si>
  <si>
    <t xml:space="preserve">Avnish Jajodia </t>
  </si>
  <si>
    <t>23f2004513@ds.study.iitm.ac.in</t>
  </si>
  <si>
    <t>Hanzala Tafzeel</t>
  </si>
  <si>
    <t>https://drive.google.com/file/d/1XasjA669qQjsXL_I915LaOrYpQ0Ln4ui/view?usp=drivesdk</t>
  </si>
  <si>
    <t>23f1001848@ds.study.iitm.ac.in</t>
  </si>
  <si>
    <t>VIVEK SOAM</t>
  </si>
  <si>
    <t>19/03/2026 Thursday 05:30 PM - 06:00 PM (Data Science) | Lalit</t>
  </si>
  <si>
    <t>21f1001439@ds.study.iitm.ac.in</t>
  </si>
  <si>
    <t xml:space="preserve">Deepak Kumar Mahato </t>
  </si>
  <si>
    <t>22f1001807@ds.study.iitm.ac.in</t>
  </si>
  <si>
    <t xml:space="preserve">Wamiq Mushtaq </t>
  </si>
  <si>
    <t>27/03/2026 Friday 12:45 PM - 01:00 PM (Data Science) | Lalit</t>
  </si>
  <si>
    <t>22f2001312@ds.study.iitm.ac.in</t>
  </si>
  <si>
    <t>Pranshu Sinha</t>
  </si>
  <si>
    <t>21/05/2026 Thursday 11:30 AM - 11:45 AM (Data Science) | Lalit</t>
  </si>
  <si>
    <t>22f1000663@ds.study.iitm.ac.in</t>
  </si>
  <si>
    <t>Arshita Gulati</t>
  </si>
  <si>
    <t>https://drive.google.com/drive/folders/1xZNIiTGuyv1Hszfso4rbI60U3Gfne1TF?usp=drive_link</t>
  </si>
  <si>
    <t>https://drive.google.com/file/d/1AqcKEXOXC2KW1fUukE_P4rgdHtEKsCvH/view</t>
  </si>
  <si>
    <t>21f1002287@ds.study.iitm.ac.in</t>
  </si>
  <si>
    <t>VENKATA SAIMURALI YASASWI KAPILA</t>
  </si>
  <si>
    <t>23f1000267@ds.study.iitm.ac.in</t>
  </si>
  <si>
    <t xml:space="preserve">Shashwat Saini </t>
  </si>
  <si>
    <t>24dp3000019@ds.study.iitm.ac.in</t>
  </si>
  <si>
    <t>https://drive.google.com/file/d/1uTCSi8QAZyaNhdNKflSpU1exP38jZmvO/view?usp=drive_link</t>
  </si>
  <si>
    <t>Aditya Basavaraj Narthi</t>
  </si>
  <si>
    <t>https://docs.google.com/document/d/1D5OlM8JbeVHn2rFX956AhdaeyrkK5eNFk1IrtNA09no/edit?usp=sharing</t>
  </si>
  <si>
    <t>22f3003206@ds.study.iitm.ac.in</t>
  </si>
  <si>
    <t xml:space="preserve">Parnikaa Basavanagudi Ramachandra </t>
  </si>
  <si>
    <t>31/03/2026 Tuesday 12:30 PM - 12:45 PM (Data Science) | Lalit</t>
  </si>
  <si>
    <t>21f1001693@ds.study.iitm.ac.in</t>
  </si>
  <si>
    <t>Prasoon Shukla</t>
  </si>
  <si>
    <t>Suhaas P</t>
  </si>
  <si>
    <t>https://drive.google.com/file/d/1lO4qX-vqy6x-MtKC4syRSGzrao64BLPY/view?usp=sharing</t>
  </si>
  <si>
    <t>23f3003434@ds.study.iitm.ac.in</t>
  </si>
  <si>
    <t>21f3000828@ds.study.iitm.ac.in</t>
  </si>
  <si>
    <t>19/03/2026 Thursday 04:00 PM - 04:30 PM (Programming) | Atul</t>
  </si>
  <si>
    <t>Bihari Azarudin Abidbhai</t>
  </si>
  <si>
    <t>https://drive.google.com/file/d/1VgOgZrIJA09gql0hZwAwVctf3XX7h8J2/view?usp=sharing</t>
  </si>
  <si>
    <t>Aarush Agarwal</t>
  </si>
  <si>
    <t>Pardhiv Nukasani</t>
  </si>
  <si>
    <t>21/05/2026 Thursday 11:45 AM - 12:00 PM (Data Science) | Lalit</t>
  </si>
  <si>
    <t>23f2004247@ds.study.iitm.ac.in</t>
  </si>
  <si>
    <t>aksarwar8@gmail.com</t>
  </si>
  <si>
    <t>Pranesh Kumar</t>
  </si>
  <si>
    <t>https://drive.google.com/file/d/1uc0kOGcffBKR3PxD5CttyeTlDKyeBJBe/view?usp=sharing</t>
  </si>
  <si>
    <t>https://drive.google.com/drive/folders/1199vmxAOAw3V7P3-L7KBt9YgmHE-c0iJ?usp=sharing</t>
  </si>
  <si>
    <t>22f2001256@ds.study.iitm.ac.in</t>
  </si>
  <si>
    <t>Hitesh</t>
  </si>
  <si>
    <t>https://drive.google.com/file/d/1qoju7aS9GsB7oipcpx73KWLfJozgQE28/view?usp=drivesdk</t>
  </si>
  <si>
    <t>https://drive.google.com/file/d/1m28anVmeMk94rr4T04G-Zhb8E2v8oxOo/view?usp=sharing</t>
  </si>
  <si>
    <t>31/03/2026 Tuesday 12:45 PM - 01:00 PM (Data Science) | Lalit</t>
  </si>
  <si>
    <t>Drishya Shrivastava</t>
  </si>
  <si>
    <t>https://drive.google.com/file/d/1sIcg5_NPOIlpfFkcUMhBH5oR9Dd_0nCU/view?usp=drivesdk</t>
  </si>
  <si>
    <t>21f2001124@ds.study.iitm.ac.in</t>
  </si>
  <si>
    <t xml:space="preserve">Samriddhi Sinha </t>
  </si>
  <si>
    <t>20/03/2026 Friday 04:30 PM - 05:00 PM (Programming) | Arup</t>
  </si>
  <si>
    <t>22f2001175@ds.study.iitm.ac.in</t>
  </si>
  <si>
    <t xml:space="preserve">Lakshika Sheoran </t>
  </si>
  <si>
    <t>21/05/2026 Thursday 05:00 PM - 05:30 PM (Programming) | Shivani</t>
  </si>
  <si>
    <t>21f3003099@ds.study.iitm.ac.in</t>
  </si>
  <si>
    <t>FASHMINA MOHAMED ABOOBUCKER</t>
  </si>
  <si>
    <t>22f3001778@ds.study.iitm.ac.in</t>
  </si>
  <si>
    <t>https://drive.google.com/file/d/1fuU2GPnHRbfjlikx2z7_KdTiFDrdvrYH/view?usp=drive_link</t>
  </si>
  <si>
    <t>Deepak Singh</t>
  </si>
  <si>
    <t>21f1001956@ds.study.iitm.ac.in</t>
  </si>
  <si>
    <t>Dinesh Kumar Kumawat</t>
  </si>
  <si>
    <t>https://drive.google.com/file/d/1BRFlndqHUXMD5ECEdQj-Vaz-wOBh04Gc/view?usp=sharing</t>
  </si>
  <si>
    <t>22f2000095@ds.study.iitm.ac.in</t>
  </si>
  <si>
    <t>Watham Sabyasachi</t>
  </si>
  <si>
    <t>21f1004153@ds.study.iitm.ac.in</t>
  </si>
  <si>
    <t>Gudikandula Usha Sri</t>
  </si>
  <si>
    <t>21f1000005@ds.study.iitm.ac.in</t>
  </si>
  <si>
    <t>https://drive.google.com/file/d/1M1oUOgDYgU1NnWfTVY0-cg-hA2Bsk2cK/view?usp=sharinghttps://drive.google.com/file/d/1fuU2GPnHRbfjlikx2z7_KdTiFDrdvrYH/view?usp=drive_link</t>
  </si>
  <si>
    <t>Aayush Mittal</t>
  </si>
  <si>
    <t>22f3001534@ds.study.iitm.ac.in</t>
  </si>
  <si>
    <t>https://drive.google.com/file/d/14_CdesZ2rvN6tW7-A2BwDJVPYnH6vlJ6/view?usp=sharing</t>
  </si>
  <si>
    <t>Divyansh Tiwari</t>
  </si>
  <si>
    <t>https://drive.google.com/file/d/13Ejj0sIciJ4V2FH9RjIkyq6nsitrgmJ0/view?usp=sharing</t>
  </si>
  <si>
    <t>23f2003751@ds.study.iitm.ac.in</t>
  </si>
  <si>
    <t xml:space="preserve">Tushar Jalan </t>
  </si>
  <si>
    <t>22f2001226@ds.study.iitm.ac.in</t>
  </si>
  <si>
    <t>30/03/2026 Monday 12:45 PM - 01:00 PM (Data Science) | Lalit</t>
  </si>
  <si>
    <t>https://drive.google.com/file/d/1qXau8y-SK8CJ0fhmlP4j8hdB0XeilhCB/view?usp=sharing</t>
  </si>
  <si>
    <t>Naman Goel</t>
  </si>
  <si>
    <t xml:space="preserve">Apoorva Gupta </t>
  </si>
  <si>
    <t>20/05/2026 Wednesday 05:30 PM - 06:00 PM (Programming) | Atul</t>
  </si>
  <si>
    <t>21f1001547@ds.study.iitm.ac.in</t>
  </si>
  <si>
    <t>Yashwant Raj</t>
  </si>
  <si>
    <t>21f2000857@ds.study.iitm.ac.in</t>
  </si>
  <si>
    <t>Manan Soni</t>
  </si>
  <si>
    <t>https://drive.google.com/file/d/1z-ORuucTnq0AW1FMQCKLuJh0Qx1a9Vnv/view?usp=sharing</t>
  </si>
  <si>
    <t>21f1003987@ds.study.iitm.ac.in</t>
  </si>
  <si>
    <t xml:space="preserve">Ashutosh Narayan </t>
  </si>
  <si>
    <t>19/03/2026 Thursday 05:00 PM - 05:30 PM (Data Science) | Lalit</t>
  </si>
  <si>
    <t>23f2005606@ds.study.iitm.ac.in</t>
  </si>
  <si>
    <t>Shivang Agarwal</t>
  </si>
  <si>
    <t>https://drive.google.com/file/d/1XnZmgVybvAVjzXpWT2jR3Gb79Rd0angb/view?usp=sharing</t>
  </si>
  <si>
    <t>https://drive.google.com/drive/folders/1a0jYoxINKTim4WrX6f6C9SisM7xmz-Vw?usp=sharing</t>
  </si>
  <si>
    <t>21f1004535@ds.study.iitm.ac.in</t>
  </si>
  <si>
    <t>Arjun Sharma</t>
  </si>
  <si>
    <t>21f1004112@ds.study.iitm.ac.in</t>
  </si>
  <si>
    <t>Bhavesh Srihan</t>
  </si>
  <si>
    <t>21f1003825@ds.study.iitm.ac.in</t>
  </si>
  <si>
    <t>31/03/2026 Tuesday 12:15 PM - 12:30 PM (Data Science) | Lalit</t>
  </si>
  <si>
    <t>GUDEME NIKHIL CHAND</t>
  </si>
  <si>
    <t>https://drive.google.com/file/d/1r-SADzmGOP2h2iO4neVkBlkEbUK3lk0B/view?usp=sharing</t>
  </si>
  <si>
    <t>21f3000848@ds.study.iitm.ac.in</t>
  </si>
  <si>
    <t>Kushan Sharma</t>
  </si>
  <si>
    <t>https://drive.google.com/file/d/1ZFzqYbqENYUFZfHtw8O9ZTzXCFf_gXuV/view?usp=sharing</t>
  </si>
  <si>
    <t>https://drive.google.com/drive/folders/1N0hhJZcFLQ_f1OzISYIga6gtNzIKs_EU?usp=sharing</t>
  </si>
  <si>
    <t>21f3001234@ds.study.iitm.ac.in</t>
  </si>
  <si>
    <t>SHRUTI MISHRA</t>
  </si>
  <si>
    <t>21f3000883@ds.study.iitm.ac.in</t>
  </si>
  <si>
    <t>https://drive.google.com/file/d/1ie85Cs5Wya4qy8ZfeNAp-lGHXTqV3Rbp/view?usp=sharing</t>
  </si>
  <si>
    <t>Aruna T</t>
  </si>
  <si>
    <t>21/05/2026 Thursday 04:00 PM - 04:30 PM (Programming) | Satyanarayana</t>
  </si>
  <si>
    <t>21f2000306@ds.study.iitm.ac.in</t>
  </si>
  <si>
    <t>Anjali Gupta</t>
  </si>
  <si>
    <t>22f1000938@ds.study.iitm.ac.in</t>
  </si>
  <si>
    <t>Amisha Mishra</t>
  </si>
  <si>
    <t>21f1000513@ds.study.iitm.ac.in</t>
  </si>
  <si>
    <t>31/03/2026 Tuesday 11:00 AM - 11:15 AM (Data Science) | Lalit</t>
  </si>
  <si>
    <t>21f1004905@ds.study.iitm.ac.in</t>
  </si>
  <si>
    <t>Anupam Kumar Jha</t>
  </si>
  <si>
    <t>19/03/2026 Thursday 11:30 AM - 12:00 PM (Data Science) | Lalit</t>
  </si>
  <si>
    <t xml:space="preserve">Siddhanth Muragundi </t>
  </si>
  <si>
    <t>https://drive.google.com/file/d/1MMeXnkcMRC8gjZbNnAy6lDqrnZ3kwQEw/view?usp=sharing</t>
  </si>
  <si>
    <t>21f1004720@ds.study.iitm.ac.in</t>
  </si>
  <si>
    <t>UMESH ARADHYA P</t>
  </si>
  <si>
    <t>https://drive.google.com/file/d/1MT4MDD-wIsqUgJN92dMAziI3wAseZtHS/view?usp=drivesdk</t>
  </si>
  <si>
    <t>https://drive.google.com/file/d/1XTtZ72YsF8MZFshrXHPsgr36fGsGuVlC/view?usp=sharing</t>
  </si>
  <si>
    <t>23f3002028@ds.study.iitm.ac.in</t>
  </si>
  <si>
    <t>TELAKAPALLI RAMAKRISHNA SREEKAR SARMA</t>
  </si>
  <si>
    <t>23f3000543@ds.study.iitm.ac.in</t>
  </si>
  <si>
    <t>UTSAV JAIN</t>
  </si>
  <si>
    <t>23f1001556@ds.study.iitm.ac.in</t>
  </si>
  <si>
    <t>sidhant kumar</t>
  </si>
  <si>
    <t>https://drive.google.com/file/d/171KQ7AqGd-gyj108njMdpCyesKdugyBJ/view?usp=sharing</t>
  </si>
  <si>
    <t>https://drive.google.com/file/d/1r38XbsiLFPSV0_CHULKBhsjU62ZucdWM/view?usp=drivesdk</t>
  </si>
  <si>
    <t>23f2001831@ds.study.iitm.ac.in</t>
  </si>
  <si>
    <t>Kirandwip Paul</t>
  </si>
  <si>
    <t>20/05/2026 Wednesday 11:00 AM - 11:15 AM (Data Science) | Lalit</t>
  </si>
  <si>
    <t>23f3003542@ds.study.iitm.ac.in</t>
  </si>
  <si>
    <t>Gulshan</t>
  </si>
  <si>
    <t>22f1000748@ds.study.iitm.ac.in</t>
  </si>
  <si>
    <t>Chaitanya Mishra</t>
  </si>
  <si>
    <t>23f2000466@ds.study.iitm.ac.in</t>
  </si>
  <si>
    <t xml:space="preserve">Gautham Krishna S </t>
  </si>
  <si>
    <t>https://drive.google.com/file/d/1xRR_xqUbQ2SbqtsmJKPksufdIQMRFP6p/view?usp=sharing</t>
  </si>
  <si>
    <t>22ds3000107@ds.study.iitm.ac.in</t>
  </si>
  <si>
    <t>Nishtha Vishvakarma</t>
  </si>
  <si>
    <t>21f2001191@ds.study.iitm.ac.in</t>
  </si>
  <si>
    <t>Saarthak Singhal</t>
  </si>
  <si>
    <t>21f2000172@ds.study.iitm.ac.in</t>
  </si>
  <si>
    <t>Aviral Kaintura</t>
  </si>
  <si>
    <t>30/03/2026 Monday 12:30 PM - 12:45 PM (Data Science) | Lalit</t>
  </si>
  <si>
    <t>23f2004225@ds.study.iitm.ac.in</t>
  </si>
  <si>
    <t>Hariom kumar</t>
  </si>
  <si>
    <t>https://drive.google.com/file/d/1rw7xj5WLGl8GqftwZNKPzbzSnToZ2laD/view?usp=drive_link</t>
  </si>
  <si>
    <t>22f2001318@ds.study.iitm.ac.in</t>
  </si>
  <si>
    <t>Pratyush Jadhav</t>
  </si>
  <si>
    <t>21f2000710@ds.study.iitm.ac.in</t>
  </si>
  <si>
    <t>Pratik Dey</t>
  </si>
  <si>
    <t>19/03/2026 Thursday 04:30 PM - 05:00 PM (Data Science) | Lalit</t>
  </si>
  <si>
    <t>23f2002121@ds.study.iitm.ac.in</t>
  </si>
  <si>
    <t>Nimish Shinde</t>
  </si>
  <si>
    <t>22f2000226@ds.study.iitm.ac.in</t>
  </si>
  <si>
    <t>Rushikesh Dnyaneshwar Patare</t>
  </si>
  <si>
    <t>20/05/2026 Wednesday 04:00 PM - 04:30 PM (Programming) | Shubhamy</t>
  </si>
  <si>
    <t>21f1006972@ds.study.iitm.ac.in</t>
  </si>
  <si>
    <t xml:space="preserve">Srishti Singh </t>
  </si>
  <si>
    <t>https://drive.google.com/file/d/1a3R9JiyxNh_t4-wEUwaIJxtMd_e34k8t/view?usp=drivesdk</t>
  </si>
  <si>
    <t>22f1001616@ds.study.iitm.ac.in</t>
  </si>
  <si>
    <t>https://drive.google.com/file/d/1psor718YKY_FTemErGOEOk4fmUGzhX1f/view?usp=sharing</t>
  </si>
  <si>
    <t xml:space="preserve">Abhinav Tiwari </t>
  </si>
  <si>
    <t>https://drive.google.com/file/d/1oLIi3BWHdXg_J9eWbqMSdSWy0BXJisIt/view?usp=sharing</t>
  </si>
  <si>
    <t>21f3002602@ds.study.iitm.ac.in</t>
  </si>
  <si>
    <t xml:space="preserve">Mahi Mudgal </t>
  </si>
  <si>
    <t>24f1001544@ds.study.iitm.ac.in</t>
  </si>
  <si>
    <t xml:space="preserve">Ankit kumar Yadav </t>
  </si>
  <si>
    <t>https://drive.google.com/file/d/1rqigoWIAzfdzpGvg-NENFkNsg6dIAs9d/view?usp=sharing</t>
  </si>
  <si>
    <t>21f2000680@ds.study.iitm.ac.in</t>
  </si>
  <si>
    <t xml:space="preserve">HARINI KUMAR </t>
  </si>
  <si>
    <t>21f2000664@ds.study.iitm.ac.in</t>
  </si>
  <si>
    <t>Eyuvaraj D</t>
  </si>
  <si>
    <t>22f3001551@ds.study.iitm.ac.in</t>
  </si>
  <si>
    <t>Meet Jayesh Jain</t>
  </si>
  <si>
    <t>https://drive.google.com/file/d/1vSXJVBaETCluhYBoRYxspgdXobxhOcrp/view?usp=drivesdk</t>
  </si>
  <si>
    <t>https://drive.google.com/file/d/1h8fqqACdfjbxqk3SuoNW39HJuQoEpAh6/view?usp=sharing</t>
  </si>
  <si>
    <t>23f3000880@ds.study.iitm.ac.in</t>
  </si>
  <si>
    <t>20/05/2026 Wednesday 12:00 PM - 12:15 PM (Data Science) | Lalit</t>
  </si>
  <si>
    <t>SHAIK YASIR HAMEED</t>
  </si>
  <si>
    <t>23f2001475@ds.study.iitm.ac.in</t>
  </si>
  <si>
    <t>DILRAJ SINGH</t>
  </si>
  <si>
    <t>Tushar Jalan</t>
  </si>
  <si>
    <t>22f1001805@ds.study.iitm.ac.in</t>
  </si>
  <si>
    <t>Vikas Rathore</t>
  </si>
  <si>
    <t>27/03/2026 Friday 12:30 PM - 12:45 PM (Data Science) | Lalit</t>
  </si>
  <si>
    <t>https://drive.google.com/file/d/1Tij6rslpAjVLicDDggixGtswMWNJgImS/view?usp=sharing</t>
  </si>
  <si>
    <t>SHETTY ANIKET UMESH</t>
  </si>
  <si>
    <t>21f1002763@ds.study.iitm.ac.in</t>
  </si>
  <si>
    <t>19/03/2026 Thursday 12:00 PM - 12:30 PM (Data Science) | Lalit</t>
  </si>
  <si>
    <t>Chavan Arya Tulshiram</t>
  </si>
  <si>
    <t>22f1001500@ds.study.iitm.ac.in</t>
  </si>
  <si>
    <t>Patare Tejas Satish</t>
  </si>
  <si>
    <t>https://drive.google.com/file/d/12QCuUsiXcSGbuEBJMl2BuyaO_5Yjt4uH/view?usp=drivesdk</t>
  </si>
  <si>
    <t xml:space="preserve">Taniya Chouhan </t>
  </si>
  <si>
    <t>21f1001101@ds.study.iitm.ac.in</t>
  </si>
  <si>
    <t>https://drive.google.com/file/d/1mAuz7PgPUfAoOV97zUbWvP6m-v1z3IVx/view?usp=sharing</t>
  </si>
  <si>
    <t>Nitish Kumar</t>
  </si>
  <si>
    <t>Soham Sachin Kulkarni</t>
  </si>
  <si>
    <t>https://drive.google.com/file/d/16E0Zq9jOoMK2Qbw0cLwB7-eu6RvKgi1d/view?usp=drivesdk</t>
  </si>
  <si>
    <t>21f2001077@ds.study.iitm.ac.in</t>
  </si>
  <si>
    <t>Kanchi Vaishnavi</t>
  </si>
  <si>
    <t>20/05/2026 Wednesday 05:00 PM - 05:30 PM (Programming) | Atul</t>
  </si>
  <si>
    <t>21f2001230@ds.study.iitm.ac.in</t>
  </si>
  <si>
    <t>Sameer Singh</t>
  </si>
  <si>
    <t>Anish Maity</t>
  </si>
  <si>
    <t>21f1003346@ds.study.iitm.ac.in</t>
  </si>
  <si>
    <t>Prateek Sharma</t>
  </si>
  <si>
    <t>Mahesh Ishran</t>
  </si>
  <si>
    <t>22f3002119@ds.study.iitm.ac.in</t>
  </si>
  <si>
    <t>Piyush Kant</t>
  </si>
  <si>
    <t>24dp1000047@ds.study.iitm.ac.in</t>
  </si>
  <si>
    <t>22f3000350@ds.study.iitm.ac.in</t>
  </si>
  <si>
    <t>31/03/2026 Tuesday 12:00 PM - 12:15 PM (Data Science) | Lalit</t>
  </si>
  <si>
    <t>Sai Naman</t>
  </si>
  <si>
    <t>22f3001552@ds.study.iitm.ac.in</t>
  </si>
  <si>
    <t>Khushi Tiwari</t>
  </si>
  <si>
    <t>Rithika R</t>
  </si>
  <si>
    <t>22f3000978@ds.study.iitm.ac.in</t>
  </si>
  <si>
    <t>Abhishek</t>
  </si>
  <si>
    <t>23f1001585@ds.study.iitm.ac.in</t>
  </si>
  <si>
    <t>https://drive.google.com/file/d/1hJqumiytZix0hXIVn_YUiDikBhN1N4rf/view?usp=sharing</t>
  </si>
  <si>
    <t>https://drive.google.com/file/d/1a1k1lQRkAqXhXsP4XnEUIor8rs3zEcPS/view?usp=sharing</t>
  </si>
  <si>
    <t>Budhil Nigam</t>
  </si>
  <si>
    <t>22f2000424@ds.study.iitm.ac.in</t>
  </si>
  <si>
    <t>Dr. Ambrish Balasaheb Naik</t>
  </si>
  <si>
    <t>22f2000957@ds.study.iitm.ac.in</t>
  </si>
  <si>
    <t>Shivani Gupta</t>
  </si>
  <si>
    <t>22f3000657@ds.study.iitm.ac.in</t>
  </si>
  <si>
    <t>Deveshu Pathak</t>
  </si>
  <si>
    <t>21f3002651@ds.study.iitm.ac.in</t>
  </si>
  <si>
    <t>Nikhil Sai Kasireddy</t>
  </si>
  <si>
    <t>22f3003109@ds.study.iitm.ac.in</t>
  </si>
  <si>
    <t xml:space="preserve">Mohit Raj Rathor </t>
  </si>
  <si>
    <t>22f3000818@ds.study.iitm.ac.in</t>
  </si>
  <si>
    <t>19/03/2026 Thursday 11:00 AM - 11:30 AM (Data Science) | Lalit</t>
  </si>
  <si>
    <t>Abhishek Rawat</t>
  </si>
  <si>
    <t>31/03/2026 Tuesday 11:30 AM - 11:45 AM (Data Science) | Lalit</t>
  </si>
  <si>
    <t>23f2003455@ds.study.iitm.ac.in</t>
  </si>
  <si>
    <t>Saisri Vaishnavi Kompella</t>
  </si>
  <si>
    <t>Atul Mishra</t>
  </si>
  <si>
    <t>23f1002830@ds.study.iitm.ac.in</t>
  </si>
  <si>
    <t>Bhavya Goyal</t>
  </si>
  <si>
    <t>https://drive.google.com/file/d/10GF4lehH31we8hNMhhA6YS5sFjQmbZjR/view?usp=drive_link</t>
  </si>
  <si>
    <t>21f1005642@ds.study.iitm.ac.in</t>
  </si>
  <si>
    <t>Tushar Bharti</t>
  </si>
  <si>
    <t>21f3000834@ds.study.iitm.ac.in</t>
  </si>
  <si>
    <t>VIVEK KUMAR</t>
  </si>
  <si>
    <t>https://drive.google.com/file/d/1GD9I9nOajHaoxMcQrN_BZrR2D9qB8GYv/view?usp=sharing</t>
  </si>
  <si>
    <t>https://drive.google.com/file/d/1iHzQigATsVVWtYvYPBx6MTi0Vy-_4qI8/view?usp=drive_link</t>
  </si>
  <si>
    <t>https://drive.google.com/file/d/1CNhRLKjVEoTKD1h-rORfqHWtgflbGQAI/view?usp=drive_link</t>
  </si>
  <si>
    <t>23f3003811@ds.study.iitm.ac.in</t>
  </si>
  <si>
    <t>UNNAYAN SRIVASTAVA</t>
  </si>
  <si>
    <t>21f1004587@ds.study.iitm.ac.in</t>
  </si>
  <si>
    <t>Mandyam Srinivasulu Puja Sri</t>
  </si>
  <si>
    <t>22f1000829@ds.study.iitm.ac.in</t>
  </si>
  <si>
    <t>Abhay Bairagi</t>
  </si>
  <si>
    <t>22f3000819@ds.study.iitm.ac.in</t>
  </si>
  <si>
    <t>31/03/2026 Tuesday 11:15 AM - 11:30 AM (Data Science) | Lalit</t>
  </si>
  <si>
    <t>Shivaditya Bhattacharya</t>
  </si>
  <si>
    <t>https://drive.google.com/file/d/1LUWU7KY2EPm0ug60MGROJdoFgj3Mw16T/view?usp=drive_link</t>
  </si>
  <si>
    <t>21f3001656@ds.study.iitm.ac.in</t>
  </si>
  <si>
    <t>Viraj Devashish Vyas</t>
  </si>
  <si>
    <t>21f3002201@ds.study.iitm.ac.in</t>
  </si>
  <si>
    <t>21f3000611@ds.study.iitm.ac.in</t>
  </si>
  <si>
    <t>https://drive.google.com/file/d/1OVxl-oQNW79MZyerRYW-pp26VZBQGUf8/view?usp=sharing</t>
  </si>
  <si>
    <t>R Sashi Adhithya</t>
  </si>
  <si>
    <t>22f2001659@ds.study.iitm.ac.in</t>
  </si>
  <si>
    <t>Ashutosh utsav</t>
  </si>
  <si>
    <t>22f3001795@ds.study.iitm.ac.in</t>
  </si>
  <si>
    <t>jyoti sharma</t>
  </si>
  <si>
    <t>20/03/2026 Friday 04:30 PM - 05:00 PM (Programming) | Atul</t>
  </si>
  <si>
    <t>https://drive.google.com/file/d/1GV0ZRpBLzbaUNBg_93usBs0NNAt66i4e/view?usp=drive_link</t>
  </si>
  <si>
    <t>23f3003125@ds.study.iitm.ac.in</t>
  </si>
  <si>
    <t>Aditi Singh</t>
  </si>
  <si>
    <t>21f3003030@ds.study.iitm.ac.in</t>
  </si>
  <si>
    <t>ARUN KUMAR</t>
  </si>
  <si>
    <t>21/05/2026 Thursday 04:30 PM - 05:00 PM (Programming) | Adarsh</t>
  </si>
  <si>
    <t>23f1002829@ds.study.iitm.ac.in</t>
  </si>
  <si>
    <t>VIDHYASAAGAR S</t>
  </si>
  <si>
    <t>23f2005432@ds.study.iitm.ac.in</t>
  </si>
  <si>
    <t>Debshata Choudhury</t>
  </si>
  <si>
    <t>30/03/2026 Monday 12:15 PM - 12:30 PM (Data Science) | Lalit</t>
  </si>
  <si>
    <t>22f3002075@ds.study.iitm.ac.in</t>
  </si>
  <si>
    <t>Razvi Syed Sulaim</t>
  </si>
  <si>
    <t>https://drive.google.com/file/d/1zopi9XjsWXBJRc70wTgEPcMJ6dwLw6F9/view?usp=sharing</t>
  </si>
  <si>
    <t>21f1001848@ds.study.iitm.ac.in</t>
  </si>
  <si>
    <t xml:space="preserve">Deveshu Pathak </t>
  </si>
  <si>
    <t>Vishwas Kumawat</t>
  </si>
  <si>
    <t>21f2001411@ds.study.iitm.ac.in</t>
  </si>
  <si>
    <t>Suchita Radheshyam Pal</t>
  </si>
  <si>
    <t>https://drive.google.com/file/d/1b8kJhhwTNoJ1k3M_c35ATHX8pK--6ooM/view?usp=sharing</t>
  </si>
  <si>
    <t>22f2000781@ds.study.iitm.ac.in</t>
  </si>
  <si>
    <t>Agrima Bhatnagar</t>
  </si>
  <si>
    <t>21f2000543@ds.study.iitm.ac.in</t>
  </si>
  <si>
    <t>Praveen Choudhary</t>
  </si>
  <si>
    <t>https://drive.google.com/file/d/1UWhU4-IUWhREU0yzEe3A86iKtNdiSkT9/view?usp=drive_link</t>
  </si>
  <si>
    <t>22f3002024@ds.study.iitm.ac.in</t>
  </si>
  <si>
    <t>ADITYA Aman</t>
  </si>
  <si>
    <t>22f2001632@ds.study.iitm.ac.in</t>
  </si>
  <si>
    <t>20/05/2026 Wednesday 07:30 PM - 08:00 PM (Programming) | Afnan</t>
  </si>
  <si>
    <t>Tannu Kumari</t>
  </si>
  <si>
    <t>21f1004594@ds.study.iitm.ac.in</t>
  </si>
  <si>
    <t>Amal roy</t>
  </si>
  <si>
    <t>24ds1000117@ds.study.iitm.ac.in</t>
  </si>
  <si>
    <t>AISWARYA T</t>
  </si>
  <si>
    <t xml:space="preserve">Sidhant kumar </t>
  </si>
  <si>
    <t>23f2001627@ds.study.iitm.ac.in</t>
  </si>
  <si>
    <t>Harshal Gunjal</t>
  </si>
  <si>
    <t xml:space="preserve"> https://drive.google.com/file/d/1Ppviq-6-YGKCN8jYL4zhNA7SO4TvMK6C/view?usp=sharing</t>
  </si>
  <si>
    <t>21f3002273@ds.study.iitm.ac.in</t>
  </si>
  <si>
    <t>V S Arnav Ajay Krishna</t>
  </si>
  <si>
    <t>22f2000120@ds.study.iitm.ac.in</t>
  </si>
  <si>
    <t>Prashant Kumar</t>
  </si>
  <si>
    <t>21f3001345@ds.study.iitm.ac.in</t>
  </si>
  <si>
    <t>https://drive.google.com/file/d/1KvuAx4KseZ9dR661mqvTbcHiUiBjP-rU/view?usp=sharing</t>
  </si>
  <si>
    <t>Induvardhan Mudigonda</t>
  </si>
  <si>
    <t>22f3001833@ds.study.iitm.ac.in</t>
  </si>
  <si>
    <t>Bristi Biswas</t>
  </si>
  <si>
    <t>23f1002482@ds.study.iitm.ac.in</t>
  </si>
  <si>
    <t>Jaideep Srikakulapu</t>
  </si>
  <si>
    <t>30/03/2026 Monday 11:45 AM - 12:00 PM (Data Science) | Lalit</t>
  </si>
  <si>
    <t>23f3001462@ds.study.iitm.ac.in</t>
  </si>
  <si>
    <t>Tarun Eshwar Vijaianand</t>
  </si>
  <si>
    <t>https://drive.google.com/file/d/1mZVR3klWRe-JQZNlj5x1x9jszhkZ30_9/view?usp=sharing</t>
  </si>
  <si>
    <t xml:space="preserve">Kanchi Vaishnavi </t>
  </si>
  <si>
    <t>24f2006749@ds.study.iitm.ac.in</t>
  </si>
  <si>
    <t>Sakshi Pathak</t>
  </si>
  <si>
    <t>21f1005524@ds.study.iitm.ac.in</t>
  </si>
  <si>
    <t>Bimlesh Kr Kanth</t>
  </si>
  <si>
    <t>21f3003172@ds.study.iitm.ac.in</t>
  </si>
  <si>
    <t>Mohammad Saquib</t>
  </si>
  <si>
    <t>23f3003216@ds.study.iitm.ac.in</t>
  </si>
  <si>
    <t>Hiya Syal</t>
  </si>
  <si>
    <t>https://drive.google.com/file/d/1g6kyGKHQK3Sf9zWKE2JNQsZF3zAh976I/view?usp=sharing</t>
  </si>
  <si>
    <t>21/05/2026 Thursday 04:00 PM - 04:30 PM (Programming) | Atul</t>
  </si>
  <si>
    <t>21f1002552@ds.study.iitm.ac.in</t>
  </si>
  <si>
    <t>sidhantsksk@gmail.com</t>
  </si>
  <si>
    <t>Bhavya Guglani</t>
  </si>
  <si>
    <t>23f2003924@ds.study.iitm.ac.in</t>
  </si>
  <si>
    <t>Muhriz Ali</t>
  </si>
  <si>
    <t>https://drive.google.com/file/d/1QTkpw9ZFYSGA9_AJ_BPYwDgngLSKEA1X/view?usp=sharing</t>
  </si>
  <si>
    <t>21f3002241@ds.study.iitm.ac.in</t>
  </si>
  <si>
    <t>Rohit Vishwas Shinde</t>
  </si>
  <si>
    <t>23f3002004@ds.study.iitm.ac.in</t>
  </si>
  <si>
    <t>Vansh Bansal</t>
  </si>
  <si>
    <t>https://drive.google.com/file/d/1_dXDqRmolyJoobPNt0PIV8JAcIc1lhxY/view?usp=sharing</t>
  </si>
  <si>
    <t>21f1003267@ds.study.iitm.ac.in</t>
  </si>
  <si>
    <t>Abhijeet Kumar Garg</t>
  </si>
  <si>
    <t>30/03/2026 Monday 12:00 PM - 12:15 PM (Data Science) | Lalit</t>
  </si>
  <si>
    <t>Slots (Timing in IST) – Data Science - Internship</t>
  </si>
  <si>
    <t>Slots (Timing in IST) – Data Science - Employment</t>
  </si>
  <si>
    <t>22f2000700@ds.study.iitm.ac.in</t>
  </si>
  <si>
    <t xml:space="preserve">N M PRANITHA </t>
  </si>
  <si>
    <t>Slots (Timing in IST) – Programming - Internship</t>
  </si>
  <si>
    <t>Akash Sharma</t>
  </si>
  <si>
    <t>Slots (Timing in IST) – Programming - Employment</t>
  </si>
  <si>
    <t>21f1005097@ds.study.iitm.ac.in</t>
  </si>
  <si>
    <t>Mundhe Ajit Arun</t>
  </si>
  <si>
    <t>https://drive.google.com/file/d/1Pnl_keG3ML4ltTH1U71ovZFPxzUPbw7m/view?usp=sharing</t>
  </si>
  <si>
    <t>21f3003047@ds.study.iitm.ac.in</t>
  </si>
  <si>
    <t>https://drive.google.com/file/d/1-8KyRYQUNdewcqOHKW2yK-tIYuKqR-rE/view?usp=drive_link</t>
  </si>
  <si>
    <t>Ayush Jain</t>
  </si>
  <si>
    <t>21f3000102@ds.study.iitm.ac.in</t>
  </si>
  <si>
    <t>Aditi Patil</t>
  </si>
  <si>
    <t>21f1004910@ds.study.iitm.ac.in</t>
  </si>
  <si>
    <t>LOKESH KUMAR MAHAWAR</t>
  </si>
  <si>
    <t>https://drive.google.com/file/d/1Tp61WCJSWJe6EX18N6Q2ftvx_UVu1HPv/view?usp=drive_link</t>
  </si>
  <si>
    <t>21/05/2026 Thursday 04:30 PM - 05:00 PM (Programming) | Shubhamy</t>
  </si>
  <si>
    <t>https://drive.google.com/file/d/1ICl4XvnvDVaULmKz_QtIpuT0kIcJ7JFD/view?usp=drive_link</t>
  </si>
  <si>
    <t>23f1002997@ds.study.iitm.ac.in</t>
  </si>
  <si>
    <t>Akbar Ali</t>
  </si>
  <si>
    <t>vivekanandkumawat261@gmail.com</t>
  </si>
  <si>
    <t>21f3002511@ds.study.iitm.ac.in</t>
  </si>
  <si>
    <t>Ripunjay Kumar</t>
  </si>
  <si>
    <t>22f1000201@ds.study.iitm.ac.in</t>
  </si>
  <si>
    <t>https://drive.google.com/file/d/104YvqGild8Vt808vVVGOTIsyetOmMifL/view?usp=drive_link</t>
  </si>
  <si>
    <t>Aseeb Sabu</t>
  </si>
  <si>
    <t>21f2000515@ds.study.iitm.ac.in</t>
  </si>
  <si>
    <t>Aashik Arun Bobade</t>
  </si>
  <si>
    <t>30/03/2026 Monday 11:15 AM - 11:30 AM (Data Science) | Lalit</t>
  </si>
  <si>
    <t>Bhargavi Jaiswal</t>
  </si>
  <si>
    <t>Data Science - Internship</t>
  </si>
  <si>
    <t>23f3000569@es.study.iitm.ac.in</t>
  </si>
  <si>
    <t>24/02/2026 Tuesday 06:00 PM - 06:30 PM (Data Science) | Lalit</t>
  </si>
  <si>
    <t>Md Akmal Raza</t>
  </si>
  <si>
    <t>23f3000652@es.study.iitm.ac.in</t>
  </si>
  <si>
    <t>Kajal</t>
  </si>
  <si>
    <t>https://drive.google.com/drive/folders/14kZIBPyTEeQJMXAt5__5ukHL2_XZHaoR?usp=sharing</t>
  </si>
  <si>
    <t>https://drive.google.com/file/d/1nqg7XV4IOeYGBi_FvAFJf-ebhA5alDUF/view?usp=sharing</t>
  </si>
  <si>
    <t>https://drive.google.com/file/d/1AR7tccXE5zXs4J0FudRDGtEUVqHXP0f2/view?usp=sharing</t>
  </si>
  <si>
    <t>https://drive.google.com/file/d/1OBXuDm1nYAPG9Cxwx-5Lnx0Ont2-k6uH/view?usp=sharing</t>
  </si>
  <si>
    <t>01/04/2026 Wednesday 04:00 PM - 04:30 PM (Programming) | Atul</t>
  </si>
  <si>
    <t>25/02/2026 Wednesday 06:00 PM - 06:30 PM (Data Science) | Lalit</t>
  </si>
  <si>
    <t xml:space="preserve">Rajeev Kumar bhagat </t>
  </si>
  <si>
    <t xml:space="preserve">Deepak singh </t>
  </si>
  <si>
    <t>https://drive.google.com/file/d/1FQUSt5CtWDI-pvNgKpFC7bPduiVjYwEX/view?usp=drivesdk</t>
  </si>
  <si>
    <t>https://drive.google.com/file/d/1JPurK8Ge1SfIzFUGmCdOb9qxw92ZfV0o/view?usp=sharing</t>
  </si>
  <si>
    <t>https://drive.google.com/file/d/1l31UUR3Sfkcuvgapc01Qp2Q5MYuSEy2J/view?usp=sharing</t>
  </si>
  <si>
    <t>https://drive.google.com/file/d/1WhRX0uocF9EEshcS6jD7M6Cf7XSwXcrN/view?usp=drivesdk</t>
  </si>
  <si>
    <t>https://drive.google.com/file/d/1Nl9YZW3Vw2JMMPem0E-GVH8tXaZdaQ6k/view?usp=sharing</t>
  </si>
  <si>
    <t>24/02/2026 Tuesday 06:30 PM - 07:00 PM (Data Science) | Lalit</t>
  </si>
  <si>
    <t>yogaswetha sanjaygandhi</t>
  </si>
  <si>
    <t>https://drive.google.com/file/d/1qLfSx_5m0L24HPkCeCVmkEj2yNZ-DqJv/view?usp=drive_link</t>
  </si>
  <si>
    <t>https://docs.google.com/document/d/1GM-rbGSFSwRbcBjh9naWdoBGLBKlgElz/edit?usp=sharing&amp;ouid=109871065382861790898&amp;rtpof=true&amp;sd=true</t>
  </si>
  <si>
    <t>30/03/2026 Monday 11:00 AM - 11:15 AM (Data Science) | Lalit</t>
  </si>
  <si>
    <t>07/03/2026 Saturday 05:30 PM - 06:00 PM (Data Science) | Manojkumar</t>
  </si>
  <si>
    <t>https://drive.google.com/file/d/16JeH8-awyX4uUeDENa1aiKvKwMdXa8Lz/view?usp=sharing</t>
  </si>
  <si>
    <t xml:space="preserve">Umesh Aradhya P </t>
  </si>
  <si>
    <t xml:space="preserve">Santhuluri Vijaya Bhaskar </t>
  </si>
  <si>
    <t>25/02/2026 Wednesday 06:30 PM - 07:00 PM (Data Science) | Lalit</t>
  </si>
  <si>
    <t>https://drive.google.com/file/d/1ISz5lKeh1EDPDqIsrEBqac2OTG9rr_QK/view?usp=drivesdk</t>
  </si>
  <si>
    <t>https://drive.google.com/file/d/1o2PQmDjUG0lB2ZdPPwvIwoDwBIes0JUh/view?usp=drivesdk</t>
  </si>
  <si>
    <t>https://drive.google.com/file/d/1v4BoGSc-3JFI_xYJQ8bZcuE7Uy3lA4pU/view?usp=drive_link</t>
  </si>
  <si>
    <t>https://drive.google.com/file/d/1yfR8btU-5LRB3G7uUdxlZmA3kMD3g4jQ/view?usp=drivesdk</t>
  </si>
  <si>
    <t>https://drive.google.com/file/d/1Ucq-3ay1Fi5IbJz7QuWlZcX5liyp06Yt/view?usp=drivesdk</t>
  </si>
  <si>
    <t>https://drive.google.com/file/d/1G7PFQvTG4FuzTuV-n-NXnXMALFKf-d95/view?usp=drive_link</t>
  </si>
  <si>
    <t>27/03/2026 Friday 11:00 AM - 11:15 AM (Data Science) | Lalit</t>
  </si>
  <si>
    <t>07/03/2026 Saturday 05:00 PM - 05:30 PM (Data Science) | Manojkumar</t>
  </si>
  <si>
    <t>Data Science - Employment</t>
  </si>
  <si>
    <t>26/02/2026 Thursday 06:30 PM - 07:00 PM (Data Science) | Lalit</t>
  </si>
  <si>
    <t>https://drive.google.com/file/d/11IWTqo2_TPXCqLk6fySiuXhT5YGrAwB5/view?usp=sharing</t>
  </si>
  <si>
    <t>udghosh rao</t>
  </si>
  <si>
    <t>https://drive.google.com/file/d/1N-2uWCwCBQE-sEJjsZ_O3ThlNA0e_CYK/view?usp=sharing</t>
  </si>
  <si>
    <t>https://drive.google.com/file/d/1DMgWHobfoT7XLdSqrgqxj5gczv_cJzxY/view?usp=sharing</t>
  </si>
  <si>
    <t>06/03/2026 Friday 04:30 PM - 05:00 PM (Data Science) | Manojkumar</t>
  </si>
  <si>
    <t>26/02/2026 Thursday 06:00 PM - 06:30 PM (Data Science) | Lalit</t>
  </si>
  <si>
    <t>02/04/2026 Thursday 04:00 PM - 04:30 PM (Programming) | Atul</t>
  </si>
  <si>
    <t>https://drive.google.com/file/d/1NNWuU0gOL065yEIta_yVeyBUeMuOJP0G/view?usp=sharing</t>
  </si>
  <si>
    <t>https://drive.google.com/file/d/1nmK3YhD3pvrqYIAQA3Xcl9NlEGeM8c94/view?usp=sharing</t>
  </si>
  <si>
    <t xml:space="preserve">B Sarveshraj </t>
  </si>
  <si>
    <t>https://drive.google.com/file/d/17RfAzrZqCFU2b4LJqzrN9Y7sYQlrLqSI/view?usp=sharing</t>
  </si>
  <si>
    <t>https://drive.google.com/file/d/11Xn_dR25H7SDxcc5x0ctmSrPLuuUtdVQ/view?usp=sharing</t>
  </si>
  <si>
    <t>https://drive.google.com/file/d/1QvorqAKU8pCe3XomlnOdDeynMj-BBiRO/view?usp=sharing</t>
  </si>
  <si>
    <t>02/03/2026 Monday 04:00 PM - 04:30 PM (Data Science) | Jimmi</t>
  </si>
  <si>
    <t>06/03/2026 Friday 05:30 PM - 06:00 PM (Data Science) | Manojkumar</t>
  </si>
  <si>
    <t>https://drive.google.com/file/d/1hWTZlzELzDEg5SpqTpjualIubRVzBhay/view?usp=sharing</t>
  </si>
  <si>
    <t>https://drive.google.com/file/d/1nvL01xLUhpZP-nPnmEYQE0YNT2r_O_bV/view?usp=sharing</t>
  </si>
  <si>
    <t>01/04/2026 Wednesday 07:30 PM - 08:00 PM (Programming) | Shubhammaurya</t>
  </si>
  <si>
    <t>https://drive.google.com/file/d/1xPbr5zqiGkiw3XDDHPB8AcwS-eLEJoRg/view?usp=sharing</t>
  </si>
  <si>
    <t>https://drive.google.com/file/d/1eqYqkXW0CojtJb9NSHOiyEipnSWUUfAa/view?usp=sharing</t>
  </si>
  <si>
    <t>02/03/2026 Monday 04:30 PM - 05:00 PM (Data Science) | Jimmi</t>
  </si>
  <si>
    <t>Kanishk</t>
  </si>
  <si>
    <t>06/03/2026 Friday 05:00 PM - 05:30 PM (Data Science) | Manojkumar</t>
  </si>
  <si>
    <t>https://drive.google.com/file/d/1NHxqrLSswufWnvMwJr6vmqDFfzhdz8HF/view?usp=drivesdk</t>
  </si>
  <si>
    <t xml:space="preserve">Shruti Mishra </t>
  </si>
  <si>
    <t>https://drive.google.com/file/d/1t-0MOuczF_qheJwIGqblM_3Cd_hXbws9/view?usp=sharing</t>
  </si>
  <si>
    <t>https://drive.google.com/file/d/1LvESCxXVX7xYxmIv9kSf_CgYI9fIv0Ll/view?usp=drive_link</t>
  </si>
  <si>
    <t>https://drive.google.com/file/d/1t5eyWCJourpwjcegCgZVxyvaH_x10iIX/view?usp=drivesdk</t>
  </si>
  <si>
    <t>https://drive.google.com/file/d/1tBADokdx1igwsoMnfKvi8l2GCax7uxqM/view?usp=sharing</t>
  </si>
  <si>
    <t>https://drive.google.com/file/d/1bF7NWnv4SPJun9sdWBm7nfLUIze7iJ8F/view?usp=sharing</t>
  </si>
  <si>
    <t>05/03/2026 Thursday 06:30 PM - 07:00 PM (Data Science) | Nikita</t>
  </si>
  <si>
    <t>Ashish Al Rashid</t>
  </si>
  <si>
    <t>01/04/2026 Wednesday 04:30 PM - 05:00 PM (Programming) | Atul</t>
  </si>
  <si>
    <t>06/03/2026 Friday 12:00 PM - 12:30 PM (Data Science) | Lalit</t>
  </si>
  <si>
    <t>https://drive.google.com/file/d/1R71UwJmqYWgTQTXvBUpLBcaK39eH2Mex/view?usp=sharing</t>
  </si>
  <si>
    <t>https://drive.google.com/file/d/1ob27G7-RMdgEJNxWgullGTox9pdWp0bC/view?usp=sharing</t>
  </si>
  <si>
    <t>https://drive.google.com/file/d/1ZUllzGsFyYICqMj0rlXoRt2vj9dAK-qP/view?usp=sharing</t>
  </si>
  <si>
    <t>https://drive.google.com/file/d/1E7NuH_0XkpXQKRftBU7L6LAHKNwX3hzf/view?usp=sharing</t>
  </si>
  <si>
    <t>https://drive.google.com/file/d/16v4fMMffnJDyQBt71Mr4oBPKPNjjqZuz/view?usp=sharing</t>
  </si>
  <si>
    <t>https://drive.google.com/file/d/1sIcg5_NPOIlpfFkcUMhBH5oR9Dd_0nCU/view?usp=sharing</t>
  </si>
  <si>
    <t>Programming - Internship</t>
  </si>
  <si>
    <t>03/03/2026 Tuesday 04:00 PM - 04:30 PM (Programming) | Satyanarayana</t>
  </si>
  <si>
    <t>06/03/2026 Friday 11:30 AM - 12:00 PM (Data Science) | Lalit</t>
  </si>
  <si>
    <t>01/04/2026 Wednesday 07:00 PM - 07:30 PM (Programming) | Shubhammaurya</t>
  </si>
  <si>
    <t>https://drive.google.com/drive/folders/1DxCNiLRMTTEWCqSVbI9SSvRXaYlMnBzw?usp=sharing</t>
  </si>
  <si>
    <t>https://drive.google.com/file/d/19LjDiPDybot0ylCD4TzxmNh0_kz8RgYG/view?usp=sharing</t>
  </si>
  <si>
    <t>https://drive.google.com/file/d/13FxjqlV--iJdkhvB4e5FyrpNu72hP22r/view?usp=sharing</t>
  </si>
  <si>
    <t>12/03/2026 Thursday 07:30 PM - 08:00 PM (Data Science) | Mayur</t>
  </si>
  <si>
    <t>https://drive.google.com/file/d/1GdLympUhsuhjeDRe60ia_VrVNk7pukfG/view?usp=sharing</t>
  </si>
  <si>
    <t>Shweta Vyas</t>
  </si>
  <si>
    <t>05/03/2026 Thursday 11:00 AM - 11:30 AM (Data Science) | Lalit</t>
  </si>
  <si>
    <t>https://drive.google.com/file/d/17Ko2PAmnh4ohNNagB0tPW2kT-XGiAaqR/view?usp=sharing</t>
  </si>
  <si>
    <t>27/03/2026 Friday 12:00 PM - 12:15 PM (Data Science) | Lalit</t>
  </si>
  <si>
    <t>https://drive.google.com/file/d/1vML_nkxuaJvm8jEDR2SHxdm7kxk60Cvl/view?usp=drive_link</t>
  </si>
  <si>
    <t xml:space="preserve">Nishant Joshi </t>
  </si>
  <si>
    <t>12/03/2026 Thursday 07:00 PM - 07:30 PM (Data Science) | Mayur</t>
  </si>
  <si>
    <t>https://drive.google.com/file/d/1iuASNHabbR_DsJB8fkO3Vrua07sY83wl/view?usp=sharing</t>
  </si>
  <si>
    <t>https://drive.google.com/file/d/1p5HWknnbV7SUvpXnUcc4qkRyOeE_j1l3/view?usp=sharing</t>
  </si>
  <si>
    <t>https://drive.google.com/file/d/1NpKBYx8hiJAW2AfznpwoD5keALd1N-M5/view?usp=sharing</t>
  </si>
  <si>
    <t>13/03/2026 Friday 07:30 PM - 08:00 PM (Programming) | Afnan</t>
  </si>
  <si>
    <t>https://drive.google.com/file/d/13jqcGIZZ7fNcaYwVZIUD57M6zKPEfvld/view?usp=sharing</t>
  </si>
  <si>
    <t>https://drive.google.com/file/d/1WCm4c4Of4DRncP7WqPcpSwpT1MmmWaGN/view?usp=drive_link</t>
  </si>
  <si>
    <t>04/03/2026 Wednesday 05:00 PM - 05:30 PM (Programming) | Arup</t>
  </si>
  <si>
    <t>https://drive.google.com/file/d/1xRqZgrClW1OZ5FE8Ypk05hUX4E5NMmMF/view?usp=drive_link</t>
  </si>
  <si>
    <t>10/03/2026 Tuesday 06:00 PM - 06:30 PM (Data Science) | Nikitakumari</t>
  </si>
  <si>
    <t>27/03/2026 Friday 11:45 AM - 12:00 PM (Data Science) | Lalit</t>
  </si>
  <si>
    <t>https://drive.google.com/file/d/1MoPraEtuP2LSaC-klZ5p3MViEMFwFuN8/view?usp=sharing</t>
  </si>
  <si>
    <t>Shaoni Samanta</t>
  </si>
  <si>
    <t>https://drive.google.com/file/d/1WuBaxrmqveTCFXkvQ_9AHAA0F0sKa8L5/view?usp=drive_link</t>
  </si>
  <si>
    <t>https://drive.google.com/file/d/17b2G8j1HOa1rTveYtlvTlR8VRN4My1sO/view?usp=drive_link</t>
  </si>
  <si>
    <t>https://drive.google.com/file/d/1abW16VqQVyP1kvZH5b_NqOI8VoDcjD7G/view?usp=sharing</t>
  </si>
  <si>
    <t>09/03/2026 Monday 07:30 PM - 08:00 PM (Data Science) | Mayur</t>
  </si>
  <si>
    <t xml:space="preserve">Madhan Karthikeyan </t>
  </si>
  <si>
    <t>https://drive.google.com/file/d/1Ns_mYzSMTjETrzkrej4xzQtKYtlEWQpI/view?usp=sharing</t>
  </si>
  <si>
    <t>04/03/2026 Wednesday 05:30 PM - 06:00 PM (Programming) | Arup</t>
  </si>
  <si>
    <t>https://drive.google.com/file/d/1GVeMonNOMJ62Mcq0dIBsqYdT1FBGIoyS/view?usp=sharing</t>
  </si>
  <si>
    <t>https://drive.google.com/file/d/1SvkkqMmszEemQNIMMjUqRXSbNn160f_8/view?usp=sharing</t>
  </si>
  <si>
    <t>10/03/2026 Tuesday 11:30 AM - 12:00 PM (Data Science) | Lalit</t>
  </si>
  <si>
    <t>N.M.PRANITHA</t>
  </si>
  <si>
    <t>https://drive.google.com/file/d/1uuZ5tbpn21sINUN4LwdVacaDh5Y-rd2y/view?usp=sharing</t>
  </si>
  <si>
    <t>27/03/2026 Friday 11:30 AM - 11:45 AM (Data Science) | Lalit</t>
  </si>
  <si>
    <t>https://drive.google.com/file/d/1x8ryKjDfPJtgnivLsLd90OqckAeNvG2w/view?usp=drive_link</t>
  </si>
  <si>
    <t>https://drive.google.com/file/d/1XYP8sSL8nmIZCWO_OFPQsXV2tk79_uag/view?usp=sharing</t>
  </si>
  <si>
    <t>https://drive.google.com/file/d/1mBe6YRky67sMXAlvjJJsjNSJH6vj0tGH/view?usp=sharing</t>
  </si>
  <si>
    <t>10/03/2026 Tuesday 04:30 PM - 05:00 PM (Data Science) | Anamika</t>
  </si>
  <si>
    <t>04/03/2026 Wednesday 04:30 PM - 05:00 PM (Programming) | Arup</t>
  </si>
  <si>
    <t>https://drive.google.com/file/d/15q2VR9u5KD2RiSIkslbr5FZj75JwWZ6i/view?usp=sharing</t>
  </si>
  <si>
    <t>https://drive.google.com/file/d/1kcVhDIfv6xvjL80xocZd7aGWx_yZoNjo/view?usp=sharing</t>
  </si>
  <si>
    <t>https://drive.google.com/file/d/1BXU2iU5i0HH_CDohoT6zJuBe_b0S0Qlb/view?usp=sharing</t>
  </si>
  <si>
    <t>https://drive.google.com/file/d/1aVnjKF4Xb0GkXYEI-5qNV4R0EOyRlnQU/view?usp=drive_link</t>
  </si>
  <si>
    <t>10/03/2026 Tuesday 12:30 PM - 01:00 PM (Data Science) | Lalit</t>
  </si>
  <si>
    <t>30/03/2026 Monday 05:30 PM - 06:00 PM (Programming) | Satyanarayana</t>
  </si>
  <si>
    <t>https://drive.google.com/file/d/1Cuts0agkUm3AvyRC3BmvE0Nh676zk_sP/view?usp=drive_link</t>
  </si>
  <si>
    <t>https://drive.google.com/file/d/1j-xBhK7qZC5dClp4XJrHYg31WLTukuDg/view?usp=sharing</t>
  </si>
  <si>
    <t>https://drive.google.com/file/d/1Kvc82c-KvjGsxMmPICtiDlmhMVHXkqKz/view?usp=sharing</t>
  </si>
  <si>
    <t>04/03/2026 Wednesday 04:00 PM - 04:30 PM (Programming) | Arup</t>
  </si>
  <si>
    <t>10/03/2026 Tuesday 06:30 PM - 07:00 PM (Data Science) | Nikitakumari</t>
  </si>
  <si>
    <t>https://drive.google.com/file/d/1hiH1Yybmb73ySIoTfYxRGCcrsfkMfpGi/view?usp=drivesdk</t>
  </si>
  <si>
    <t>Arjun Thilak</t>
  </si>
  <si>
    <t xml:space="preserve">Tushar Gautam </t>
  </si>
  <si>
    <t>https://drive.google.com/file/d/1cLhXsH7KuOcLg3-3gLUDfwMIhqyN5hlx/view?usp=sharing</t>
  </si>
  <si>
    <t>https://drive.google.com/file/d/1wrhTefPDTSAqr6u3qniVKA0QHU8f48Ft/view?usp=drivesdk</t>
  </si>
  <si>
    <t>https://drive.google.com/file/d/1Hd5Dnokm0yF4Xiv1QxiAivkdEoF5ssSt/view?usp=sharing</t>
  </si>
  <si>
    <t>https://drive.google.com/file/d/1EaeiSTG26e5s6pVxdpOA1OBA1d_21j6u/view?usp=drivesdk</t>
  </si>
  <si>
    <t>10/03/2026 Tuesday 04:00 PM - 04:30 PM (Data Science) | Anamika</t>
  </si>
  <si>
    <t>https://drive.google.com/file/d/1zaT8ZJ2jJHPAfeKp2TSEiXos49xSNRXY/view?usp=drivesdk</t>
  </si>
  <si>
    <t>https://drive.google.com/file/d/1k5ikfdOzivddft9HmkYAJn4ZClvTa5TK/view?usp=sharing</t>
  </si>
  <si>
    <t>30/03/2026 Monday 06:30 PM - 07:00 PM (Data Science) | Vishal</t>
  </si>
  <si>
    <t xml:space="preserve">Jaskirat Singh Riyat </t>
  </si>
  <si>
    <t>02/03/2026 Monday 04:00 PM - 04:30 PM (Programming) | Arup</t>
  </si>
  <si>
    <t>10/03/2026 Tuesday 12:00 PM - 12:30 PM (Data Science) | Lalit</t>
  </si>
  <si>
    <t>Adarshom Panigrahi</t>
  </si>
  <si>
    <t>https://drive.google.com/file/d/1RTKFcFXn97DxVyTgUp7f-EFqVzJ0Ve-h/view?usp=sharing</t>
  </si>
  <si>
    <t>A</t>
  </si>
  <si>
    <t>09/03/2026 Monday 06:30 PM - 07:00 PM (Data Science) | Nikitakumari</t>
  </si>
  <si>
    <t>https://drive.google.com/file/d/1aMLEI-rtz_wannnKUXAPfRpMYgGQiDwK/view?usp=sharing</t>
  </si>
  <si>
    <t>https://drive.google.com/file/d/1eyfd-nKG1JBhJAJ-viY-_jpEtss_brjJ/view?usp=sharing</t>
  </si>
  <si>
    <t>https://drive.google.com/file/d/19_QcuwAdT6vOy4-woAyRfarETH1L7-yd/view?usp=sharing</t>
  </si>
  <si>
    <t>https://drive.google.com/file/d/1O06XLBiYr9fZ3QiEzFplRBOBYvKZyuaS/view?usp=sharing</t>
  </si>
  <si>
    <t>10/03/2026 Tuesday 11:00 AM - 11:30 AM (Data Science) | Lalit</t>
  </si>
  <si>
    <t xml:space="preserve">Ashish Agarwal </t>
  </si>
  <si>
    <t>28/03/2026 Saturday 04:00 PM - 04:30 PM (Data Science) | Mayur</t>
  </si>
  <si>
    <t>04/03/2026 Wednesday 04:00 PM - 04:30 PM (Data Science) | Anamika</t>
  </si>
  <si>
    <t>Rasiga. B</t>
  </si>
  <si>
    <t>09/03/2026 Monday 06:00 PM - 06:30 PM (Data Science) | Nikitakumari</t>
  </si>
  <si>
    <t>https://drive.google.com/file/d/1tI5EhclzZ4EqDO9mQ9oH59xpeoHrPi0W/view?usp=sharing</t>
  </si>
  <si>
    <t>https://drive.google.com/file/d/1zA06ykxUNA1JtZ1u3nE5qljbkrn88AH3/view?usp=drivesdk</t>
  </si>
  <si>
    <t>https://drive.google.com/file/d/1o-avkZpdw09qQgwACqZxaK6R3vGbtuyc/view?usp=sharing</t>
  </si>
  <si>
    <t>https://drive.google.com/file/d/1qltq4fn_R_v5Alk4TOPjADM1IH9iywVK/view?usp=sharing</t>
  </si>
  <si>
    <t>https://drive.google.com/file/d/1aCN3RnxdiyZ6iTOKy05d8oSXAy6Vbn7J/view?usp=drivesdk</t>
  </si>
  <si>
    <t>https://drive.google.com/file/d/1qfzollNy58x96ohFuMZWqQr9ZgftfpEq/view?usp=sharing</t>
  </si>
  <si>
    <t>09/03/2026 Monday 07:00 PM - 07:30 PM (Data Science) | Mayur</t>
  </si>
  <si>
    <t>03/03/2026 Tuesday 04:00 PM - 04:30 PM (Data Science) | Anamika</t>
  </si>
  <si>
    <t>28/03/2026 Saturday 06:30 PM - 07:00 PM (Data Science) | Vishal</t>
  </si>
  <si>
    <t>https://drive.google.com/file/d/1oKKOodJgmmXPBbjHl_i5tF1zxpxIB6Bz/view?usp=sharing</t>
  </si>
  <si>
    <t>https://drive.google.com/drive/folders/1eBVpdlzAbDuP_u8yBM4SIjU-AT31LukX</t>
  </si>
  <si>
    <t>https://drive.google.com/file/d/1LUWU7KY2EPm0ug60MGROJdoFgj3Mw16T/view?usp=drivesdk</t>
  </si>
  <si>
    <t>03/03/2026 Tuesday 04:30 PM - 05:00 PM (Data Science) | Anamika</t>
  </si>
  <si>
    <t>12/03/2026 Thursday 07:00 PM - 07:30 PM (Programming) | Shrikrishna</t>
  </si>
  <si>
    <t>https://drive.google.com/file/d/1ZuU1_xsiYUit7qSIk9w6S0lr3H3j1SiP/view?usp=sharing</t>
  </si>
  <si>
    <t>https://drive.google.com/file/d/18Y0sj7qO0JsrpnA_cRq4iz-n4CgXTk9A/view?usp=drivesdk</t>
  </si>
  <si>
    <t>https://drive.google.com/file/d/1G_QMmaFB4wekPSEsWOew199x78W4TLBb/view?usp=sharing</t>
  </si>
  <si>
    <t>https://drive.google.com/file/d/1iuJ8Ot__r58ThXHsNpVbgPiC5W4Uc6nm/view?usp=sharing</t>
  </si>
  <si>
    <t>https://drive.google.com/file/d/1ciyZhjlLT62fg_i5P7zcQ-wwHqk7UtNb/view?usp=drivesdk</t>
  </si>
  <si>
    <t>https://drive.google.com/file/d/1zaT8ZJ2jJHPAfeKp2TSEiXos49xSNRXY/view?usp=sharing</t>
  </si>
  <si>
    <t>28/03/2026 Saturday 05:00 PM - 05:30 PM (Data Science) | Mayur</t>
  </si>
  <si>
    <t>13/03/2026 Friday 07:00 PM - 07:30 PM (Programming) | Afnan</t>
  </si>
  <si>
    <t>03/03/2026 Tuesday 07:00 PM - 07:30 PM (Data Science) | Jimmi</t>
  </si>
  <si>
    <t>pallapu caleb kumar</t>
  </si>
  <si>
    <t>https://drive.google.com/file/d/1iDU05CK2gi-RPP4QxOParWSixbPRBm_U/view?usp=drive_link</t>
  </si>
  <si>
    <t>https://docs.google.com/document/d/1Ct8QqNcwRlTr6f40k70SrF5yj2dDJShssV3-a9SiPTY/edit?usp=sharing</t>
  </si>
  <si>
    <t>https://drive.google.com/file/d/1jvI_-bHWQqiQ58z1dznL7MfKuL06pfRe/view?usp=sharing</t>
  </si>
  <si>
    <t>https://drive.google.com/file/d/1ecHarDtIurfssl8JRof5RTCGfCoJeG2T/view?usp=sharing</t>
  </si>
  <si>
    <t>https://drive.google.com/file/d/1QOQeKWtuGhF5cwH56HAjkmSv8KR3RIAd/view?usp=drive_link</t>
  </si>
  <si>
    <t>https://drive.google.com/file/d/1x8ecInKHkeagvXoepD0k3jwmyKaH8hkk/view?usp=sharing</t>
  </si>
  <si>
    <t>28/03/2026 Saturday 06:00 PM - 06:30 PM (Data Science) | Vishal</t>
  </si>
  <si>
    <t>11/03/2026 Wednesday 12:00 PM - 12:30 PM (Data Science) | Lalit</t>
  </si>
  <si>
    <t>02/03/2026 Monday 07:00 PM - 07:30 PM (Data Science) | Aniruddha</t>
  </si>
  <si>
    <t xml:space="preserve">Ashish Raj </t>
  </si>
  <si>
    <t>https://drive.google.com/file/d/1_QVEclg4C78jyyehki58PwxhrZA1woPY/view?usp=sharing</t>
  </si>
  <si>
    <t>https://drive.google.com/file/d/1dNSk5-MwbYsDmOEdvHp3Y26DU4r49Q1L/view?usp=sharing</t>
  </si>
  <si>
    <t>https://drive.google.com/file/d/1KbuiScmljFGOkujjana965h2g2PgLmkA/view?usp=sharing</t>
  </si>
  <si>
    <t>11/03/2026 Wednesday 11:00 AM - 11:30 AM (Data Science) | Lalit</t>
  </si>
  <si>
    <t>04/03/2026 Wednesday 04:30 PM - 05:00 PM (Data Science) | Anamika</t>
  </si>
  <si>
    <t>Aiswarya T</t>
  </si>
  <si>
    <t>https://drive.google.com/file/d/1rqrglP1MI3dYbLfWzObpHSc8tPCbs2VX/view?usp=sharing</t>
  </si>
  <si>
    <t>https://drive.google.com/file/d/1HCoYxPKP_g1KtnugCrOKWPrDMf09MoDW/view?usp=sharing</t>
  </si>
  <si>
    <t>https://drive.google.com/file/d/1w2qail3ISTAsAP_Mt9EHbxdrcCGUdgCB/view?usp=sharing</t>
  </si>
  <si>
    <t>..https://drive.google.com/file/d/1U6tCcynPozxHuBU9JZtHqtqIenPx1pYX/view</t>
  </si>
  <si>
    <t>04/03/2026 Wednesday 07:00 PM - 07:30 PM (Data Science) | Aniruddha</t>
  </si>
  <si>
    <t>11/03/2026 Wednesday 11:30 AM - 12:00 PM (Data Science) | Lalit</t>
  </si>
  <si>
    <t>30/03/2026 Monday 06:00 PM - 06:30 PM (Data Science) | Vishal</t>
  </si>
  <si>
    <t>Gautam Seysl</t>
  </si>
  <si>
    <t>https://drive.google.com/file/d/1enpgknm5N9TmyDsh9xjbJxNhrPeJxHUL/view?usp=sharing</t>
  </si>
  <si>
    <t>04/03/2026 Wednesday 07:30 PM - 08:00 PM (Data Science) | Aniruddha</t>
  </si>
  <si>
    <t>13/03/2026 Friday 05:00 PM - 05:30 PM (Programming) | Adarsh</t>
  </si>
  <si>
    <t>Vaikhari Kanetkar</t>
  </si>
  <si>
    <t>https://drive.google.com/file/d/1h90LB1758gayWXjDgQQShjH2u1U31wJQ/view?usp=sharing</t>
  </si>
  <si>
    <t>https://drive.google.com/file/d/18nR1zR7mQjwpO9lAxHWUHSDyINZOAdxG/view?usp=drivesdk</t>
  </si>
  <si>
    <t>https://drive.google.com/file/d/1eDbxbBtMd8HoXr6ogPDQKl5xVQ0WGGBv/view?usp=sharing</t>
  </si>
  <si>
    <t>https://drive.google.com/file/d/1nzX5rqaapgfqE69VO8J3pi7PxvOxrChr/view?usp=sharing</t>
  </si>
  <si>
    <t>https://drive.google.com/file/d/1hO8tVL-__8mfrnHsXPzgu8vYEwNhYXuq/view?usp=drivesdk</t>
  </si>
  <si>
    <t>12/03/2026 Thursday 11:30 AM - 12:00 PM (Data Science) | Lalit</t>
  </si>
  <si>
    <t>02/03/2026 Monday 07:30 PM - 08:00 PM (Data Science) | Aniruddha</t>
  </si>
  <si>
    <t xml:space="preserve">Arun Kumar </t>
  </si>
  <si>
    <t>28/03/2026 Saturday 05:30 PM - 06:00 PM (Data Science) | Mayur</t>
  </si>
  <si>
    <t>https://drive.google.com/file/d/1QkoIY9PYtn_Kn0odHCVF_eCs1GL_LL7H/view?usp=sharing</t>
  </si>
  <si>
    <t>https://drive.google.com/file/d/1Ep4hoUgKy6sNNW7vGSZcQkoFUXz2SeGE/view?usp=sharing</t>
  </si>
  <si>
    <t>https://drive.google.com/file/d/1ZIkQhOd4JUVDxQWDwnDwQ-O-tVp793Ke/view?usp=sharing</t>
  </si>
  <si>
    <t>https://drive.google.com/file/d/1UO-Ht79OJm-DB3cYVAX3khixvuKookCf/view?usp=sharing</t>
  </si>
  <si>
    <t>05/03/2026 Thursday 06:00 PM - 06:30 PM (Data Science) | Nikita</t>
  </si>
  <si>
    <t>VIJAYAGEETHA V</t>
  </si>
  <si>
    <t>12/03/2026 Thursday 12:00 PM - 12:30 PM (Data Science) | Lalit</t>
  </si>
  <si>
    <t>https://drive.google.com/file/d/1wNijDfrP4LF9be340SUW75ueuH9BZAWA/view?usp=sharing</t>
  </si>
  <si>
    <t>Dilraj Singh</t>
  </si>
  <si>
    <t>https://drive.google.com/file/d/1MpnEt5RlFbF8VyHX11MSIZWarOZtdK39/view?usp=sharing</t>
  </si>
  <si>
    <t>https://drive.google.com/file/d/1SX5e88aONI_SfHlbDDhDF_-CQsG2W3Kg/view?usp=sharing</t>
  </si>
  <si>
    <t>04/03/2026 Wednesday 11:00 AM - 11:30 AM (Data Science) | Lalit</t>
  </si>
  <si>
    <t>https://drive.google.com/file/d/1r5aQgZVKt0QYV9eKmGXlsfEUT1hyX3N5/view?usp=sharing</t>
  </si>
  <si>
    <t>https://drive.google.com/file/d/1iyAhhY6b1ZTGxtZUfbcI9guRgWT6kzRh/view?usp=sharing</t>
  </si>
  <si>
    <t>https://drive.google.com/file/d/1fauON1AuY7RdjbIqtnKsKDr95rYzToOf/view?usp=drivesdk</t>
  </si>
  <si>
    <t>13/03/2026 Friday 05:30 PM - 06:00 PM (Programming) | Adarsh</t>
  </si>
  <si>
    <t>https://drive.google.com/file/d/1-wk4Alp17pd5hTtccdTFge6LHWbag1dj/view?usp=drivesdk</t>
  </si>
  <si>
    <t>https://drive.google.com/file/d/1oaYewxCNzidaZ90h8z17aWI_d9FwHu3l/view?usp=drivesdk</t>
  </si>
  <si>
    <t>https://drive.google.com/file/d/1_Ld66VrduP4wsGs2VxIT-nJeghHxmfXF/view?usp=drivesdk</t>
  </si>
  <si>
    <t>https://drive.google.com/file/d/1A78lLnB2s1TE5plFOJn_frQ1Ktc8JbPk/view?usp=drivesdk</t>
  </si>
  <si>
    <t>04/03/2026 Wednesday 11:30 AM - 12:00 PM (Data Science) | Lalit</t>
  </si>
  <si>
    <t>https://drive.google.com/file/d/1PYWx4AmMio2xmGAQyS1HXtf9PfCGwdZ-/view?usp=drivesdk</t>
  </si>
  <si>
    <t>12/03/2026 Thursday 12:30 PM - 01:00 PM (Data Science) | Lalit</t>
  </si>
  <si>
    <t>https://drive.google.com/file/d/1UpPdqNxKPc_sr1wGrrA54V7ggYuBblY8/view?usp=sharing</t>
  </si>
  <si>
    <t>https://drive.google.com/drive/folders/1SDR5XKoMgW_eHSSZ1gMzfc9Sso-Aqg7C?usp=sharing</t>
  </si>
  <si>
    <t>https://drive.google.com/file/d/14bQmbEdmUXmm8Av1ERL5ZGJE_Yj1qS1T/view?usp=sharing</t>
  </si>
  <si>
    <t>https://drive.google.com/file/d/17_cI-ot2GbgxmkhsaJWPazwswh0fIu2v/view?usp=sharing</t>
  </si>
  <si>
    <t>24/01/2026 Saturday 11:00 AM - 11:30 AM (Data Science) | Vishal</t>
  </si>
  <si>
    <t>https://drive.google.com/file/d/1kcVhDIfv6xvjL80xocZd7aGWx_yZoNjo/view?usp=drive_link</t>
  </si>
  <si>
    <t>31/03/2026 Tuesday 04:30 PM - 05:00 PM (Data Science) | Nikitakumari</t>
  </si>
  <si>
    <t>05/03/2026 Thursday 12:30 PM - 01:00 PM (Data Science) | Lalit</t>
  </si>
  <si>
    <t>Rajeevan Reddy</t>
  </si>
  <si>
    <t>https://docs.google.com/document/d/1lbxZHkwm5MfyMc6HtUYcFJGGDOeOa7UbU-o8Q3xCvSw/edit?usp=sharing</t>
  </si>
  <si>
    <t>https://drive.google.com/drive/folders/14ueged7XoQcvr3mC-0CjMpaObvGN-mN6</t>
  </si>
  <si>
    <t>12/03/2026 Thursday 07:30 PM - 08:00 PM (Programming) | Shrikrishna</t>
  </si>
  <si>
    <t>https://drive.google.com/file/d/1DV0x7UX7KsMynxN5flA9obQQL9v5_a0B/view?usp=sharing</t>
  </si>
  <si>
    <t>https://drive.google.com/file/d/1zdIJCKfQm16lBWSAWTPoA10S3-9voN3E/view?usp=drive_link</t>
  </si>
  <si>
    <t>04/03/2026 Wednesday 12:00 PM - 12:30 PM (Data Science) | Lalit</t>
  </si>
  <si>
    <t xml:space="preserve">Niraj kumar </t>
  </si>
  <si>
    <t>https://drive.google.com/file/d/1GGSvEQ4K5FT3uu8tlrz6Z8ReG6PDtpTj/view?usp=drivesdk</t>
  </si>
  <si>
    <t>05/02/2026 Thursday 05:00 PM - 05:30 PM (Data Science) | Nikita</t>
  </si>
  <si>
    <t>https://drive.google.com/file/d/1LM-hg2In2BHUFEgrawFo78l6m4VrAL3x/view?usp=sharing</t>
  </si>
  <si>
    <t>https://drive.google.com/file/d/1YwcPdkKa-Q_XtNzIdFoIZX45y5OE-OwQ/view?usp=drive_link</t>
  </si>
  <si>
    <t xml:space="preserve">Anant Luthra </t>
  </si>
  <si>
    <t>11/03/2026 Wednesday 07:30 PM - 08:00 PM (Programming) | Shrikrishna</t>
  </si>
  <si>
    <t>31/03/2026 Tuesday 04:00 PM - 04:30 PM (Data Science) | Nikitakumari</t>
  </si>
  <si>
    <t>https://drive.google.com/file/d/1UiIvbkWUDjkrKrulbK-9G6IDPRUIkTqD/view?usp=sharing</t>
  </si>
  <si>
    <t>03/03/2026 Tuesday 07:30 PM - 08:00 PM (Data Science) | Jimmi</t>
  </si>
  <si>
    <t>https://drive.google.com/file/d/1JIennw0QOZP4_edmiiDQZk3f1AcmEdq4/view?usp=sharing</t>
  </si>
  <si>
    <t>https://drive.google.com/file/d/1fb9-8gr4nDGttM2jX7KWCrbuiiagx8jb/view?usp=sharing</t>
  </si>
  <si>
    <t>Slots</t>
  </si>
  <si>
    <t>Seat Taken</t>
  </si>
  <si>
    <t>Seat Remaining</t>
  </si>
  <si>
    <t>02/04/2026 Thursday 04:30 PM - 05:00 PM (Programming) | Atul</t>
  </si>
  <si>
    <t>Max Capacity</t>
  </si>
  <si>
    <t>24/01/2026 Saturday 05:00 PM - 05:30 PM (Programming) | Arup</t>
  </si>
  <si>
    <t>Evaluator</t>
  </si>
  <si>
    <t>Calendar Event ID</t>
  </si>
  <si>
    <t>03/03/2026 Tuesday 11:00 AM - 11:30 AM (Data Science) | Lalit</t>
  </si>
  <si>
    <t>ROHIT B LAKSHMANAN</t>
  </si>
  <si>
    <t>https://drive.google.com/file/d/1imaIp-tK405dRHi_0ZduvBqmX-d8c6G0/view?usp=sharing</t>
  </si>
  <si>
    <t>https://drive.google.com/file/d/1PiOCR1XAQ5EgoWDYt_ZaxK3V65uKeHb3/view?usp=sharing</t>
  </si>
  <si>
    <t>https://drive.google.com/file/d/16zBCeh1DHaM5XN5Dfa0OMLt1E3dWdyY0/view?usp=sharing</t>
  </si>
  <si>
    <t>https://drive.google.com/file/d/10VWoKFkMMs8mzOokxAbWriWh5QMJo9Hv/view?usp=sharing</t>
  </si>
  <si>
    <t>https://drive.google.com/file/d/1lSVn-m783kDepxK3VQqSqwAy1Rlyl8My/view?usp=sharing</t>
  </si>
  <si>
    <t>04/03/2026 Wednesday 12:30 PM - 01:00 PM (Data Science) | Lalit</t>
  </si>
  <si>
    <t>31/03/2026 Tuesday 05:30 PM - 06:00 PM (Data Science) | Karthik</t>
  </si>
  <si>
    <t>28/01/2026 Wednesday 11:30 AM - 12:00 PM (Data Science) | Vishal</t>
  </si>
  <si>
    <t>https://drive.google.com/file/d/1WaUn5Mag3DKSkFcVaNaasyDeOIG_BZys/view?usp=sharing</t>
  </si>
  <si>
    <t>03/03/2026 Tuesday 11:30 AM - 12:00 PM (Data Science) | Lalit</t>
  </si>
  <si>
    <t>https://drive.google.com/file/d/1HeogJqnbL25sXdLYb4KmnYUwA-Oq9kYd/view?usp=sharing</t>
  </si>
  <si>
    <t>https://drive.google.com/file/d/1uymNbN4hvbWhbknV5QOTHiJJ2nWbwKAD/view?usp=sharing</t>
  </si>
  <si>
    <t>Name</t>
  </si>
  <si>
    <t>Mail ID</t>
  </si>
  <si>
    <t>Domain</t>
  </si>
  <si>
    <t>Lalit</t>
  </si>
  <si>
    <t>https://drive.google.com/file/d/1qas9XfSxuMx-2vt6KN4Mt0AbOD79qgsb/view?usp=sharing</t>
  </si>
  <si>
    <t>lalit@study.iitm.ac.in</t>
  </si>
  <si>
    <t>25/01/2026 Sunday 06:30 PM - 07:00 PM (Data Science) | Lalit</t>
  </si>
  <si>
    <t>Arup</t>
  </si>
  <si>
    <t>arup@study.iitm.ac.in</t>
  </si>
  <si>
    <t>Atul</t>
  </si>
  <si>
    <t>atul@study.iitm.ac.in</t>
  </si>
  <si>
    <t>Adarsh</t>
  </si>
  <si>
    <t>adarsh@study.iitm.ac.in</t>
  </si>
  <si>
    <t>Afnan</t>
  </si>
  <si>
    <t>03/03/2026 Tuesday 12:00 PM - 12:30 PM (Data Science) | Lalit</t>
  </si>
  <si>
    <t>afnan@study.iitm.ac.in</t>
  </si>
  <si>
    <t>Satyanarayana</t>
  </si>
  <si>
    <t>satyanarayana@study.iitm.ac.in</t>
  </si>
  <si>
    <t>https://drive.google.com/file/d/1IUMYL-O_OSzLfHsEsIEwUH3D-d_LSH15/view?usp=sharing</t>
  </si>
  <si>
    <t>Shri Krishna</t>
  </si>
  <si>
    <t>shrikrishna@study.iitm.ac.in</t>
  </si>
  <si>
    <t>Shubham</t>
  </si>
  <si>
    <t>shubhamy@study.iitm.ac.in</t>
  </si>
  <si>
    <t>Shivani</t>
  </si>
  <si>
    <t>shivani@study.iitm.ac.in</t>
  </si>
  <si>
    <t>Anamika</t>
  </si>
  <si>
    <t>anamika@study.iitm.ac.in</t>
  </si>
  <si>
    <t>Jimmi</t>
  </si>
  <si>
    <t>https://drive.google.com/drive/folders/1fK2mCzzHgy2V8EK3W85fShMvDOZf_TME?usp=drive_link</t>
  </si>
  <si>
    <t>jimmi@study.iitm.ac.in</t>
  </si>
  <si>
    <t>Karthik</t>
  </si>
  <si>
    <t>karthik@study.iitm.ac.in</t>
  </si>
  <si>
    <t>Manoj</t>
  </si>
  <si>
    <t>manojkumar@study.iitm.ac.in</t>
  </si>
  <si>
    <t>03/02/2026 Tuesday 11:00 AM - 11:30 AM (Data Science) | Anamika</t>
  </si>
  <si>
    <t>Aniruddha</t>
  </si>
  <si>
    <t>aniruddha@study.iitm.ac.in</t>
  </si>
  <si>
    <t>Vishal</t>
  </si>
  <si>
    <t>vishal@study.iitm.ac.in</t>
  </si>
  <si>
    <t>Mayur</t>
  </si>
  <si>
    <t>mayur@study.iitm.ac.in</t>
  </si>
  <si>
    <t>https://drive.google.com/drive/folders/1Go8TqR-ioMJ8zYb8wMeSqzrABmeyaJ3x?usp=drive_link</t>
  </si>
  <si>
    <t>Nikita</t>
  </si>
  <si>
    <t>nikitakumari@study.iitm.ac.in</t>
  </si>
  <si>
    <t>03/03/2026 Tuesday 12:30 PM - 01:00 PM (Data Science) | Lalit</t>
  </si>
  <si>
    <t>25/01/2026 Sunday 12:00 PM - 12:30 PM (Data Science) | Lalit</t>
  </si>
  <si>
    <t>https://drive.google.com/file/d/18muD-khy1al_mL8LuhR3Nn6_eYRxhaPO/view?usp=sharing</t>
  </si>
  <si>
    <t>02/03/2026 Monday 11:00 AM - 11:30 AM (Data Science) | Lalit</t>
  </si>
  <si>
    <t xml:space="preserve"> Name</t>
  </si>
  <si>
    <t xml:space="preserve">Rohit Prajapat </t>
  </si>
  <si>
    <t>Resume</t>
  </si>
  <si>
    <t>Progress Card</t>
  </si>
  <si>
    <t>https://drive.google.com/file/d/1LLAgH8KUNNtDMidYJfzuKNMS4h5T58cL/view?usp=sharing</t>
  </si>
  <si>
    <t>https://drive.google.com/file/d/1FIsbD7p0ZiIlAxB4w67DVVQf4V7kMIMX/view?usp=drive_link</t>
  </si>
  <si>
    <t>Instructor</t>
  </si>
  <si>
    <t>Skillsets of student</t>
  </si>
  <si>
    <t>Technical skills in programming
(Rate from 1 to 5)</t>
  </si>
  <si>
    <t>Technical skills in data science
(Rate from 1 to 5)</t>
  </si>
  <si>
    <t>Communication skills 
(Rate from 1 to 5)</t>
  </si>
  <si>
    <t>Readiness of the student for placement</t>
  </si>
  <si>
    <t>https://drive.google.com/file/d/1r2bUjtiMNAEyeLmkqLopv__ejcWHBoWo/view?usp=sharing</t>
  </si>
  <si>
    <t>Performing Exceptionally good</t>
  </si>
  <si>
    <t>If not ready, please mention the list of tasks students should do</t>
  </si>
  <si>
    <t>24/01/2026 Saturday 05:30 PM - 06:00 PM (Programming) | Afnan</t>
  </si>
  <si>
    <t>What roles they are suitable for?
(Recommondations by instructor)</t>
  </si>
  <si>
    <t>Detailed feedback from instructor 1</t>
  </si>
  <si>
    <t>Detailed feedback from instructor 2</t>
  </si>
  <si>
    <t>Any additional remarks</t>
  </si>
  <si>
    <t>02/03/2026 Monday 11:30 AM - 12:00 PM (Data Science) | Lalit</t>
  </si>
  <si>
    <t>https://drive.google.com/file/d/189JBiJpr3DZtvy8kop9NJytM3CEkpj7h/view?usp=sharing</t>
  </si>
  <si>
    <t>https://drive.google.com/file/d/1s7mrOjuyjUbX5q042e1wqbeetiTbBqXA/view?usp=sharing</t>
  </si>
  <si>
    <t>Roll number</t>
  </si>
  <si>
    <t>25/01/2026 Sunday 11:00 AM - 11:30 AM (Data Science) | Lalit</t>
  </si>
  <si>
    <t>05/03/2026 Thursday 12:00 PM - 12:30 PM (Data Science) | Lalit</t>
  </si>
  <si>
    <t>https://drive.google.com/file/d/1TYl72mKnRxrosy3lEQqUl5Jh4g-Tdb4g/view?usp=drivesdk</t>
  </si>
  <si>
    <t>https://drive.google.com/file/d/17NVSrZH4a6YLyB0QmBk6O_RD9UFQuxDU/view?usp=sharing</t>
  </si>
  <si>
    <t>https://drive.google.com/file/d/1bU5tg0R3jEVjH1bO6Mlj38pbZqbKXcjV/view?usp=drivesdk</t>
  </si>
  <si>
    <t>https://drive.google.com/file/d/1pOj_ZE1E26W04SFCJGoly7MVc71fYpKV/view?usp=sharing</t>
  </si>
  <si>
    <t>05/03/2026 Thursday 11:30 AM - 12:00 PM (Data Science) | Lalit</t>
  </si>
  <si>
    <t>24/01/2026 Saturday 05:30 PM - 06:00 PM (Programming) | Arup</t>
  </si>
  <si>
    <t>21f1002144@ds.study.iitm.ac.in</t>
  </si>
  <si>
    <t>BANOTH PAVAN</t>
  </si>
  <si>
    <t>https://drive.google.com/file/d/1N52F2IKefK4sS03bn7zzoFbgw4z7624J/view?usp=drive_link</t>
  </si>
  <si>
    <t xml:space="preserve">Employment </t>
  </si>
  <si>
    <t>ML, DL, LLM</t>
  </si>
  <si>
    <t>https://drive.google.com/file/d/1Z4MqYh1eYb5zS1qK5UPDMyVfesNA-5Eo/view?usp=sharing</t>
  </si>
  <si>
    <t>N/A</t>
  </si>
  <si>
    <t>https://drive.google.com/file/d/1vXarNe1-okuRYjgpHUwI85WwU4DcASLp/view?usp=sharing</t>
  </si>
  <si>
    <t>No</t>
  </si>
  <si>
    <t>02/03/2026 Monday 12:00 PM - 12:30 PM (Data Science) | Lalit</t>
  </si>
  <si>
    <t>https://drive.google.com/file/d/1_qLCAUoD2_mHD20HkzZXe5cpC4vhjMV9/view?usp=sharing</t>
  </si>
  <si>
    <t>Revise DL,LLM and DLP</t>
  </si>
  <si>
    <t>Banoth gave generic answers. He has to revise concepts of ML, DL, LLM and DLP, esepcially fine tuning the models for NLP, Speech and Vision tasks. He has been asked to revise and reattemept after a week on 28th January.</t>
  </si>
  <si>
    <t>https://drive.google.com/file/d/1l-wGBkiasfCbmN89lm29ffoQ1eiT9-02/view?usp=sharing</t>
  </si>
  <si>
    <t>24/01/2026 Saturday 05:30 PM - 06:00 PM (Programming) | Shubhammaurya</t>
  </si>
  <si>
    <t>Python, Flask, JS
Vue, PDSA</t>
  </si>
  <si>
    <t>https://drive.google.com/file/d/1IyU6NHgUkLO1XKDksmZGFf5WhAqawA5f/view?usp=sharing</t>
  </si>
  <si>
    <t>Yes</t>
  </si>
  <si>
    <t>Ready</t>
  </si>
  <si>
    <t>Full stack</t>
  </si>
  <si>
    <r>
      <rPr>
        <rFont val="Arial"/>
        <b/>
        <color theme="1"/>
      </rPr>
      <t xml:space="preserve">Satya:
</t>
    </r>
    <r>
      <rPr>
        <rFont val="Arial"/>
        <color theme="1"/>
      </rPr>
      <t>- Student is perfectly suitable for SDE/Full stack
developer rolers. Having enough skiils in programming and
frameworks(Flask/Vue)
- Recommended to practice leetcode problems daily basis</t>
    </r>
  </si>
  <si>
    <t>02/03/2026 Monday 12:30 PM - 01:00 PM (Data Science) | Lalit</t>
  </si>
  <si>
    <t>https://drive.google.com/file/d/1TzF6gekxHWhAaHSf6LRf2Jugb_SMMAzl/view?usp=drive_link</t>
  </si>
  <si>
    <t>Python, JS frameworks</t>
  </si>
  <si>
    <t>https://drive.google.com/file/d/1Jqrqt4lH8ungMBYGoJa-N8r4UdGwozRe/view?usp=drive_link</t>
  </si>
  <si>
    <t>https://drive.google.com/file/d/1NJW79IBze_d8A2L0BI_-C65dPXCW19hw/view?usp=sharing</t>
  </si>
  <si>
    <t>Not yet ready</t>
  </si>
  <si>
    <t>Satya:
- Not able to implement basic binary search algos. 
- Not able to implement example Async/await/promises
- Eventhough he has a handful of project repos. But he is not able to implement 
code from scratch. He used OpenAI more than required.
- He requires 2/3 weeks to prepare these and conduct 1-1 session again</t>
  </si>
  <si>
    <t>24/01/2026 Saturday 10:00 AM - 10:30 AM (Programming) | Satyanarayana</t>
  </si>
  <si>
    <t>https://drive.google.com/file/d/1iBfNwp5rU7JPhOO4oZnewtCFXaLn8dDK/view?usp=sharing</t>
  </si>
  <si>
    <t>https://drive.google.com/file/d/1n-m9_pjxgqPAYdCUaCcKFlt5phq_KrlO/view?usp=sharing</t>
  </si>
  <si>
    <t>ML, Python, SQL</t>
  </si>
  <si>
    <t>04/03/2026 Wednesday 05:30 PM - 06:00 PM (Programming) | Adarsh</t>
  </si>
  <si>
    <t>Not ready</t>
  </si>
  <si>
    <t>https://drive.google.com/file/d/1u2g97NPTVjya1GCZ41RN6nnaMQNUuwF1/view?usp=sharing</t>
  </si>
  <si>
    <t>Data science</t>
  </si>
  <si>
    <t xml:space="preserve">Not able to answer basic questions also from ML </t>
  </si>
  <si>
    <t>Samriddhi Sinha</t>
  </si>
  <si>
    <t>24/01/2026 Saturday 10:30 AM - 11:00 AM (Programming) | Satyanarayana</t>
  </si>
  <si>
    <t>https://drive.google.com/file/d/1luUnj_gunRXjBFhntu7JkzM3jbPHvxwt/view?usp=sharing</t>
  </si>
  <si>
    <t>ready for intership</t>
  </si>
  <si>
    <t>Need a bit of revision (Mostly maths behind some ML model)</t>
  </si>
  <si>
    <t>Nidhish</t>
  </si>
  <si>
    <t>JS, Python, DBMS</t>
  </si>
  <si>
    <t>02/03/2026 Monday 11:00 AM – 11:30 AM (Data Science)</t>
  </si>
  <si>
    <t>24/01/2026 Saturday 07:30 PM - 08:00 PM (Data Science) | Lalit</t>
  </si>
  <si>
    <t>Full Stack</t>
  </si>
  <si>
    <t>vaob40hp1v7k8l03bg39t1q8ps</t>
  </si>
  <si>
    <t>Suhaas gave answer to most of the technical questions to the point. He will be a good candidate for SDE internshi roles.
He should focus on non-technical skills</t>
  </si>
  <si>
    <t>02/03/2026 Monday 11:30 AM – 12:00 PM (Data Science)</t>
  </si>
  <si>
    <t>02/03/2026 Monday 12:00 PM – 12:30 PM (Data Science)</t>
  </si>
  <si>
    <t>02/03/2026 Monday 12:30 PM – 01:00 PM (Data Science)</t>
  </si>
  <si>
    <t>https://drive.google.com/file/d/1sJTI6UbWmlqtP-iRAdGYOq4il1M3EBQP/view?usp=sharing</t>
  </si>
  <si>
    <t>ML, DL, Python, JS, DBMS</t>
  </si>
  <si>
    <t>Aditya is good for SDE internship roles. He is able to communicate properly.</t>
  </si>
  <si>
    <t>02/03/2026 Monday 04:00 PM – 04:30 PM (Data Science)</t>
  </si>
  <si>
    <t>https://drive.google.com/file/d/17owpwBK8XDOztVMb65SZwugPvDx5TxTd/view?usp=sharing</t>
  </si>
  <si>
    <t>70ne4ng5ra7apnmcqe5mve67rk</t>
  </si>
  <si>
    <t>02/03/2026 Monday 04:00 PM – 04:30 PM (Programming)</t>
  </si>
  <si>
    <t>b50eumj0g5k4ab7e42bumiv538</t>
  </si>
  <si>
    <t>02/03/2026 Monday 04:30 PM – 05:00 PM (Data Science)</t>
  </si>
  <si>
    <t>Data Analysis, Visualization, ML, Python</t>
  </si>
  <si>
    <t>02/03/2026 Monday 04:30 PM – 05:00 PM (Programming)</t>
  </si>
  <si>
    <t xml:space="preserve">N/A </t>
  </si>
  <si>
    <t>02/03/2026 Monday 05:00 PM – 05:30 PM (Programming)</t>
  </si>
  <si>
    <t>Data Analyst, Business Analyst</t>
  </si>
  <si>
    <t>u125hffijk5iocski6qgpok2l0</t>
  </si>
  <si>
    <t>24/01/2026 Saturday 11:00 AM - 11:30 AM (Programming) | Nidhishkumar</t>
  </si>
  <si>
    <t>- Able to communicate well.
- Answered theoretical questions correctly
- Presentation of projects can be better. Adding slides for data analysis project and insights for the ML Project Notebook
- Currently suitable for Data Analyst and Business Analyst roles. Will need to learn DL based courses to improve opportunities</t>
  </si>
  <si>
    <t>02/03/2026 Monday 05:30 PM – 06:00 PM (Programming)</t>
  </si>
  <si>
    <t>JS, Python, DBMS (PostgresSQL), React</t>
  </si>
  <si>
    <t>https://drive.google.com/file/d/1OSdsf-K_mhaINRnT4A-7bhWPtKid1Est/view?usp=drive_link</t>
  </si>
  <si>
    <t>02/03/2026 Monday 07:00 PM – 07:30 PM (Data Science)</t>
  </si>
  <si>
    <t>leo5me3j7ohj51sljv316sg6u0</t>
  </si>
  <si>
    <t xml:space="preserve">
- Student is able to convey the ideas satisfactorily. One suggestion is to include more pauses and provide some time for follow up questions.
- Some gaps are there in the understanding about application development, maybe because of relying on AI-assisted coding (as student mentioned)
Consider studying about High-Level and Low-Level Software Design, CI / CD, 
SaaS, IaaS, PaaS, FaaS, Docker, OOPs, SOLID</t>
  </si>
  <si>
    <t>02/03/2026 Monday 07:30 PM – 08:00 PM (Data Science)</t>
  </si>
  <si>
    <t>03/03/2026 Tuesday 11:00 AM – 11:30 AM (Data Science)</t>
  </si>
  <si>
    <t>7cq3jg49s2o3pjbacn38h38qfc</t>
  </si>
  <si>
    <t>03/03/2026 Tuesday 11:30 AM – 12:00 PM (Data Science)</t>
  </si>
  <si>
    <t>https://drive.google.com/file/d/1YjS8nIXDIMFaZc05ErRxzn4oddepUtSs/view?usp=drive_link</t>
  </si>
  <si>
    <t>03/03/2026 Tuesday 12:00 PM – 12:30 PM (Data Science)</t>
  </si>
  <si>
    <t>03/03/2026 Tuesday 12:30 PM – 01:00 PM (Data Science)</t>
  </si>
  <si>
    <t>JS, Python, Node.js, MSSql</t>
  </si>
  <si>
    <t>03/03/2026 Tuesday 04:00 PM – 04:30 PM (Data Science)</t>
  </si>
  <si>
    <t>28/01/2026 Wednesday 11:30 AM - 12:00 PM (Data Science) | Aniruddha</t>
  </si>
  <si>
    <t>768ct07uovekolus2gg0e223ts</t>
  </si>
  <si>
    <t>03/03/2026 Tuesday 04:30 PM – 05:00 PM (Data Science)</t>
  </si>
  <si>
    <t>- Have practical knowledge
- Need to revise the theory part</t>
  </si>
  <si>
    <t>03/03/2026 Tuesday 07:00 PM – 07:30 PM (Data Science)</t>
  </si>
  <si>
    <t>https://drive.google.com/drive/folders/1u2SZDdmETHMdoxLpGK2te0m46KpK4W5b?usp=sharing</t>
  </si>
  <si>
    <t>276mo3iofbrr3bclmrvn4u1ta0</t>
  </si>
  <si>
    <t>03/03/2026 Tuesday 07:30 PM – 08:00 PM (Data Science)</t>
  </si>
  <si>
    <t>JS, Python, React, MSSql</t>
  </si>
  <si>
    <t>03/03/2026 Tuesday 04:00 PM – 04:30 PM (Programming)</t>
  </si>
  <si>
    <t>7b2pnlifp7chj4e7ucv74ggct4</t>
  </si>
  <si>
    <t>03/03/2026 Tuesday 04:30 PM – 05:00 PM (Programming)</t>
  </si>
  <si>
    <t>24/01/2026 Saturday 11:00 AM - 11:30 AM (Data Science) | Lalit</t>
  </si>
  <si>
    <t>- Some corrections are suggested on the CV
- Need to have more clarity on the usage of technologies
- Need to revise DSA</t>
  </si>
  <si>
    <t>03/03/2026 Tuesday 05:00 PM – 05:30 PM (Programming)</t>
  </si>
  <si>
    <t>03/03/2026 Tuesday 05:30 PM – 06:00 PM (Programming)</t>
  </si>
  <si>
    <t>https://drive.google.com/file/d/1-lOxwgw9zWIPMTzSdpMIxPGg5cRhf6D3/view?usp=sharing</t>
  </si>
  <si>
    <t>04/03/2026 Wednesday 11:00 AM – 11:30 AM (Data Science)</t>
  </si>
  <si>
    <t>j7l6pr3jemgdv256f4s3hnkbc4</t>
  </si>
  <si>
    <t>04/03/2026 Wednesday 11:30 AM – 12:00 PM (Data Science)</t>
  </si>
  <si>
    <t>AI engineer</t>
  </si>
  <si>
    <t>https://drive.google.com/file/d/1lIIjxU9wRsvSqkTxIDJ5Yg0HroeKUmsi/view?usp=sharing</t>
  </si>
  <si>
    <t>-Wasn't able to explain ML questions.
-Consider doing some good project &amp; strengthen your GenAI knowledge.</t>
  </si>
  <si>
    <t>04/03/2026 Wednesday 12:00 PM – 12:30 PM (Data Science)</t>
  </si>
  <si>
    <t>04/03/2026 Wednesday 12:30 PM – 01:00 PM (Data Science)</t>
  </si>
  <si>
    <t>ML, DL, NLP, LLM, SQL</t>
  </si>
  <si>
    <t>04/03/2026 Wednesday 04:00 PM – 04:30 PM (Data Science)</t>
  </si>
  <si>
    <t>05t98v9b2sflp6k7dd86n4hvgk</t>
  </si>
  <si>
    <t>04/03/2026 Wednesday 04:30 PM – 05:00 PM (Data Science)</t>
  </si>
  <si>
    <t>24/01/2026 Saturday 11:30 AM - 12:00 PM (Data Science) | Vishal</t>
  </si>
  <si>
    <t>Data Analyst</t>
  </si>
  <si>
    <t>-Was comfortable with ML part but needs to improve their project further.</t>
  </si>
  <si>
    <t>04/03/2026 Wednesday 04:00 PM – 04:30 PM (Programming)</t>
  </si>
  <si>
    <t xml:space="preserve">Hemlata Mahawar </t>
  </si>
  <si>
    <t>PANKAJ KUMAR PRAJAPATI</t>
  </si>
  <si>
    <t>ju3no8lf8191di39j6hhb3a6fk</t>
  </si>
  <si>
    <t>04/03/2026 Wednesday 04:30 PM – 05:00 PM (Programming)</t>
  </si>
  <si>
    <t>ML,DL,LLM</t>
  </si>
  <si>
    <t>04/03/2026 Wednesday 05:00 PM – 05:30 PM (Programming)</t>
  </si>
  <si>
    <t>04/03/2026 Wednesday 05:30 PM – 06:00 PM (Programming)</t>
  </si>
  <si>
    <t>Data science, AI/ML engineer</t>
  </si>
  <si>
    <t>Comfortable in ML,DL,LLM part</t>
  </si>
  <si>
    <t>Meet Jain</t>
  </si>
  <si>
    <t>64pd2snhdhqitjo6oleu56dibs</t>
  </si>
  <si>
    <t>ML, Data Analysis</t>
  </si>
  <si>
    <t>05/03/2026 Thursday 04:00 PM – 04:30 PM (Programming)</t>
  </si>
  <si>
    <t>05/03/2026 Thursday 04:30 PM – 05:00 PM (Programming)</t>
  </si>
  <si>
    <t>Marked "Yes" but student needs significant prep</t>
  </si>
  <si>
    <t>Data Analyst, ML</t>
  </si>
  <si>
    <t>05/03/2026 Thursday 05:00 PM – 05:30 PM (Programming)</t>
  </si>
  <si>
    <r>
      <rPr>
        <rFont val="Arial"/>
        <color rgb="FFFF0000"/>
      </rPr>
      <t xml:space="preserve">- Weak Recommendation
</t>
    </r>
    <r>
      <rPr>
        <rFont val="Arial"/>
        <color theme="1"/>
      </rPr>
      <t>- The answers to questions were not to the point. 
- Brush up on basics and practise answering questions in an interview setting
- Make the MLP Project notebook self-explanatory and also rename the same in the resume</t>
    </r>
  </si>
  <si>
    <t>05/03/2026 Thursday 05:30 PM – 06:00 PM (Programming)</t>
  </si>
  <si>
    <t>24/01/2026 Saturday 06:30 PM - 07:00 PM (Data Science) | Lalit</t>
  </si>
  <si>
    <t>04/03/2026 Wednesday 06:00 PM – 06:30 PM (Programming)</t>
  </si>
  <si>
    <t>ML, LLM, RAG, Vision</t>
  </si>
  <si>
    <t>04/03/2026 Wednesday 06:30 PM – 07:00 PM (Programming)</t>
  </si>
  <si>
    <t>04/03/2026 Wednesday 07:00 PM – 07:30 PM (Data Science)</t>
  </si>
  <si>
    <t>i8l5s4m5vljjnv3h7b78skenb4</t>
  </si>
  <si>
    <t>Data Science, AI / ML</t>
  </si>
  <si>
    <t>- Has done good projects and has answered questions regarding it well. 
- Can improve presentation skills i.e show the relevant parts of the project when explaining it
- Revise ML basics too before interviews</t>
  </si>
  <si>
    <t>04/03/2026 Wednesday 07:30 PM – 08:00 PM (Data Science)</t>
  </si>
  <si>
    <t>https://drive.google.com/file/d/1FdE5vRZ0AUTwpF4lor-Cl5HK4IIJYyBr/view?usp=sharing</t>
  </si>
  <si>
    <t>Amirtha Varshini Elavarasu</t>
  </si>
  <si>
    <t>05/03/2026 Thursday 11:00 AM – 11:30 AM (Data Science)</t>
  </si>
  <si>
    <t>aea751shjdk52nn0ol2c4qe1sc</t>
  </si>
  <si>
    <t>Python, Node.js, React</t>
  </si>
  <si>
    <t>05/03/2026 Thursday 11:30 AM – 12:00 PM (Data Science)</t>
  </si>
  <si>
    <t>05/03/2026 Thursday 12:00 PM – 12:30 PM (Data Science)</t>
  </si>
  <si>
    <t>https://drive.google.com/file/d/1ZgPZdWs-4-gz_Nk8DoLISIFLljBpdPld/view?usp=sharing</t>
  </si>
  <si>
    <t>Web Dveloper</t>
  </si>
  <si>
    <r>
      <rPr>
        <rFont val="Arial"/>
        <color theme="1"/>
      </rPr>
      <t xml:space="preserve">- </t>
    </r>
    <r>
      <rPr>
        <rFont val="Arial"/>
        <color rgb="FFFF0000"/>
      </rPr>
      <t xml:space="preserve">Weekly recommended
</t>
    </r>
    <r>
      <rPr>
        <rFont val="Arial"/>
        <color theme="1"/>
      </rPr>
      <t>- Need more clarity when answering
- Sugegsted to revise therory
- Suggeted to build new application
- Siggested to revise theory</t>
    </r>
  </si>
  <si>
    <t>05/03/2026 Thursday 12:30 PM – 01:00 PM (Data Science)</t>
  </si>
  <si>
    <t>05/03/2026 Thursday 06:00 PM – 06:30 PM (Data Science)</t>
  </si>
  <si>
    <t>nikita@study.iitm.ac.in</t>
  </si>
  <si>
    <t>25/01/2026 Sunday 11:30 AM - 12:00 PM (Data Science) | Vishal</t>
  </si>
  <si>
    <t>k1efaftmu69nfcio175bamg8nc</t>
  </si>
  <si>
    <t>05/03/2026 Thursday 06:30 PM – 07:00 PM (Data Science)</t>
  </si>
  <si>
    <t>06/03/2026 Friday 11:00 AM – 11:30 AM (Data Science)</t>
  </si>
  <si>
    <t>Python, DSA, Flask and Vue</t>
  </si>
  <si>
    <t>https://drive.google.com/file/d/1QIKNOmw4v7sx7ZUmmf6MA8_MGQ3SO_j3/view?usp=sharing</t>
  </si>
  <si>
    <t>uvm2ctka1dp6f9rnak7p3ofsds</t>
  </si>
  <si>
    <t>06/03/2026 Friday 11:30 AM – 12:00 PM (Data Science)</t>
  </si>
  <si>
    <t>06/03/2026 Friday 12:00 PM – 12:30 PM (Data Science)</t>
  </si>
  <si>
    <t>https://drive.google.com/file/d/1mb_z_i5jSq-3jkBIOFwhSH6Y6FSb34hd/view?usp=sharing</t>
  </si>
  <si>
    <t>- PDSA and DBMS basics
- Leetcode problems</t>
  </si>
  <si>
    <t>06/03/2026 Friday 12:30 PM – 01:00 PM (Data Science)</t>
  </si>
  <si>
    <t>Satya:
- Even he has strong project repos. He is not able to implement RestApi examples
- Not able to implement DBMS max salary of employee model
- Strictly recommended leetcode 3-problems a day
- Two weeks required for preparation</t>
  </si>
  <si>
    <t>06/03/2026 Friday 04:00 PM – 04:30 PM (Data Science)</t>
  </si>
  <si>
    <t>d92jbu8ck739plohni3i6fhp5c</t>
  </si>
  <si>
    <t>06/03/2026 Friday 04:30 PM – 05:00 PM (Data Science)</t>
  </si>
  <si>
    <t>25/01/2026 Sunday 11:00 AM - 11:30 AM (Data Science) | Jimmi</t>
  </si>
  <si>
    <t>06/03/2026 Friday 05:00 PM – 05:30 PM (Data Science)</t>
  </si>
  <si>
    <t>Python, JavaScript, Java, SQL, HTML/CSS</t>
  </si>
  <si>
    <t>06/03/2026 Friday 05:30 PM – 06:00 PM (Data Science)</t>
  </si>
  <si>
    <t>07/03/2026 Saturday 05:00 PM – 05:30 PM (Data Science)</t>
  </si>
  <si>
    <t>Need to recap or Improve 
Core concepts of DSA, DBMS, 
Problem Solving, Also required more work
 on new project and certication</t>
  </si>
  <si>
    <t>t4g2p3c3sj4j9b315ebmiji72g</t>
  </si>
  <si>
    <t xml:space="preserve">-She have done only required course project, nothing additional, not additional certification
- She was not able to solve basic coding problem
- She was not able to answer of basic DSA questions
- She was not able to answer of basic DBMS code concept questions </t>
  </si>
  <si>
    <t>07/03/2026 Saturday 05:30 PM – 06:00 PM (Data Science)</t>
  </si>
  <si>
    <t>https://drive.google.com/drive/folders/1vkiPiML-Mvn-Ccy-csQ1llqqBwCjeHA6?usp=sharing</t>
  </si>
  <si>
    <t>09/03/2026 Monday 04:00 PM – 04:30 PM (Programming)</t>
  </si>
  <si>
    <t>09/03/2026 Monday 04:30 PM – 05:00 PM (Programming)</t>
  </si>
  <si>
    <t>ML</t>
  </si>
  <si>
    <t>10/03/2026 Tuesday 05:00 PM – 05:30 PM (Programming)</t>
  </si>
  <si>
    <t>10/03/2026 Tuesday 05:30 PM – 06:00 PM (Programming)</t>
  </si>
  <si>
    <t>https://drive.google.com/file/d/1AtR2B02Va2xmDG8uICY4uK3B-tHv9pMP/view?usp=sharing</t>
  </si>
  <si>
    <t>- End to end ML project 
- Learn the basic algorithms</t>
  </si>
  <si>
    <t>09/03/2026 Monday 05:00 PM – 05:30 PM (Programming)</t>
  </si>
  <si>
    <t>- Will be good to go through MLP &amp; MLT content thoroughly again
- Work on end-to-end ML Project with focus on understanding each component
- The projects in resume are currently not accessible to all. Please update the same.</t>
  </si>
  <si>
    <t>09/03/2026 Monday 05:30 PM – 06:00 PM (Programming)</t>
  </si>
  <si>
    <t>24/01/2026 Saturday 11:30 AM - 12:00 PM (Programming) | Nidhishkumar</t>
  </si>
  <si>
    <t>09/03/2026 Monday 07:00 PM – 07:30 PM (Programming)</t>
  </si>
  <si>
    <t>09/03/2026 Monday 07:30 PM – 08:00 PM (Programming)</t>
  </si>
  <si>
    <t>https://drive.google.com/file/d/18chfh25ETAO_QxHf6WqW3Gl_iSk9mNcK/view?usp=sharing</t>
  </si>
  <si>
    <t>10/03/2026 Tuesday 07:00 PM – 07:30 PM (Programming)</t>
  </si>
  <si>
    <t>10/03/2026 Tuesday 07:30 PM – 08:00 PM (Programming)</t>
  </si>
  <si>
    <t>Software Dev, Application Developer</t>
  </si>
  <si>
    <t>11/03/2026 Wednesday 07:00 PM – 07:30 PM (Programming)</t>
  </si>
  <si>
    <t>- Need to improve the presentation skill
- Revise DSA, SQL
- His responses to the questions are somewhat okay, but need to improve on clarity</t>
  </si>
  <si>
    <t>fuqmo59ru6iplbb3fno2vmtsqs</t>
  </si>
  <si>
    <t>11/03/2026 Wednesday 07:30 PM – 08:00 PM (Programming)</t>
  </si>
  <si>
    <t>12/03/2026 Thursday 07:00 PM – 07:30 PM (Programming)</t>
  </si>
  <si>
    <t>28/01/2026 Wednesday 11:00 AM - 11:30 AM (Data Science) | Vishal</t>
  </si>
  <si>
    <t>qdc3u4im254e7t6clikb6r3ioc</t>
  </si>
  <si>
    <t>12/03/2026 Thursday 07:30 PM – 08:00 PM (Programming)</t>
  </si>
  <si>
    <t>13/03/2026 Friday 05:00 PM – 05:30 PM (Programming)</t>
  </si>
  <si>
    <t>- Learn the basic methods &amp; algorithms
- Update the project</t>
  </si>
  <si>
    <t>6kt7p5ktpmm6nos080oou4jg9c</t>
  </si>
  <si>
    <t>ANJALI GALAV</t>
  </si>
  <si>
    <t>13/03/2026 Friday 05:30 PM – 06:00 PM (Programming)</t>
  </si>
  <si>
    <t>- The first project in resume (System Threat Forecast) is very cluttered and should be brought to a presentable format
- Was not clear on basic algorithms like Linear Regression, Decision Tree, Evaluation metrics. Will be good to brush up basic ideas in ML</t>
  </si>
  <si>
    <t>13/03/2026 Friday 07:00 PM – 07:30 PM (Programming)</t>
  </si>
  <si>
    <t>ire1teg0t7hq06o03f63vn3ak8</t>
  </si>
  <si>
    <t>13/03/2026 Friday 07:30 PM – 08:00 PM (Programming)</t>
  </si>
  <si>
    <t>09/03/2026 Monday 06:00 PM – 06:30 PM (Data Science)</t>
  </si>
  <si>
    <t xml:space="preserve">Internship </t>
  </si>
  <si>
    <t>co4rvtj7pfqbcspd4grcummjvg</t>
  </si>
  <si>
    <t>09/03/2026 Monday 06:30 PM – 07:00 PM (Data Science)</t>
  </si>
  <si>
    <t>09/03/2026 Monday 07:00 PM – 07:30 PM (Data Science)</t>
  </si>
  <si>
    <t>kar970dgf1400okgnk5fdluhos</t>
  </si>
  <si>
    <t>09/03/2026 Monday 07:30 PM – 08:00 PM (Data Science)</t>
  </si>
  <si>
    <t>12/03/2026 Thursday 07:00 PM – 07:30 PM (Data Science)</t>
  </si>
  <si>
    <t>92ip2h4875gpa23i2175vamjfs</t>
  </si>
  <si>
    <t>https://drive.google.com/file/d/1p7lGKMC9QgpJzhIicXUJwcR0TmYxrn_U/view?usp=drive_link</t>
  </si>
  <si>
    <t>12/03/2026 Thursday 07:30 PM – 08:00 PM (Data Science)</t>
  </si>
  <si>
    <t>10/03/2026 Tuesday 04:00 PM – 04:30 PM (Data Science)</t>
  </si>
  <si>
    <t>nddnb2ejidjvlmcpk8dref1bec</t>
  </si>
  <si>
    <t>10/03/2026 Tuesday 04:30 PM – 05:00 PM (Data Science)</t>
  </si>
  <si>
    <t>10/03/2026 Tuesday 06:00 PM – 06:30 PM (Data Science)</t>
  </si>
  <si>
    <t>hu3inrlfuq4bhf3dec43i4a1mg</t>
  </si>
  <si>
    <t>10/03/2026 Tuesday 06:30 PM – 07:00 PM (Data Science)</t>
  </si>
  <si>
    <t>Java, Python, JavaScript,React.js, 
Next.js,MySQL, MongoDB,
REST APIs, Vercel, Render</t>
  </si>
  <si>
    <t>10/03/2026 Tuesday 11:00 AM – 11:30 AM (Data Science)</t>
  </si>
  <si>
    <t>666d9p9nm2toa4dvi2uvfji6nc</t>
  </si>
  <si>
    <t>10/03/2026 Tuesday 11:30 AM – 12:00 PM (Data Science)</t>
  </si>
  <si>
    <t>https://drive.google.com/file/d/1zxSn6VUduXpMRAgg7QPsMqCpvRPfD77P/view?usp=drive_link</t>
  </si>
  <si>
    <t>Overall technically good, 
Just improve communication little bit</t>
  </si>
  <si>
    <t>10/03/2026 Tuesday 12:00 PM – 12:30 PM (Data Science)</t>
  </si>
  <si>
    <t>10/03/2026 Tuesday 12:30 PM – 01:00 PM (Data Science)</t>
  </si>
  <si>
    <r>
      <rPr/>
      <t xml:space="preserve">- She have created additional applications otherthan achademin project.
- Good understanding of technical parts of development.
- DSA and Problem Solving, DBMS understanding is good
- Overall looks ready for placement. She is also selected for </t>
    </r>
    <r>
      <rPr>
        <color rgb="FF1155CC"/>
        <u/>
      </rPr>
      <t>ANAM.AI</t>
    </r>
    <r>
      <rPr/>
      <t xml:space="preserve"> internship in IIT Ropar</t>
    </r>
  </si>
  <si>
    <t>11/03/2026 Wednesday 11:00 AM – 11:30 AM (Data Science)</t>
  </si>
  <si>
    <t>m4d1ktomjrsdv08p5da39fnud8</t>
  </si>
  <si>
    <t>11/03/2026 Wednesday 11:30 AM – 12:00 PM (Data Science)</t>
  </si>
  <si>
    <t>11/03/2026 Wednesday 12:00 PM – 12:30 PM (Data Science)</t>
  </si>
  <si>
    <t>11/03/2026 Wednesday 12:30 PM – 01:00 PM (Data Science)</t>
  </si>
  <si>
    <t>12/03/2026 Thursday 11:00 AM – 11:30 AM (Data Science)</t>
  </si>
  <si>
    <t>Programming - Employment</t>
  </si>
  <si>
    <t>bn4uv8r47f637jg1c6k1t7lups</t>
  </si>
  <si>
    <t>12/03/2026 Thursday 11:30 AM – 12:00 PM (Data Science)</t>
  </si>
  <si>
    <t>12/03/2026 Thursday 12:00 PM – 12:30 PM (Data Science)</t>
  </si>
  <si>
    <t>29/01/2026 Thursday 05:30 PM - 06:00 PM (Programming) | Atul</t>
  </si>
  <si>
    <t>12/03/2026 Thursday 12:30 PM – 01:00 PM (Data Science)</t>
  </si>
  <si>
    <t>19/03/2026 Thursday 04:00 PM – 04:30 PM (Programming)</t>
  </si>
  <si>
    <t>Python, Flask/django, Vue JS</t>
  </si>
  <si>
    <t>19/03/2026 Thursday 04:30 PM – 05:00 PM (Programming)</t>
  </si>
  <si>
    <t>20/03/2026 Friday 04:00 PM – 04:30 PM (Programming)</t>
  </si>
  <si>
    <t>obasq8nrdevu0nsblovpv0b3oo</t>
  </si>
  <si>
    <t>20/03/2026 Friday 04:30 PM – 05:00 PM (Programming)</t>
  </si>
  <si>
    <t>- Not able to answer how hashing works
- Not able to implement NxN matrix diagonal sum
- Not able to explain logic for insert last node</t>
  </si>
  <si>
    <r>
      <rPr>
        <rFont val="Arial"/>
        <b/>
        <color theme="1"/>
      </rPr>
      <t>Satya:</t>
    </r>
    <r>
      <rPr>
        <rFont val="Arial"/>
        <color theme="1"/>
      </rPr>
      <t xml:space="preserve">
- Student missed all basics of programming
- Not able to write select query for Employee details of max salary
- Required another 1-month to refer DSA, DBMS and full stack frameworks
- Strongly recommented to practice leetcode problems
- Student needs 1-Month to prepare and attend again for 1-1 session</t>
    </r>
  </si>
  <si>
    <t>hnarg1uceufakbsoeoij8j2vn4</t>
  </si>
  <si>
    <t>SARITA KUMARI</t>
  </si>
  <si>
    <t>https://drive.google.com/file/d/1jdYm1MI-KqANuvJhtTvz4hKP5DxdL_Mk/view?usp=drivesdk</t>
  </si>
  <si>
    <t>ppqcase0frbnu5ib9kkjcvpae8</t>
  </si>
  <si>
    <t>Python, Flask/django/fast api, JS/React basics</t>
  </si>
  <si>
    <t>20/03/2026 Friday 07:00 PM – 07:30 PM (Programming)</t>
  </si>
  <si>
    <t>20/03/2026 Friday 07:30 PM – 08:00 PM (Programming)</t>
  </si>
  <si>
    <t>https://drive.google.com/file/d/1dfiO0Q_g6Kp9suRDc2y0LT3xlrsiAs7L/view?usp=drivesdk</t>
  </si>
  <si>
    <t>- She has to practice leetcode/hacker rank problems
- Need to refer DSA all basics
- Need to prepare basic SQL queries
- Need to be strong on git repos on hand</t>
  </si>
  <si>
    <r>
      <rPr>
        <rFont val="Arial"/>
        <b/>
        <color theme="1"/>
      </rPr>
      <t>Satya:</t>
    </r>
    <r>
      <rPr>
        <rFont val="Arial"/>
        <color theme="1"/>
      </rPr>
      <t xml:space="preserve">
- Required another 1-month to refer DSA, DBMS and full-stack frameworks
- Strongly recommended to practice LeetCode problems
- Student needs 1-Month to prepare and attend again for a 1-1 session</t>
    </r>
  </si>
  <si>
    <t>20/03/2026 Friday 06:00 PM – 06:30 PM (Programming)</t>
  </si>
  <si>
    <t>TILWANI MANAN VASUDEV</t>
  </si>
  <si>
    <t>28/01/2026 Wednesday 11:00 AM - 11:30 AM (Data Science) | Aniruddha</t>
  </si>
  <si>
    <t>20/03/2026 Friday 06:30 PM – 07:00 PM (Programming)</t>
  </si>
  <si>
    <t>JS, CSS, HTML, Python</t>
  </si>
  <si>
    <t>20/03/2026 Friday 07:00 PM – 07:30 PM (Data Science)</t>
  </si>
  <si>
    <t>q363bs9hqctn0f9sf75b50ogvg</t>
  </si>
  <si>
    <t>20/03/2026 Friday 07:30 PM – 08:00 PM (Data Science)</t>
  </si>
  <si>
    <t>19/03/2026 Thursday 11:00 AM – 11:30 AM (Data Science)</t>
  </si>
  <si>
    <t>Frontend Dev</t>
  </si>
  <si>
    <t>- He needs to work on Backend part</t>
  </si>
  <si>
    <t>https://drive.google.com/drive/folders/11rMD6eByEOWepXNSlNIpNcP1BSAlc47l?usp=sharing</t>
  </si>
  <si>
    <t>s79tlhqkcobvjk1td3mme2ucms</t>
  </si>
  <si>
    <t>ABHINAV TIWARI</t>
  </si>
  <si>
    <t>19/03/2026 Thursday 11:30 AM – 12:00 PM (Data Science)</t>
  </si>
  <si>
    <t>19/03/2026 Thursday 12:00 PM – 12:30 PM (Data Science)</t>
  </si>
  <si>
    <t>HTML/CSS, Vue.js, Typescript</t>
  </si>
  <si>
    <t>19/03/2026 Thursday 12:30 PM – 01:00 PM (Data Science)</t>
  </si>
  <si>
    <t>19/03/2026 Thursday 04:30 PM – 05:00 PM (Data Science)</t>
  </si>
  <si>
    <t>https://drive.google.com/drive/folders/1S7KDglkFYpU8RIb0j_70T2r17nQEsRmz?usp=sharing</t>
  </si>
  <si>
    <t>tq8efnviap0436unbsts1kl3j0</t>
  </si>
  <si>
    <t>19/03/2026 Thursday 05:00 PM – 05:30 PM (Data Science)</t>
  </si>
  <si>
    <t>- He is not able to communicate the ideas properly. Should work on this
- Work on backend related projects
- Revise MAD2</t>
  </si>
  <si>
    <t>- Should work on his communication
- Should work on backend related tech stacks</t>
  </si>
  <si>
    <t>19/03/2026 Thursday 05:30 PM – 06:00 PM (Data Science)</t>
  </si>
  <si>
    <t>19/03/2026 Thursday 06:00 PM – 06:30 PM (Data Science)</t>
  </si>
  <si>
    <t>23/03/2026 Monday 04:00 PM – 04:30 PM (Data Science)</t>
  </si>
  <si>
    <t>27/01/2026 Tuesday 11:00 AM - 11:30 AM (Data Science) | Aniruddha</t>
  </si>
  <si>
    <t>9gqjjkpr6kobacinih79echg9c</t>
  </si>
  <si>
    <t>23/03/2026 Monday 04:30 PM – 05:00 PM (Data Science)</t>
  </si>
  <si>
    <t>23/03/2026 Monday 05:00 PM – 05:30 PM (Data Science)</t>
  </si>
  <si>
    <t>23/03/2026 Monday 05:30 PM – 06:00 PM (Data Science)</t>
  </si>
  <si>
    <t>22/03/2026 Sunday 06:00 PM – 06:30 PM (Data Science)</t>
  </si>
  <si>
    <t>https://drive.google.com/file/d/1Dr3WPgbfqgYeiqw-0mV8zJEOhB-BN389/view?usp=drivesdk</t>
  </si>
  <si>
    <t>lsag1ev12podu7j4kalmvbehfk</t>
  </si>
  <si>
    <t>22/03/2026 Sunday 06:30 PM – 07:00 PM (Data Science)</t>
  </si>
  <si>
    <t>p4d6p9kga8mi81jbogpg1f1vds</t>
  </si>
  <si>
    <t>- MLT and MLP concepts have to be revised
- Focus on each code snippet while doing an ML based project</t>
  </si>
  <si>
    <t>- Resume should have links to project and their titles should be updated accordingly
- The projects themselves should be presented better with important findings mentioned, erroneous code removed and LLM comments removed as well
- MLT and MLP should be revised entirely. The student could not answer most questions</t>
  </si>
  <si>
    <t>23/03/2026 Monday 11:00 AM – 11:30 AM (Data Science)</t>
  </si>
  <si>
    <t>e9fr4pj8o4rnmtpnd3bseq9504</t>
  </si>
  <si>
    <t>https://drive.google.com/file/d/1unvZ6U0bnT-Pd1f_rF5lLq_1gC0iP8HK/view?usp=drivesdk</t>
  </si>
  <si>
    <t>23/03/2026 Monday 11:30 AM – 12:00 PM (Data Science)</t>
  </si>
  <si>
    <t>23/03/2026 Monday 12:00 PM – 12:30 PM (Data Science)</t>
  </si>
  <si>
    <t>23/03/2026 Monday 12:30 PM – 01:00 PM (Data Science)</t>
  </si>
  <si>
    <t>24/03/2026 Tuesday 11:00 AM – 11:30 AM (Data Science)</t>
  </si>
  <si>
    <t>- Brush up on ML fundamentals
- Attempt DL based projects after that due to the completed course work</t>
  </si>
  <si>
    <t>7vr97sns4evooj9jhvpbptscps</t>
  </si>
  <si>
    <t>24/03/2026 Tuesday 11:30 AM – 12:00 PM (Data Science)</t>
  </si>
  <si>
    <t>- Highlight important insights from the project
- Have a thorough understanding of techniques used in the project and why the choice has been made
- Based on the completed coursework, attempt some more projects after brushing up on the foundations</t>
  </si>
  <si>
    <t>24/03/2026 Tuesday 12:00 PM – 12:30 PM (Data Science)</t>
  </si>
  <si>
    <t>24/03/2026 Tuesday 12:30 PM – 01:00 PM (Data Science)</t>
  </si>
  <si>
    <t>26/03/2026 Thursday 04:00 PM – 04:30 PM (Programming)</t>
  </si>
  <si>
    <t>26/03/2026 Thursday 04:30 PM – 05:00 PM (Programming)</t>
  </si>
  <si>
    <t>28/01/2026 Wednesday 11:00 AM - 11:30 AM(Programming) | Arup</t>
  </si>
  <si>
    <t>28/03/2026 Saturday 04:00 PM – 04:30 PM (Programming)</t>
  </si>
  <si>
    <t>28/03/2026 Saturday 04:30 PM – 05:00 PM (Programming)</t>
  </si>
  <si>
    <t>Either Student Absent or Instructor Absent</t>
  </si>
  <si>
    <t>30/03/2026 Monday 04:00 PM – 04:30 PM (Programming)</t>
  </si>
  <si>
    <t>Not joined the meeting</t>
  </si>
  <si>
    <t>30/03/2026 Monday 04:30 PM – 05:00 PM (Programming)</t>
  </si>
  <si>
    <t>https://drive.google.com/file/d/1eVmSz6P6VBwjscrJIQ94PJ8a-rQrZbYZ/view?usp=sharing</t>
  </si>
  <si>
    <t>ken52dd1hahsj2k4imjsd42j7s</t>
  </si>
  <si>
    <t>0ibujaab888b3dmq6uqquqvjdc</t>
  </si>
  <si>
    <t>https://drive.google.com/file/d/1uTCSi8QAZyaNhdNKflSpU1exP38jZmvO/view?usp=sharing</t>
  </si>
  <si>
    <t>FastAPI, Flask, Vue.js, Python (Advanced), 
SQL (Postgres, SQLite, 
MySQL - Advanced Proficiency), HTML/CSS</t>
  </si>
  <si>
    <t>cmqi9usrspsjo4jpafsl9dbqjg</t>
  </si>
  <si>
    <t>Overall technically good, 
Just recap DBMS core concepts</t>
  </si>
  <si>
    <t>28/01/2026 Wednesday 11:00 AM - 11:30 AM(Programming) | Atul</t>
  </si>
  <si>
    <t>Software Dev, Application Developer
He is also Intrested in DS and ML</t>
  </si>
  <si>
    <t>-HE is good in Technically, answered DSA questions.
-He was also able to solve and debug the coding problem
-He is intrested in ML and DS but also ready for Programming role.
-Just need to recap DBMS core</t>
  </si>
  <si>
    <t>3vg20l9a43s56ivv33trtm0290</t>
  </si>
  <si>
    <t>31/03/2026 Tuesday 04:00 PM - 04:30 PM (Data Science)</t>
  </si>
  <si>
    <t>31/03/2026 Tuesday 04:30 PM - 05:00 PM (Data Science)</t>
  </si>
  <si>
    <t>Python, sklearn</t>
  </si>
  <si>
    <t>01/04/2026 Wednesday 07:00 PM - 07:30 PM (Data Science)</t>
  </si>
  <si>
    <t>01/04/2026 Wednesday 07:30 PM - 08:00 PM (Data Science)</t>
  </si>
  <si>
    <t>01/04/2026 Wednesday 04:00 PM - 04:30 PM (Programming)</t>
  </si>
  <si>
    <t>- Needs to work on fundamentals of Ml, DL, LLM
- Needs to also gain practical knowledge of Pytorch, HF etc</t>
  </si>
  <si>
    <t>01/04/2026 Wednesday 04:30 PM - 05:00 PM (Programming)</t>
  </si>
  <si>
    <t>02/04/2026 Thursday 04:00 PM - 04:30 PM (Programming)</t>
  </si>
  <si>
    <t>02/04/2026 Thursday 04:30 PM - 05:00 PM (Programming)</t>
  </si>
  <si>
    <t>27/03/2026 Friday 04:00 PM - 04:30 PM (Programming)</t>
  </si>
  <si>
    <t>27/03/2026 Friday 04:30 PM - 05:00 PM (Programming)</t>
  </si>
  <si>
    <t>FastAPI, Flask, Vue.js, SQL, 
MySQL, HTML/CSS, RAG, Langchain etc</t>
  </si>
  <si>
    <t>30/03/2026 Monday 05:00 PM - 05:30 PM (Programming)</t>
  </si>
  <si>
    <t>30/03/2026 Monday 05:30 PM - 06:00 PM (Programming)</t>
  </si>
  <si>
    <t>31/03/2026 Tuesday 04:00 PM - 04:30 PM (Programming)</t>
  </si>
  <si>
    <t>Full stack development + GenAI</t>
  </si>
  <si>
    <t>31/03/2026 Tuesday 04:30 PM - 05:00 PM (Programming)</t>
  </si>
  <si>
    <t>- Needs to work on his ML, DL, LLM fundamentals before any interview
- Good with practical stuff including full stack development and using LLMs through APIs.</t>
  </si>
  <si>
    <t>31/03/2026 Tuesday 06:00 PM - 06:30 PM (Programming)</t>
  </si>
  <si>
    <t>shubhammaurya@study.iitm.ac.in</t>
  </si>
  <si>
    <t>31/03/2026 Tuesday 06:30 PM - 07:00 PM (Programming)</t>
  </si>
  <si>
    <t>01/04/2026 Wednesday 07:00 PM - 07:30 PM (Programming)</t>
  </si>
  <si>
    <t>01/04/2026 Wednesday 07:30 PM - 08:00 PM (Programming)</t>
  </si>
  <si>
    <t>27/03/2026 Friday 11:00 AM - 11:15 AM (Data Science)</t>
  </si>
  <si>
    <t>Numpy, Pandas</t>
  </si>
  <si>
    <t>27/03/2026 Friday 11:15 AM - 11:30 AM (Data Science)</t>
  </si>
  <si>
    <t>https://drive.google.com/file/d/1ptB4axX90NcZbak-LEaVpfT4NQCO7gjV/view?usp=sharing</t>
  </si>
  <si>
    <t>27/03/2026 Friday 11:30 AM - 11:45 AM (Data Science)</t>
  </si>
  <si>
    <t>27/03/2026 Friday 11:45 AM - 12:00 PM (Data Science)</t>
  </si>
  <si>
    <t>27/03/2026 Friday 12:00 PM - 12:15 PM (Data Science)</t>
  </si>
  <si>
    <t>ML/Data Science intern</t>
  </si>
  <si>
    <t>Disha could explain the Machine Learning model life cycle. She has good potential; however, she has to revise the topics like Statistics, Probability, MLF, MLT, and MLP in depth. In the current state, she is eligible for an ML intern role. Detailed feedback has been provided to her.</t>
  </si>
  <si>
    <t>27/03/2026 Friday 12:15 PM - 12:30 PM (Data Science)</t>
  </si>
  <si>
    <t>https://drive.google.com/file/d/1edmeqwEgm5BYgGJmdJKIWSoliEFMa-9G/view?usp=sharing</t>
  </si>
  <si>
    <t>27/03/2026 Friday 12:30 PM - 12:45 PM (Data Science)</t>
  </si>
  <si>
    <t>27/03/2026 Friday 12:45 PM - 01:00 PM (Data Science)</t>
  </si>
  <si>
    <t>Nikitakumari</t>
  </si>
  <si>
    <t>30/03/2026 Monday 11:00 AM - 11:15 AM (Data Science)</t>
  </si>
  <si>
    <t>Numpy, Pandas, sklearn</t>
  </si>
  <si>
    <t>30/03/2026 Monday 11:15 AM - 11:30 AM (Data Science)</t>
  </si>
  <si>
    <t>30/03/2026 Monday 11:30 AM - 11:45 AM (Data Science)</t>
  </si>
  <si>
    <t>- He should revise all the basics before sitting for the interviews.</t>
  </si>
  <si>
    <t>30/03/2026 Monday 11:45 AM - 12:00 PM (Data Science)</t>
  </si>
  <si>
    <t>30/03/2026 Monday 12:00 PM - 12:15 PM (Data Science)</t>
  </si>
  <si>
    <t>30/03/2026 Monday 12:15 PM - 12:30 PM (Data Science)</t>
  </si>
  <si>
    <t>30/03/2026 Monday 12:30 PM - 12:45 PM (Data Science)</t>
  </si>
  <si>
    <t>https://drive.google.com/file/d/183dH8eZGNo1VhpW9u2ktXV6ZKmfX0uvx/view?usp=sharing</t>
  </si>
  <si>
    <t>30/03/2026 Monday 12:45 PM - 01:00 PM (Data Science)</t>
  </si>
  <si>
    <t>31/03/2026 Tuesday 11:00 AM - 11:15 AM (Data Science)</t>
  </si>
  <si>
    <t>31/03/2026 Tuesday 11:15 AM - 11:30 AM (Data Science)</t>
  </si>
  <si>
    <t>31/03/2026 Tuesday 11:30 AM - 11:45 AM (Data Science)</t>
  </si>
  <si>
    <t>- Needs to work on fundamentals.</t>
  </si>
  <si>
    <t>31/03/2026 Tuesday 11:45 AM - 12:00 PM (Data Science)</t>
  </si>
  <si>
    <t>https://drive.google.com/file/d/1LYEP3QelsNW3gX6MHae6r1Kc-6D4XZ6Y/view?usp=sharing</t>
  </si>
  <si>
    <t>31/03/2026 Tuesday 12:00 PM - 12:15 PM (Data Science)</t>
  </si>
  <si>
    <t>31/03/2026 Tuesday 12:15 PM - 12:30 PM (Data Science)</t>
  </si>
  <si>
    <t>Niraj</t>
  </si>
  <si>
    <t>31/03/2026 Tuesday 12:30 PM - 12:45 PM (Data Science)</t>
  </si>
  <si>
    <t>31/03/2026 Tuesday 12:45 PM - 01:00 PM (Data Science)</t>
  </si>
  <si>
    <t>27/01/2026 Tuesday 11:30 AM - 12:00 PM (Data Science) | Aniruddha</t>
  </si>
  <si>
    <t>5k3klijiihb5h6r0440vokm50c</t>
  </si>
  <si>
    <t>Need to revise concepts of ML model life cycle</t>
  </si>
  <si>
    <t>9b05flocb1p5i7amj6sv80ueq0</t>
  </si>
  <si>
    <t>Niraj could not answer basic questions like how to fill Nan values of a column with continuous numerical values, how to handle outliers, and clear distinction between bagging and boosting. He has been asked to revise his concepts of statistics, MLF, MLT and MLP. I have given him 2 weeks to prepare and appear for 1-o-1 again on 23/24th February.</t>
  </si>
  <si>
    <t>a5mesukoo7lpjug1enpq9bjmns</t>
  </si>
  <si>
    <t>50jrbvvbf45oj9poo0q8d2np18</t>
  </si>
  <si>
    <t>https://drive.google.com/file/d/1hjdqAongz3U-f-eLTbxs2xbXO8_f2quQ/view?usp=drivesdk</t>
  </si>
  <si>
    <t>f2lfgjgd6oit2384mue1vdhvdk</t>
  </si>
  <si>
    <t>https://drive.google.com/file/d/1kyZtwnZvHRXTvk4NI62d62_yYW1aIdBX/view?usp=drivesdk</t>
  </si>
  <si>
    <t>okaq5pnk6qnibc839k7s5hd65k</t>
  </si>
  <si>
    <t>ML/Data Scince intern</t>
  </si>
  <si>
    <t xml:space="preserve">Pavan could answer basic questions on the ML model life cycle. In the present state, he is fit for ML/Data Science intern roles. </t>
  </si>
  <si>
    <t>27/01/2026 Tuesday 6:30 PM - 7:00 PM (Programming) | Satyanarayana</t>
  </si>
  <si>
    <t>https://drive.google.com/file/d/1_XP_buF8A7PG69O03LyK7MygbmQzimUL/view?usp=sharing</t>
  </si>
  <si>
    <t>3drolh3cfb0t8fg60ci3qhpns4</t>
  </si>
  <si>
    <t>Praveen could answer basic questions on the ML model life cycle. In the present state, he is fit for ML/Data Science intern roles. He has to revise stats, MLF, MLT and MLP.</t>
  </si>
  <si>
    <t>https://drive.google.com/file/d/1lrvKcBkCP0giq43LyiByPG48o5yi1czv/view?usp=sharing</t>
  </si>
  <si>
    <t>39523an0qlrm1ha9iai719mn9c</t>
  </si>
  <si>
    <t>28/01/2026 Wednesday 11:30 AM - 12:00 PM(Programming) | Arup</t>
  </si>
  <si>
    <t>Deepak could answer basic questions on the ML model life cycle. In the present state, he is fit for ML/Data Science intern roles. He has to revise stats, MLF, MLT and MLP.</t>
  </si>
  <si>
    <t>https://drive.google.com/file/d/1--RgQT9oPO7gj_Ag3qqmPMICjE3cKvKq/view?usp=sharing</t>
  </si>
  <si>
    <t>ML, DL</t>
  </si>
  <si>
    <t>https://drive.google.com/file/d/1GiDbJzVsxCoxsHgon1P_Uya3AIp7zo1D/view?usp=sharing</t>
  </si>
  <si>
    <t xml:space="preserve">- The student was able to work on ML and DL related project well. She is intersted in practical ML/DL projects. The downside is poor CGPA due to poor marks in theory courses. 
- The stduent must brush up the theoretical concepts on ML.
- Also, should work on communicating the projects well to the interviewer. </t>
  </si>
  <si>
    <t>h6k6j46anh81tt0fb4odh54mk0</t>
  </si>
  <si>
    <t>27/01/2026 Tuesday 11:00 AM - 11:30 AM (Programming) | Arup</t>
  </si>
  <si>
    <t>28/03/2026 Saturday 04:00 PM - 04:30 PM (Data Science)</t>
  </si>
  <si>
    <t>toao6brli6heiva6dirvpkpg3g</t>
  </si>
  <si>
    <t>28/03/2026 Saturday 04:30 PM - 05:00 PM (Data Science)</t>
  </si>
  <si>
    <t>28/03/2026 Saturday 05:00 PM - 05:30 PM (Data Science)</t>
  </si>
  <si>
    <t>https://drive.google.com/file/d/1k6cHOMvvKLZmCsEMl7_2EXOru9Eg2uLQ/view?usp=sharing</t>
  </si>
  <si>
    <t>28/03/2026 Saturday 05:30 PM - 06:00 PM (Data Science)</t>
  </si>
  <si>
    <t>Data analyst, data engineer</t>
  </si>
  <si>
    <t>28/03/2026 Saturday 06:00 PM - 06:30 PM (Data Science)</t>
  </si>
  <si>
    <t xml:space="preserve"> - The student is doing internship currently. She is good for the role of data analyst.
- She must revisit ML concepts and algorithms to increase the chance of getting interviewed by the companies.</t>
  </si>
  <si>
    <t>https://drive.google.com/file/d/1LOLk3wyyxeposscvbUt6Yvq2enTZtwN7/view?usp=sharing</t>
  </si>
  <si>
    <t>mks352an2suaqrcuf600q2oimk</t>
  </si>
  <si>
    <t>28/03/2026 Saturday 06:30 PM - 07:00 PM (Data Science)</t>
  </si>
  <si>
    <t>30/03/2026 Monday 06:00 PM - 06:30 PM (Data Science)</t>
  </si>
  <si>
    <t>gn6kd0tu8cuj96cal6utm7p1lo</t>
  </si>
  <si>
    <t>30/03/2026 Monday 06:30 PM - 07:00 PM (Data Science)</t>
  </si>
  <si>
    <t>27/01/2026 Tuesday 11:30 AM - 12:00 PM (Data Science) | Vishal</t>
  </si>
  <si>
    <t>ML, DL, LLM, Agentic AI</t>
  </si>
  <si>
    <t>31/03/2026 Tuesday 05:00 PM - 05:30 PM (Data Science)</t>
  </si>
  <si>
    <t>31/03/2026 Tuesday 05:30 PM - 06:00 PM (Data Science)</t>
  </si>
  <si>
    <t>https://drive.google.com/file/d/1X8Y-DY-drae7kAGDqOKjQ0VhrfGpO1AT/view?usp=sharing</t>
  </si>
  <si>
    <t>hl8rhsv9ltmoqfr30tmi9v6aoo</t>
  </si>
  <si>
    <t>https://drive.google.com/file/d/10E6B7LIklPwQKIw7_P1XffGiYGumwsmE/view?usp=sharing</t>
  </si>
  <si>
    <t>- Demonstrates strong practical skills in ML, DL, and LLMs.
- Should strengthen theoretical understanding of ML and DL before appearing for interviews.</t>
  </si>
  <si>
    <t>5fogu6gubi14hhj1oo9pbaloho</t>
  </si>
  <si>
    <t>557304pr70kr37f1mp6nebjlhc</t>
  </si>
  <si>
    <t>Abhinav Tiwari</t>
  </si>
  <si>
    <t>https://drive.google.com/file/d/1CnkOJ-3ijkQedEhdOmd2VWG1weLk54d2/view?usp=sharing</t>
  </si>
  <si>
    <t>The student demonstrates good practical and theoretical skills in machine learning.
Further improvement can be achieved by working on more independent ML projects.</t>
  </si>
  <si>
    <t>ML, Matplotlib, Numpy, Pandas</t>
  </si>
  <si>
    <t>https://drive.google.com/file/d/1jWMiNBjI4mABDWV9-8UmhNOfIGXAx3mm/view?usp=sharing</t>
  </si>
  <si>
    <t>Ashish has to revise Stats, MLF,MLT and MLP.</t>
  </si>
  <si>
    <t>Ashih could not answer basic questions like outliers, underfitting, overfitting, and what actions to take for them. He has been advised to revise Statistics, MLF, MLT , and MLP. In the present state, he is nowhere close to the 'ready/eligible' state. He has to put in lots of effort to enhance his skillsets including theoretical knowledge.</t>
  </si>
  <si>
    <t>01/02/2026 Sunday 11:30 AM - 12:00 PM (Programming) | Nidhishkumar</t>
  </si>
  <si>
    <t>Rohit has to revise Stats, MLF,MLT and MLP.</t>
  </si>
  <si>
    <t>Rohit could not answer basic questions like outliers, underfitting, overfitting, and what actions to take for them. He has been advised to revise Statistics, MLF, MLT , and MLP.  He has to work on his communication skills as well, as he sounds very jittery and unconfident.</t>
  </si>
  <si>
    <t>https://drive.google.com/file/d/1cHUua9Yp7yTu3yZaMVO5pyc4DYOE-GY-/view?usp=sharing</t>
  </si>
  <si>
    <t>N/A. He is already doing internship in Syngenta</t>
  </si>
  <si>
    <t>Lakshya is doing an internship at Syngenta. I have advised him to give his best during the internship, so that he can get a PPO. With this 1-o-1, his training for the internship is complete.</t>
  </si>
  <si>
    <t>https://drive.google.com/file/d/1Y4ppnibkhhOfc5C130KZnccFLJx0ukDw/view?usp=drive_link</t>
  </si>
  <si>
    <t>03/02/2026 Tuesday 11:30 AM - 12:00 PM (Data Science) | Anamika</t>
  </si>
  <si>
    <t>https://drive.google.com/file/d/12ZrNnOzX8Zd-MBIzz8v-xWFuOmyy_5N8/view?usp=sharing</t>
  </si>
  <si>
    <t>Aditya could answer most of the questions. He has decent theoretical knowledge. In the present state, he is eligible for the role of an intern for ML and Data Science.  He has been advised to revise Statistics, MLF, MLT and MLP notes.</t>
  </si>
  <si>
    <t>Flask, JavaScript, React</t>
  </si>
  <si>
    <t>https://drive.google.com/file/d/1y10VHSVBM5wlecWBe_qkt1yg3PcWaGgD/view?usp=sharing</t>
  </si>
  <si>
    <t>- CV and Intro both need to be prepared well
- Confused with everything -- need to make specific answers
- Need to revise the theory on SQL, and other things mentioned in CV
- Need to have some idea about web application infra</t>
  </si>
  <si>
    <t>Web Developer</t>
  </si>
  <si>
    <t>- CV and Intro both need to be prepared well
- Confused with everything -- need to make specific answers
- Need to revise the theory on SQL, and other things mentioned in CV
- Need to have some idea about web application infra
- Need to be more presentable during the interview -- looks like always in too much hurry</t>
  </si>
  <si>
    <t>31/01/2026 Saturday 06:30 PM - 07:00 PM (Programming) | Satyanarayana</t>
  </si>
  <si>
    <t>The candidate has a moderate level understanding of ML concepts.  He mentioned that he is currently improving the project and plans to add it to his resume soon.</t>
  </si>
  <si>
    <t>ML,  DL,LLM</t>
  </si>
  <si>
    <t>https://drive.google.com/file/d/1YUXJg-aqxZsFlOOK53eOOuCfyiY6DGuw/view?usp=sharing</t>
  </si>
  <si>
    <t>ML/Data Scince intern , GenAI related roles</t>
  </si>
  <si>
    <t>- Lot of scope for improvement in resume.
-Consider adding a few rag based Project.
- Overall candidate is ready for internship related roles.</t>
  </si>
  <si>
    <t>ML, Data Science, Data Analysis</t>
  </si>
  <si>
    <t>31/01/2026 Saturday 06:00 PM - 06:30 PM (Programming) | Satyanarayana</t>
  </si>
  <si>
    <t>Data Science, ML</t>
  </si>
  <si>
    <t xml:space="preserve">- Resume has to be improved significantly. Update the format, add relevant hyperlinks to the project
- The MLP Project can be improved by adding more visualization, trying out other techniques and analysis of the trained models
- Brush up ML ideas used in the project so that they can be communicated well
- Would be good to pick up DL, GenAI skills to get access to more opportunities. </t>
  </si>
  <si>
    <t>Manan Tilwani</t>
  </si>
  <si>
    <t>Data Analysis, Google Sheets</t>
  </si>
  <si>
    <t>https://drive.google.com/file/d/1yEgY6U7X2W6ioN7DAc3y4GBCY9MG-S_W/view?usp=sharing</t>
  </si>
  <si>
    <t>https://drive.google.com/file/d/1H3UsSm7fehLCqDR_KV8o_500kapm7Gu_/view?usp=sharing</t>
  </si>
  <si>
    <t>31/01/2026 Saturday 11:00 AM - 11:30 AM (Programming) | Nidhishkumar</t>
  </si>
  <si>
    <t>Data Analysis</t>
  </si>
  <si>
    <t>- The student is primarily interested in Data Analysis roles. 
- Recommended to align resume to jobs roles that the student is interested in
- The student faced some difficulty in answering ML based questions. It is advised to be very thorough with any method mentioned in the resume 
- Picking up visualization tools and dashboarding tools will help
- Should focus on doing courses relevant to job roles and also do them well</t>
  </si>
  <si>
    <t>https://drive.google.com/file/d/1njgX8yM21P04_RCJ-rPHIO1284Ue7BJo/view?usp=sharing</t>
  </si>
  <si>
    <t>Kaushik Harsha</t>
  </si>
  <si>
    <t>Vue JS, Node JS</t>
  </si>
  <si>
    <t>20/04/2026 Monday 04:00 PM - 04:30 PM (Data Science)</t>
  </si>
  <si>
    <t>05/02/2026 Thursday 05:30 PM - 06:00 PM (Data Science) | Nikita</t>
  </si>
  <si>
    <t>bi8aal2d7783raacs5qsnv9jkc</t>
  </si>
  <si>
    <t>20/04/2026 Monday 04:30 PM - 05:00 PM (Data Science)</t>
  </si>
  <si>
    <t>Software Development Intern</t>
  </si>
  <si>
    <t xml:space="preserve">- Get good grasp on web terminologies </t>
  </si>
  <si>
    <t>hv3ihgm4e5ef3eubkisbi8t7ig</t>
  </si>
  <si>
    <t>20/04/2026 Monday 05:00 PM - 05:30 PM (Data Science)</t>
  </si>
  <si>
    <t>ff</t>
  </si>
  <si>
    <t>cd</t>
  </si>
  <si>
    <t>20/04/2026 Monday 05:30 PM - 06:00 PM (Data Science)</t>
  </si>
  <si>
    <t>21/04/2026 Tuesday 04:00 PM - 04:30 PM (Data Science)</t>
  </si>
  <si>
    <t>05/02/2026 Thursday 11:30 AM - 12:00 PM (Data Science) | Nikita</t>
  </si>
  <si>
    <t>dgabg9cp7397n1e1igudk6p6gg</t>
  </si>
  <si>
    <t>21/04/2026 Tuesday 04:30 PM - 05:00 PM (Data Science)</t>
  </si>
  <si>
    <t>kuuh59vq0lt42vtmc1p8ps2c8g</t>
  </si>
  <si>
    <t>m8pqqctdsqr8qs5bke9uotfnhs</t>
  </si>
  <si>
    <t>23/04/2026 Thursday 04:00 PM - 04:30 PM (Data Science)</t>
  </si>
  <si>
    <t>Rishav has to revise Stats, MLF,MLT and MLP.</t>
  </si>
  <si>
    <t>tn1ufrg32e97sir3vefasbvr98</t>
  </si>
  <si>
    <t>23/04/2026 Thursday 04:30 PM - 05:00 PM (Data Science)</t>
  </si>
  <si>
    <t>23/04/2026 Thursday 05:00 PM - 05:30 PM (Data Science)</t>
  </si>
  <si>
    <t>Rishav could not answer basic questions like meaning of outliers, actions to be taken in case of overfitting/underfitting, ensemble methods. He looked unprepared for the 1-o-1. He has been advised to prepare well for the 1-o-1 and reattempt after 2 weeks.</t>
  </si>
  <si>
    <t>o3k10idm8ob86gmvcv9i284mv8</t>
  </si>
  <si>
    <t>23/04/2026 Thursday 05:30 PM - 06:00 PM (Data Science)</t>
  </si>
  <si>
    <t>27/04/2026 Monday 04:00 PM - 04:30 PM (Data Science)</t>
  </si>
  <si>
    <t>hilt9lvk3fosv9o4p37bjaib5s</t>
  </si>
  <si>
    <t>27/04/2026 Monday 04:30 PM - 05:00 PM (Data Science)</t>
  </si>
  <si>
    <t>28/04/2026 Tuesday 04:00 PM - 04:30 PM (Data Science)</t>
  </si>
  <si>
    <t>pcrcd1385rovvf69q9cts05no0</t>
  </si>
  <si>
    <t>28/04/2026 Tuesday 04:30 PM - 05:00 PM (Data Science)</t>
  </si>
  <si>
    <t>j0140li4ju68hsqs97bpdvb4qo</t>
  </si>
  <si>
    <t>20/04/2026 Monday 04:00 PM - 04:30 PM (Programming)</t>
  </si>
  <si>
    <t>20/04/2026 Monday 04:30 PM - 05:00 PM (Programming)</t>
  </si>
  <si>
    <t>28/04/2026 Tuesday 04:00 PM - 04:30 PM (Programming)</t>
  </si>
  <si>
    <t>57nc64rsoktugton585qpvaq88</t>
  </si>
  <si>
    <t>28/04/2026 Tuesday 04:30 PM - 05:00 PM (Programming)</t>
  </si>
  <si>
    <t>28/04/2026 Tuesday 05:00 PM - 05:30 PM (Programming)</t>
  </si>
  <si>
    <t>28/04/2026 Tuesday 05:30 PM - 06:00 PM (Programming)</t>
  </si>
  <si>
    <t>-practice summarizing technical answers/Project in 1–2 minutes.
-LLMs and deep learning explanations can be more precise; highlight trade-offs and practical use cases.
-Add some end to end projects &amp; improve your resume.</t>
  </si>
  <si>
    <t>30/04/2026 Thursday 04:00 PM - 04:30 PM (Data Science)</t>
  </si>
  <si>
    <t>30/04/2026 Thursday 04:30 PM - 05:00 PM (Data Science)</t>
  </si>
  <si>
    <t>lq7m01fe47tmufmvo1lehkv3c8</t>
  </si>
  <si>
    <t>01/05/2026 Friday 11:00 AM - 11:15 AM (Data Science)</t>
  </si>
  <si>
    <t>qu1mtj5eh1m79c6jbg8b4s1s6c</t>
  </si>
  <si>
    <t>01/05/2026 Friday 11:15 AM - 11:30 AM (Data Science)</t>
  </si>
  <si>
    <t>01/05/2026 Friday 11:30 AM - 11:45 AM (Data Science)</t>
  </si>
  <si>
    <t>01/05/2026 Friday 11:45 AM - 12:00 PM (Data Science)</t>
  </si>
  <si>
    <t>01/05/2026 Friday 12:00 PM - 12:15 PM (Data Science)</t>
  </si>
  <si>
    <t>01/05/2026 Friday 12:15 PM - 12:30 PM (Data Science)</t>
  </si>
  <si>
    <t>01/05/2026 Friday 12:30 PM - 12:45 PM (Data Science)</t>
  </si>
  <si>
    <t>ML/DS intern</t>
  </si>
  <si>
    <t>Shrishti could answer most of the questions. She has decent theoretical knowledge. In the present state, she is eligible for the role of an intern for ML and Data Science.  She has been advised to revise Statistics, MLF, MLT and MLP notes.</t>
  </si>
  <si>
    <t>01/05/2026 Friday 12:45 PM - 01:00 PM (Data Science)</t>
  </si>
  <si>
    <t>Date</t>
  </si>
  <si>
    <t>Slot Time</t>
  </si>
  <si>
    <t>CGPA</t>
  </si>
  <si>
    <t>MLP_Score</t>
  </si>
  <si>
    <t>MLP_Feedback</t>
  </si>
  <si>
    <t>DLP_Score</t>
  </si>
  <si>
    <t>DLP_Feedback</t>
  </si>
  <si>
    <t>Ayan has to revise Stats, MLF,MLT and MLP.</t>
  </si>
  <si>
    <t>Portal Update status</t>
  </si>
  <si>
    <t>Ayan could not answer basic questions like meaning of outliers, actions to be taken in case of overfitting/underfitting, and ensemble methods satisfactorily. He looked unprepared for the 1-o-1. He has been advised to prepare well for the 1-o-1 and reattempt after 2 weeks.</t>
  </si>
  <si>
    <t>21/01/2026</t>
  </si>
  <si>
    <t>6:30 PM</t>
  </si>
  <si>
    <t>https://drive.google.com/file/d/1P2uyDNj3BmZ3_BQpILh0tCAQTXX6zhIH/view?usp=drivesdk</t>
  </si>
  <si>
    <t>She has to revise Stats, MLF,MLT and MLP.</t>
  </si>
  <si>
    <t>1on1</t>
  </si>
  <si>
    <t>Arya could not answer basic questions like meaning of outliers, actions to be taken in case of overfitting/underfitting, and ensemble methods satisfactorily. She looked unprepared for the 1-o-1. She has been advised to prepare well for the 1-o-1 and reattempt after 1 week.</t>
  </si>
  <si>
    <t>https://drive.google.com/file/d/1tBfun64L9q2g6fhf81qz57MCuT9m7zSP/view?usp=sharing</t>
  </si>
  <si>
    <t>Python, DSA, Flask, Node, Next Js</t>
  </si>
  <si>
    <t>Full stack developer</t>
  </si>
  <si>
    <r>
      <rPr>
        <rFont val="Arial"/>
        <b/>
        <color theme="1"/>
      </rPr>
      <t xml:space="preserve">Satya:
</t>
    </r>
    <r>
      <rPr>
        <rFont val="Arial"/>
        <color theme="1"/>
      </rPr>
      <t>- Leetcode problems 123(60Medium+10Hard)
- Hackerrank(5-start in Java)
- Checked various skills like Python, PDSA and frameworks. All are good
- Recommendation to the student: Continue the contribution towards leetcode and hacker rank
- Finally student is ready for internship/placement</t>
    </r>
  </si>
  <si>
    <t>Sklearn, analytics</t>
  </si>
  <si>
    <t>Data Analyst Intern</t>
  </si>
  <si>
    <t>- Grades not great, but she seems confident
- Should strengthen her fundamentals before she gets any internship opportunity
- Interested in data analytics, EDA, plotting etc</t>
  </si>
  <si>
    <t>24/01/2026</t>
  </si>
  <si>
    <t>10:00 AM</t>
  </si>
  <si>
    <t>Satya</t>
  </si>
  <si>
    <t>https://drive.google.com/file/d/1TzF6gekxHWhAaHSf6LRf2Jugb_SMMAzl/view</t>
  </si>
  <si>
    <t>- Needs to work on the ML fundamentals
- Low grades in ML courses
- Should work on more independent projects</t>
  </si>
  <si>
    <t>ML, LLM, RAG</t>
  </si>
  <si>
    <t>Grand Total</t>
  </si>
  <si>
    <t>-He currently has surface-level understanding of ML concepts and model optimization.
-Not confident on his own projects.</t>
  </si>
  <si>
    <t>COUNTA of Email</t>
  </si>
  <si>
    <t>Vijageetha could answer most of the questions. She has decent theoretical knowledge. In the present state, she is eligible for the role of an intern for ML and Data Science.  She has been advised to revise Statistics, MLF, MLT and MLP notes.</t>
  </si>
  <si>
    <t>10:30 AM</t>
  </si>
  <si>
    <t>Nimish could answer most of the questions. He has decent theoretical knowledge. In the present state, He is eligible for the role of an intern for ML and Data Science.  He has been advised to revise Statistics, MLF, MLT and MLP notes.</t>
  </si>
  <si>
    <t>Rajeevan could answer most of the questions. He has decent theoretical knowledge. In the present state, He is eligible for the role of an intern for ML and Data Science.  He has been advised to revise Statistics, MLF, MLT and MLP notes. He has good potential.</t>
  </si>
  <si>
    <t>Rohit could answer most of the questions. He has decent theoretical knowledge. In the present state, He is eligible for the role of an intern for ML and Data Science.  He has been advised to revise Statistics, MLF, MLT and MLP notes. He has good potential.</t>
  </si>
  <si>
    <t>PowerBI, SQL, sklearn</t>
  </si>
  <si>
    <t>Revise all ML concepts</t>
  </si>
  <si>
    <t>Data Analytics</t>
  </si>
  <si>
    <t>- Lacks clarity in basic ML fundamentals
- Needs to work on both ML theory as well as practice before she attempts any interview
- Advised to do some independent projects</t>
  </si>
  <si>
    <t>11:00 AM</t>
  </si>
  <si>
    <t>sklearn, pytorch</t>
  </si>
  <si>
    <t>- Good grades, but has forgotten soem basics
- Was able to answer some 60% of the questions
- Advised to revise all ML, DL fundamentals before any interview</t>
  </si>
  <si>
    <t>Spring Boot, Spring Cloud, Spring Security, Spring Data JPA, Hibernate, REST APIs</t>
  </si>
  <si>
    <r>
      <rPr>
        <rFont val="Arial"/>
        <color theme="1"/>
      </rPr>
      <t xml:space="preserve">- </t>
    </r>
    <r>
      <rPr>
        <rFont val="Arial"/>
        <b/>
        <color theme="1"/>
      </rPr>
      <t>Java Application/Web Developer</t>
    </r>
  </si>
  <si>
    <t>- Having good working experience
- Do not want to go for Python based work
- Okay with theory part</t>
  </si>
  <si>
    <t>Flask, Vue.js, Flutter, React, Click, Rich,
Socket.IO, Tailwind CSS, Capacitor.js.</t>
  </si>
  <si>
    <t>- Full Stack, Application/Web Developer</t>
  </si>
  <si>
    <t>- Having good working experience
- Need to revise SQL and DSA
- Good att web framework</t>
  </si>
  <si>
    <t>Flask, REST APIs, JWT, Vue.js, Redis, Celery</t>
  </si>
  <si>
    <t>- Web Developer</t>
  </si>
  <si>
    <t>- Need to focus on expolring more related technologies
- Need to enhance project experience - technology stack
- Revise the theories</t>
  </si>
  <si>
    <t>11:30 AM</t>
  </si>
  <si>
    <t>- Application/Web Developer</t>
  </si>
  <si>
    <t>- Need to focus on expolring more related technologies
- Good at CS theory
- Need to revise DSA</t>
  </si>
  <si>
    <t>Flask, MERN stack</t>
  </si>
  <si>
    <t>- Backend Developer</t>
  </si>
  <si>
    <t>- Can work on Backend terminalogies
- Rework on questions that were asked in the 1o1 sessions</t>
  </si>
  <si>
    <t>Weak recommendation. Student has to brush up on foundations and practice answering questions</t>
  </si>
  <si>
    <t>ML, Data Science</t>
  </si>
  <si>
    <t>- The project has generic statements. These should be updated with insights specific to the dataset. 
- Needs to brush up on ML foundations</t>
  </si>
  <si>
    <t>Learn the ideas taught in MLT and MLP</t>
  </si>
  <si>
    <t>Nidhishkumar</t>
  </si>
  <si>
    <t>- The student was initially recommended to clean the project notebook to remove redundant code snippets
- Subsequently, the student was unable to answer very fundamental questions in ML including those which have been used in the project. 
- Strongly recommended to redo the MLT and MLP courses</t>
  </si>
  <si>
    <t xml:space="preserve">Programming </t>
  </si>
  <si>
    <t>Ravi has to revise Stats, MLF,MLT and MLP.</t>
  </si>
  <si>
    <t>Ravi could not answer basic questions like meaning of outliers, overfitting satisfactorily. He looked unprepared for the 1-o-1. He has been advised to prepare well for the 1-o-1 and reattempt after 2 weeks.</t>
  </si>
  <si>
    <t>Roshan has to revise basics like Stats, MLF,MLT and MLP.</t>
  </si>
  <si>
    <t>Roshan could not answer basic questions like meaning of outliers, overfitting satisfactorily. He looked unprepared for the 1-o-1. He has been advised to prepare well for the 1-o-1 and reattempt after 2 weeks.</t>
  </si>
  <si>
    <t>Ripunjay could answer most of the questions. He has decent theoretical knowledge. In the present state, He is eligible for the role of an intern for ML and Data Science.  He has been advised to revise Statistics, MLF, MLT and MLP notes. He has good potential.</t>
  </si>
  <si>
    <t>Areeba has to revise  Stats, MLF,MLT and MLP.</t>
  </si>
  <si>
    <t>Areeba looked unprepared for the 1-o-1. She has been advised to prepare well for the 1-o-1 and reattempt after 1 week.</t>
  </si>
  <si>
    <t>Needs to update his resume. Add the links of the project done in resume. Work on the communication skill and revise the foundations once.</t>
  </si>
  <si>
    <t>Needs to update resume.</t>
  </si>
  <si>
    <t>Aniruddha A</t>
  </si>
  <si>
    <t>Shruit is doing MTech as a dual degree, and she has done a few internships. She has sound theoretical knowledge and has excellent communication skills. In the present state she is fit for 'internship followed by PPO' roles. She has good potential. She has to revise her DSA concepts.</t>
  </si>
  <si>
    <t xml:space="preserve">Soubhagya Nayak </t>
  </si>
  <si>
    <t>Scikit-Learn, Pandas, Numpy, Seaborn,</t>
  </si>
  <si>
    <t>Need to revise the topics in MLT and also improve the resume for data science profile</t>
  </si>
  <si>
    <t xml:space="preserve">- Need to revise the concepts of ML courses.
- Need to improve the resume for Data Science profiles </t>
  </si>
  <si>
    <t>Numpy, Pandas, Scikit-learn</t>
  </si>
  <si>
    <t>Need to update the resume currently it doesn't align with Data science profile</t>
  </si>
  <si>
    <t>- Need to improve the resume for Data Science profiles 
- Need to work on some projects to showcase the work
- Need to work on communication as it felt a lot like reading than talking</t>
  </si>
  <si>
    <t>Numpy, Pandas, Scikit-learn, Matplotlib, Tableau,</t>
  </si>
  <si>
    <t>5:30 PM</t>
  </si>
  <si>
    <t>- ML concepts are fine but need to brush up the concepts before the interview
- Need to work on the projects on ML topics</t>
  </si>
  <si>
    <t>SQL, Pandas, Numpy, Matplotlib, seaborn, scikit-learn, PyTorch, HuggingFace, LLMs</t>
  </si>
  <si>
    <t xml:space="preserve">- Currently pursuing B.Tech from IIIT Pune with good CGPA.
- She has adequate knowledge of ML courses to go for an internship
- Communicated well while answering the questions </t>
  </si>
  <si>
    <t>Rishit could answer most of the questions in the fields of Machine Learning &amp; Data Science. He has sound theoretical knowledge and has excellent communication skills. In the present state hhe is fit for 'internship followed by PPO' roles. He has good potential. She has to revise her DSA and SQL skills.</t>
  </si>
  <si>
    <t>Pandas, NumPy, Scikit-learn, Flask, Streamlit</t>
  </si>
  <si>
    <t>- He has experience as intern in multiple companies for data science roles.
- He is in Diploma but he has a decent knowledge in DL and LLMs 
- Need to work on communication skill. sometimes it was difficult to understand the explanation</t>
  </si>
  <si>
    <t>5:00 PM</t>
  </si>
  <si>
    <t>Pandas, NumPy, Scikit-learn, Matplotlib, Seaborn</t>
  </si>
  <si>
    <t xml:space="preserve">- He was able to answer the ML related questions but need to brush up the concepts in depth. Upon cross questioning he was getting stuck while answering. 
- Need to build a good portfolio of projects with varieties. </t>
  </si>
  <si>
    <t>- The student was able to answer questions related to the project he completed.
- However, he struggled with theoretical concepts and should strengthen his understanding of ML theory.
- The resume needs improvement; it is recommended to work on presenting it more effectively.</t>
  </si>
  <si>
    <t>ML, Pandas, NumPy, Scikit-learn, Matplotlib, Seaborn, Huggingface</t>
  </si>
  <si>
    <t>- The student is currently working as an intern in the automation domain and is interested in pursuing a career in data science.
- Demonstrates good understanding of machine learning concepts but needs to refresh knowledge in deep learning.
- The CGPA is slightly on the lower side.</t>
  </si>
  <si>
    <t>Hiyai has to revise Stats, MLF,MLT and MLP.</t>
  </si>
  <si>
    <t>Hiya could not answer basic questions like meaning of outliers, overfitting satisfactorily. She looked unprepared for the 1-o-1. She has been advised to prepare well for the 1-o-1 and reattempt after 2 weeks.</t>
  </si>
  <si>
    <t>Karthikeyan has to revise Stats, MLF,MLT and MLP.</t>
  </si>
  <si>
    <t>Karthikeyan could not answer basic questions like meaning of outliers, overfitting satisfactorily. He looked unprepared for the 1-o-1. He has been advised to prepare well for the 1-o-1 and reattempt after 2 weeks.</t>
  </si>
  <si>
    <t>Ravisha has to revise Stats, MLF,MLT and MLP.</t>
  </si>
  <si>
    <t>Ravisha could not answer basic questions like meaning of outliers, overfitting satisfactorily. She looked unprepared for the 1-o-1. She has been advised to prepare well for the 1-o-1 and reattempt after 2 weeks.</t>
  </si>
  <si>
    <t>25/01/2026</t>
  </si>
  <si>
    <t>Khushi could answer most of the questions in the fields of Machine Learning &amp; Data Science. She has sound theoretical knowledge and has excellent communication skills. In the present state she is fit for 'internship' roles. She has good potential. She has to revise her DSA and SQL skills.</t>
  </si>
  <si>
    <t>Pytorch, Tensorflow, Langgraph, Agentic AI, AWS, Container, Docker, OpenCV, FAISS, HF</t>
  </si>
  <si>
    <t>https://drive.google.com/file/d/1Y4ppnibkhhOfc5C130KZnccFLJx0ukDw/view?usp=sharing</t>
  </si>
  <si>
    <t>Data Science, GenAI, Cloud</t>
  </si>
  <si>
    <t>Seems quite ready for any placement/internship interview
Already having a good exposure to data science practical aspects through several internships</t>
  </si>
  <si>
    <t>Sklearn, Pandas, Numpy</t>
  </si>
  <si>
    <t>Revise all MLF, MLT, MLP courses really well</t>
  </si>
  <si>
    <t xml:space="preserve">Data Science </t>
  </si>
  <si>
    <t>She incorrectly answered many basic questions
Needs to get a better understanding of concepts
Needs to communicate her expanation better
Would be good to use a better resume template</t>
  </si>
  <si>
    <t>Numpy, Pandas, Sklearn, ML</t>
  </si>
  <si>
    <t>Data analyst</t>
  </si>
  <si>
    <t>The student is yet to do courses like DL, MLP. I would suggest the student sit for placements in the next cycle.</t>
  </si>
  <si>
    <t>Harsh has to revise Statistics and MLP, expecially the ML model lifecycle</t>
  </si>
  <si>
    <t>Harsh has not revised and could not answer questions like ensemble methods, outlierr. He has been advised to revise his notes of  stats, MLF, MLT and MLP. He has also been asked to go through the ML model lifecycle. He has to reappear after 2 weeks.</t>
  </si>
  <si>
    <t>Soubhagya could answer around 60% of the questions. He looked unprepared  He has been advised to revise his notes of stats, MLF, MLT and MLP. He has also been asked to go through the ML model lifecycle. He has been declared eligible for ML intern. However, he has to revise and work on his theoretical knowledge.</t>
  </si>
  <si>
    <t>Aditri has to revise Statistics and MLP, expecially the ML model lifecycle</t>
  </si>
  <si>
    <t>Aditri has not revised and could not answer questions like strategies to fill Nan values and handling outliers. She has been advised to revise her notes of stats, MLF, MLT, and MLP. She has also been asked to go through the ML model lifecycle and the interview questions shared by the IIC. She has to reappear after revision on 22nd March.</t>
  </si>
  <si>
    <t>Shrikrishna</t>
  </si>
  <si>
    <t>Vue.js, Express.js, Backend and frontend js dev</t>
  </si>
  <si>
    <t>Web dev roles</t>
  </si>
  <si>
    <t xml:space="preserve">Student is already working in the intership. He needs to brush up on cloud architecture and webhooks. He should continue in this internship as he has started recently, and gain some experience. He should do app dev lab course also. </t>
  </si>
  <si>
    <t>Samreen could answer most of the questions in the fields of Machine Learning &amp; Data Science. She has sound theoretical knowledge and has excellent communication skills. In the present state she is fit for 'internship' roles. She has good potential. She has to revise her DSA and SQL skills.</t>
  </si>
  <si>
    <t>Vikhari has to revise Statistics ( topics like IQR, Outliers, Bias, Variance), MLF, MLT &amp; MLP</t>
  </si>
  <si>
    <t>Vaikhari has not revised and could not answer questions like ensemble methods and hyperparameters of a DT model, and other basic questions She has been advised to revise her notes of  stats, MLF, MLT and MLP. She has also been asked to go through the ML model lifecycle. She has to reappear after 2 weeks.</t>
  </si>
  <si>
    <t>27/01/2026</t>
  </si>
  <si>
    <t>Amit could answer most of the questions in the fields of Machine Learning &amp; Data Science. He has sound theoretical knowledge and has excellent communication skills. In the present state he is fit for 'internship' roles. He has good potential. He has to revise her DSA and SQL skills.</t>
  </si>
  <si>
    <t>He has to revise Statistics ( topics like IQR, Outliers, Bias, Variance), MLF, MLT &amp; MLP</t>
  </si>
  <si>
    <t>Prajal has not revised and could not answer questions like ensemble methods and hyper-parameters of a DT model,  He looked unprepared. He has been advised to revise her notes of stats, MLF, MLT and MLP. He has also been asked to go through the ML model lifecycle. He has to reappear after 2 weeks.</t>
  </si>
  <si>
    <t>ML engineer, Data analyst, data engineer, ML roles</t>
  </si>
  <si>
    <t>- She has demonstrated good skills in machine learning and appears to be a suitable candidate for roles related to ML.
- Her CGPA is relatively lower, primarily due to weaker performance during the foundational courses.
- She exited the program after completing the Data Science Diploma. It would be beneficial for her to further strengthen her knowledge and practical experience in deep learning–related areas.</t>
  </si>
  <si>
    <t>Vue, SQL, Docker, DSA</t>
  </si>
  <si>
    <t xml:space="preserve">Needs to prepare on Overall web dev and cloud, knows DSA but not able explain clearly, work on communication skill, Should update the resume and learn about deployment </t>
  </si>
  <si>
    <t>- The candidate needs to refresh their understanding of unsupervised machine learning algorithms. Overall, they appear to be a good candidate.
-It would be beneficial for the candidate to work on machine learning projects involving more complex datasets to strengthen practical experience.
- Additionally, learning and gaining familiarity with deep learning concepts is recommended to improve future opportunities.</t>
  </si>
  <si>
    <t>AWS, React , Javascript, CSS</t>
  </si>
  <si>
    <t xml:space="preserve">Needs to work on backend knowledge( sql, api etc. everything related to databases) , Can be good with freenlancing role for js static website creation ( using LLM ) , knows about aws and cloud, and done deployment work, not ready for internship yet. </t>
  </si>
  <si>
    <t>Samta Ranka</t>
  </si>
  <si>
    <t>Samta has to revise Statistics ( topics like IQR, Outliers, Bias, Variance), MLF, MLT &amp; MLP</t>
  </si>
  <si>
    <t>Samta has not revised and could not answer questions like ensemble methods and hyper-parameters of a DT model, She looked unprepared. She has been advised to revise her notes of stats, MLF, MLT and MLP. She has also been asked to go through the ML model lifecycle. She has to reappear after 2 weeks.</t>
  </si>
  <si>
    <t>None</t>
  </si>
  <si>
    <t>- work on basics
- work on the concepts of frontend
- revise the projects deeply
- revise theory concepts in detail</t>
  </si>
  <si>
    <t>Rishav has very poor understanding of the app dev concepts, most of the answers were very vague or incorrect. Needs to go through the concepts from basics.</t>
  </si>
  <si>
    <t>Vue, Flutter, Firebase</t>
  </si>
  <si>
    <t>Feedback</t>
  </si>
  <si>
    <t>Internship on Frontend roles</t>
  </si>
  <si>
    <t>The student has good grasp of the technologies used in his projects. His theoritical understanding and communication is alsp good and can explain concepts.</t>
  </si>
  <si>
    <t>Satya:
- Student is perfectly suitable for SDE/Full stack
developer rolers. Having enough skiils in programming and
frameworks(Flask/Vue)
- Recommended to practice leetcode problems daily basis</t>
  </si>
  <si>
    <t>- appears to be working on DSA problems, which is good
- needs a bit more preparation / understanding on web application design (architecture)</t>
  </si>
  <si>
    <t>Internship on Backend roles</t>
  </si>
  <si>
    <t>Overall, the student described about the roles he wishes to work for, specifically software engineering and also data engineering
But needs more preparation with respect to web application design / cloud concepts to be ready. Can start with web development internship and gain some experience from there.
Also improve CV with projects / GitHub profile, etc.</t>
  </si>
  <si>
    <t>Present, but inaudible due to network issues</t>
  </si>
  <si>
    <t>Slot Counts</t>
  </si>
  <si>
    <t>Taniya has to revise Statistics ( topics like IQR, Outliers, Bias, Variance), MLF, MLT &amp; MLP</t>
  </si>
  <si>
    <t>Taniya has not revised and could not answer questions like filling NaN values, outliers, She looked unprepared. She has been advised to revise her notes of stats, MLF, MLT and MLP. She has also been asked to go through the ML model lifecycle. She has to reappear after 1 week.</t>
  </si>
  <si>
    <t>28/01/2026</t>
  </si>
  <si>
    <t>Cleared 1on1</t>
  </si>
  <si>
    <t>Student Count</t>
  </si>
  <si>
    <t>ML/Data Science Intern</t>
  </si>
  <si>
    <t>Nitya could answer most of the questions in the fields of Machine Learning &amp; Data Science. She has sound theoretical knowledge and has excellent communication skills. In the present state she is fit for 'internship' roles. She has good potential. She has to revise her DSA and SQL skills.</t>
  </si>
  <si>
    <t>Data Scientist, Computer Vision</t>
  </si>
  <si>
    <t>Amisha is currently working as Reserach Associate in Flame University, and has good experience in Computer Vision tasks. She has been advised to build he skills in ML model deployment through MLOps course, and fine tuning transformer models for various tasks through the DLP course. She has also been advised to practice DSA and SQL. She is looking for a company where she can find a project for her MTech. She has good potential.</t>
  </si>
  <si>
    <t>Harshit could answer most of the questions in the fields of Machine Learning &amp; Data Science, his answers were jittery. He has good theoretical knowledge and average communication skills. In the present state, he is fit for 'internship' roles. He has to practice DSA and SQL questions.</t>
  </si>
  <si>
    <t>- Weak Recommendation
- The answers to questions were not to the point. 
- Brush up on basics and practise answering questions in an interview setting
- Make the MLP Project notebook self-explanatory and also rename the same in the resume</t>
  </si>
  <si>
    <t xml:space="preserve">Python, JavaScript, Java, SQL, HTML/CSS ,Flask, Vue </t>
  </si>
  <si>
    <t>- Weekly recommended
- Need more clarity when answering
- Sugegsted to revise therory
- Suggeted to build new application
- Siggested to revise theory</t>
  </si>
  <si>
    <t>She has completed a diploma in programming and does not have any professional experience. However, she demonstrates a good understanding of the course project she worked on. She was also able to answer questions related to problem solving, data structures and algorithms (DSA), and DBMS. She may need some revision and handson on more projects, but overall she appears capable and ready.</t>
  </si>
  <si>
    <t>Python, SQL, Java, JavaScript, HTML, CSS,Flask, VueJS, Git, Redis, Celery, SQLite, PostgresQL</t>
  </si>
  <si>
    <t>- She have created additional applications otherthan achademin project.
- Good understanding of technical parts of development.
- DSA and Problem Solving, DBMS understanding is good
- Overall looks ready for placement. She is also selected for ANAM.AI internship in IIT Ropar</t>
  </si>
  <si>
    <t>Satya:
- Student missed all basics of programming
- Not able to write select query for Employee details of max salary
- Required another 1-month to refer DSA, DBMS and full stack frameworks
- Strongly recommented to practice leetcode problems
- Student needs 1-Month to prepare and attend again for 1-1 session</t>
  </si>
  <si>
    <t>Satya:
- Required another 1-month to refer DSA, DBMS and full-stack frameworks
- Strongly recommended to practice LeetCode problems
- Student needs 1-Month to prepare and attend again for a 1-1 session</t>
  </si>
  <si>
    <t>He is also good and have good practical experience. he also answered most of problem solving and dsa and DBMs question. Need some recap on DSA. But overall looks good.</t>
  </si>
  <si>
    <t>Aviral has to revise Statistics ( topics like IQR, Outliers, Bias, Variance), MLF, MLT &amp; MLP</t>
  </si>
  <si>
    <t>Aviral has not revised and could not answer questions like filling NaN values, outliers, ensemble methods, He looked unprepared and could not answer the difference between the DT and Randomforest classifier. He has been advised to revise her notes of stats, MLF, MLT and MLP. He has also been asked to go through the ML model lifecycle. He has to reappear after 1 week.</t>
  </si>
  <si>
    <t>Rohit could answer most of the questions in the fields of Machine Learning &amp; Data Science. He has good theoretical knowledge and average communication skills. In the present state, he is fit for 'internship' roles. He has to practice DSA and SQL questions.</t>
  </si>
  <si>
    <t>She has to complete MLP and revise stats, MLF and MLT.</t>
  </si>
  <si>
    <t>Nivediate has not completed the Diploma in Data Science &amp; she has MLP and MLP project in the current term. Her foundational level knowledge is satisfactory, but she lacks knowledge of ML Model lifecycle. She has been given question bank of the important questions asked in an ML interview. She has to reattempt after 2 weeks on 8th April</t>
  </si>
  <si>
    <t>In her reattempt, Ravisha could answer most of the questions in the fields of Machine Learning &amp; Data Science. She has good theoretical knowledge now. In the present state, he is fit for 'internship' roles. She has to practice DSA and SQL questions.</t>
  </si>
  <si>
    <t xml:space="preserve">Python, FastAPI, PostgreSQL, React, Next.js </t>
  </si>
  <si>
    <t>Application Development</t>
  </si>
  <si>
    <t>- Good at web development stack (only Python based)
- Need to revise DSA 
- Some knowledge of web arch. will help
- Okay in DBMS</t>
  </si>
  <si>
    <t>Flask, FastAPI, SQLAlchemy (ORM),
Vue.js 3 (Composition API), Vite, Pinia, Next.js,</t>
  </si>
  <si>
    <t>He need to focus on communication and 
revisit to DSA and DBMS concepts</t>
  </si>
  <si>
    <t>He was able to answer and modification for development part. 
He answered the DSA and DBMA question but due to communication problem he was not looking confident. 
He need to focus more on communication part and also revise the DSA including problem solving and DBMS concepts.</t>
  </si>
  <si>
    <t>Satya:
- Leetcode problems 123(60Medium+10Hard)
- Hackerrank(5-start in Java)
- Checked various skills like Python, PDSA and frameworks. All are good
- Recommendation to the student: Continue the contribution towards leetcode and hacker rank
- Finally student is ready for internship/placement</t>
  </si>
  <si>
    <t>Cancelled</t>
  </si>
  <si>
    <t>29/01/2026</t>
  </si>
  <si>
    <t>- The student has demonstrated a good understanding of machine learning concepts.
-Possesses strong communication skills.
-Suggestion: It is recommended to work on more machine learning–related projects to further enhance practical expertise.</t>
  </si>
  <si>
    <t>Himanshu has to revise MLF, MLT, MLP and DL notes.</t>
  </si>
  <si>
    <t>Himanshu could not answer questions such as dropout, DT models, or the effect of increasing the number of columns in the dataset on the ML model satisfactorily. He looked unprepared. He has been given detailed feedback and asked to revise his concepts before his reattempt on 1oth April.</t>
  </si>
  <si>
    <t>31/01/2026</t>
  </si>
  <si>
    <t>Shiva could answer most of the questions in the fields of Machine Learning &amp; Data Science. He has good theoretical knowledge and good communication skills. In the present state, he is fit for 'internship' roles. He has to practice DSA and SQL questions.</t>
  </si>
  <si>
    <t>This was Aditri's second attempt and this time she was able to answer most of the questions. She looked confident as she was well prepared. She has been advised to practice DSA daily.</t>
  </si>
  <si>
    <t>Sklearn, numpy, pandas</t>
  </si>
  <si>
    <t>He needs to be more comfortable with the basics.</t>
  </si>
  <si>
    <t>Earlier 2 weeks were given to this student for reapplying. I feel 2 weeks is not enough. Atleast a month should be given to student for preparation before they appear for the next session.</t>
  </si>
  <si>
    <t>7:00 PM</t>
  </si>
  <si>
    <t>Revise the ML and DL concepts.</t>
  </si>
  <si>
    <t>NP, Pandas, Sklearn, LLamaIndex, Langchain</t>
  </si>
  <si>
    <t>- Grades are not great, but he is learnable, has good practical exposure
- Good communication
- Has learnt several tools all by himself and used in projects and previous internship</t>
  </si>
  <si>
    <t>Sklearn, Numpy, Pandas</t>
  </si>
  <si>
    <t>-</t>
  </si>
  <si>
    <t>- Could not answers many basic questions
- Sugegsted to revisit MLT, DL courses, learn pytorch, do independent projects
- Needs to work on her communication too</t>
  </si>
  <si>
    <t>7:30 PM</t>
  </si>
  <si>
    <t>Numpy, Pandas, Sklearn, Pytorch basics</t>
  </si>
  <si>
    <t>- Decent in answering technical questions.
- Decent grades
- Good communication</t>
  </si>
  <si>
    <t>Trisha has to revise Statistics , MLF, MLT &amp; MLP</t>
  </si>
  <si>
    <t>Trisha has not revised and could not answer questions like hyperparameters of a DT model, ensemble methods, bagging, and boosting. She looked unprepared and could not answer the difference between bagging and boosting. She has been advised to revise her notes of stats, MLF, MLT and MLP. He has also been asked to go through the ML model lifecycle. She has to reappear on 3rd April.</t>
  </si>
  <si>
    <t>Anjali could answer most of the questions in the fields of Machine Learning &amp; Data Science. She has sound theoretical knowledge and has excellent communication skills. In the present state she is fit for 'internship' roles. She has to keep practicing her DSA and SQL skills.</t>
  </si>
  <si>
    <t>6:00 PM</t>
  </si>
  <si>
    <t>Shubham is doing an internship at Khel.ai and he appeared in this 1-o-1 just to get hang of an interview He has not done the revision and looked unprepared. He has average theoretical knowledge and communication skills. At present, he is suitable for 'internship' roles. He has to keep practicing her DSA and SQL skills.</t>
  </si>
  <si>
    <t>Python, DSA, Flask, DBMS</t>
  </si>
  <si>
    <t>- Need to prepare programing basics
DSA concepts
- Need practice moderate problems in 
leetcode/hacker rank</t>
  </si>
  <si>
    <r>
      <rPr>
        <rFont val="Arial"/>
        <b/>
        <color theme="1"/>
      </rPr>
      <t xml:space="preserve">Satya:
</t>
    </r>
    <r>
      <rPr>
        <rFont val="Arial"/>
        <color theme="1"/>
      </rPr>
      <t>- Student is below average in basics of programming
- She needs PDSA with implementations
- Practice on Moderate problems on leetcode/hacker rank
- Suggested to reattend after 1-month</t>
    </r>
  </si>
  <si>
    <r>
      <rPr>
        <rFont val="Arial"/>
        <b/>
        <color theme="1"/>
      </rPr>
      <t>Satya:</t>
    </r>
    <r>
      <rPr>
        <rFont val="Arial"/>
        <color theme="1"/>
      </rPr>
      <t xml:space="preserve">
- Student is very good in programming and DSA
- He is very good in backend APIs
- Solved more than 500 problems in DSA
- Strong repositories in his git
- Immediately can be referred/recruited</t>
    </r>
  </si>
  <si>
    <t>Python, Java, JavaScript,Vue.js, React,</t>
  </si>
  <si>
    <t>Need to focus on core DSA, DBMS, Problem Solving</t>
  </si>
  <si>
    <t>-He have done many projects but looks like understanding is less.
-He could not answer on DSA, DBMS. Need tio revise these,
-He also need more practice on problem solving and hands-on</t>
  </si>
  <si>
    <t>Python, JavaScript, TypeScript, Java, SQL,Flask, FastAPI, Pydantic, SQLAlchemy, Vue</t>
  </si>
  <si>
    <t>- He was good in understanding of application but he have made only course work applications.
- He answerd all questions on DSA and was able to write code for one problem. Also solved more than 250 problems on leet code plateform.
- He answered DBMS questions also but need some revision
- He need to work on communication and presentation skils.
- He also need to add more project and skills certification in CV.,</t>
  </si>
  <si>
    <t>Data Scientist, ML Engineer</t>
  </si>
  <si>
    <t xml:space="preserve">Umesh is working as a DevOps Engineer. He has average theoretical knowledge in DS domain and communication skills. At present, he is suitable for Data Scientist and ML Engineer roles. </t>
  </si>
  <si>
    <t>Anamika Chhabra</t>
  </si>
  <si>
    <t>She has to revise Statistics , MLF, MLT &amp; MLP</t>
  </si>
  <si>
    <t>She has not revised and could not answer questions like IQR, filling Nan values. She looked unprepared She has been advised to revise her notes of stats, MLF, MLT and MLP. He has also been asked to go through the ML model lifecycle. She has to reappear on 3rd April.</t>
  </si>
  <si>
    <t>Nishant could answer most of the questions in the fields of Machine Learning &amp; Data Science. He has good theoretical knowledge and good communication skills. In the present state, he is fit for 'internship' roles. He has to practice DSA and SQL questions. He has good potential.</t>
  </si>
  <si>
    <t>Sudharshini could answer most of the questions in the fields of Machine Learning &amp; Data Science. She has good theoretical knowledge and good communication skills. In the present state, she is fit for 'internship' roles. She has to practice DSA and SQL questions. She has good potential.</t>
  </si>
  <si>
    <t>Shaswatt could answer most of the questions in the fields of Machine Learning &amp; Data Science. He has good theoretical knowledge and good communication skills. In the present state, he is fit for 'internship' roles. He has to practice DSA and SQL questions. He has good potential.</t>
  </si>
  <si>
    <t>He has to revise Statistics , MLF, MLT &amp; MLP</t>
  </si>
  <si>
    <t xml:space="preserve">Ritik could not answer the questions confidently, and he was doing guess work most of the times. He looked unprepared. He has been advised to revise stats, MLF, MLT and MLP notes, and reattempt on 3rd April. </t>
  </si>
  <si>
    <t>Nikhil</t>
  </si>
  <si>
    <t>https://drive.google.com/file/d/1AOoJx6_JulQVlhP2G_nW4VBsB95ER98K/view?usp=sharing</t>
  </si>
  <si>
    <t>Data Scientist, CV Engineer</t>
  </si>
  <si>
    <t xml:space="preserve">Nikhil is working as an SME currently and has completed a 3-month internship at the brain centre. He has average theoretical knowledge in DS domain and communication skills. At present, he is suitable for Data Scientist and Computer Vision Engineer roles. </t>
  </si>
  <si>
    <t>https://drive.google.com/file/d/1h-WhoX0NAjzRgsKMimo26zI1bd_dZ9Ay/view?usp=sharing</t>
  </si>
  <si>
    <t>ML, Matplotlib, Numpy, Pandas, RAG</t>
  </si>
  <si>
    <t>Data analyst, data engineer, roles related to RAG.</t>
  </si>
  <si>
    <t>Jakirat is currently pursuing an internship and has requested an update of his status at the placement cell from internship to job. He has a strong foundation in machine learning, but since he is studying deep learning this term, his grasp of DL concepts is still developing. At his internship, he is working on RAG-based systems.</t>
  </si>
  <si>
    <t>Deepanshi has a good understanding of machine learning concepts. It is recommended that she revises the core topics and works on more ML-related projects to strengthen her profile. Her CGPA is slightly on the lower side.</t>
  </si>
  <si>
    <t>Satya:
- Student is below average in basics of programming
- She needs PDSA with implementations
- Practice on Moderate problems on leetcode/hacker rank
- Suggested to reattend after 1-month</t>
  </si>
  <si>
    <t>Satya:
- Student is very good in programming and DSA
- He is very good in backend APIs
- Solved more than 500 problems in DSA
- Strong repositories in his git
- Immediately can be referred/recruited</t>
  </si>
  <si>
    <t>Nitin Yadav</t>
  </si>
  <si>
    <t>Python, Java, JavaScript,Vue.js, Flask, Angular</t>
  </si>
  <si>
    <t>- Have good understanding of projects done
- Need to gain more lnowledge about technology stack
- Revise DSA</t>
  </si>
  <si>
    <t>Python, Flask, SQL, bootstrap</t>
  </si>
  <si>
    <t>- Need to explore (get more clarity) on technology stack
- Revise DSA
- Get better understanding Web Architechture
- Improve communication</t>
  </si>
  <si>
    <t xml:space="preserve"> GAUTAM SEYAL</t>
  </si>
  <si>
    <t xml:space="preserve">- Revise all the ML related concepts.
- Please work on more diverse ML related projects like work with the projects involving imbalanced datasets etc.
</t>
  </si>
  <si>
    <t>- Needs to revise key ML concepts such as overfitting, underfitting, and both supervised and unsupervised learning algorithms.
- Should work on a wider range of ML projects, including those involving imbalanced datasets and other real-world challenges.</t>
  </si>
  <si>
    <t xml:space="preserve">Rajiv could answer most of the questions in the fields of Machine Learning &amp; Data Science. He has good theoretical knowledge and average communication skills. In the present state, he is fit for 'internship' roles. He has to practice DSA and SQL questions. </t>
  </si>
  <si>
    <t xml:space="preserve">Pranitha could answer most of the questions in the fields of Machine Learning &amp; Data Science. She has good theoretical knowledge and average communication skills. In the present state, She is fit for 'internship' roles. She has to practice DSA and SQL questions. </t>
  </si>
  <si>
    <t xml:space="preserve">Paramananda could answer most of the questions in the fields of Machine Learning &amp; Data Science. He has average theoretical knowledge and average communication skills. In the present state, he is fit for 'internship' roles. He has to practice DSA and SQL questions. </t>
  </si>
  <si>
    <t>11:30 AM – 1:00 PM</t>
  </si>
  <si>
    <t>Deveshu could answer most of the questions, but his answers were not confident. He looked unprepared and he was answering questions using guess work. He has been advised to keep pratciing DSA. In the present state, he is fit for data scientist/analyst roles.</t>
  </si>
  <si>
    <t>Kanchi was not confident answering even basic questions like dropout, ensemble techniques, optimizers. She has been advised to revise her notes. She has internship experience. She has been asked to reattempt after a week 0n 6th April.</t>
  </si>
  <si>
    <t>Karshnee could answer most of the questions confidently. She has good theoretical knowledge and excellent communication skills. In the present state,  she is fit for internship roles in Data Science and ML. She has been advised to keep on practicing DSA and SQL skills.</t>
  </si>
  <si>
    <t>Sidhant is a dual-degree student with 1 year of experience as a software engineer. He could answer most of the questions. He has good theoretical knowledge and average communication skills. He has been advised to practice DSA regularly. In the present state, he is fit for internship roles in Data Science and Machine Learning.</t>
  </si>
  <si>
    <t>Hitesh could answer most of the questions, but his responses were jittery. He has good theoretical knowledge but below-average communication skills. He has been advised to keep practicing DSA. In the present state, he is eligible for internship roles. He has also to work on his communication skills.</t>
  </si>
  <si>
    <t>Data Scientist/Analyst</t>
  </si>
  <si>
    <t>- Need to be more confident when answering the questions
- Revise the theory - DSA, SQL, Basics of Web Apps
- Improve CV -- add more relevant projects</t>
  </si>
  <si>
    <t>- Good in communication
- Revise Web application basic theory
- Improve your knowledge on tech stack</t>
  </si>
  <si>
    <t>She has to revise her basic concepts</t>
  </si>
  <si>
    <t>24/02/2026</t>
  </si>
  <si>
    <t>Satya:
- Hacker rank 30+ easy problems. Recommended moderate problems.
- Coding of java is good
- Flask/restful refer the backend concepts
- DSA: Really good in linked list/Stacks/queues. 3.5 out 5 rated
- She is good in AWS cloud and having good project repos</t>
  </si>
  <si>
    <t>Achal was very underconfident while answering. He could answer 50% of the questions, and he needs to revise his concepts. He has been asked to reattempt on 7th April.</t>
  </si>
  <si>
    <t>Atharva is a standalone student , currently in BS level He could answer most of the questions. He has good theoretical knowledge and average communication skills. He has been advised to practice DSA regularly. In the present state, he is fit for internship roles in Data Science and Machine Learning.</t>
  </si>
  <si>
    <t>Khushi is a dual degree student. She has done MS in Economics, and currently pursuing BS. She could answer 50% of the questions. She has not revised the ML concepts and could not answer questions on PCA, Ensemble techniques. She has been advised to revise her concepts and reattempt after a week on 7th April.</t>
  </si>
  <si>
    <t>Aarush is a dual degree student with a BTech final year from Amity University. He has exited BS after Diploma in DS; however, he is thinking of rejoining. He has above-average theoretical knowledge and excellent communication skills. He has experience of 3 internships. He has been advised to keep practicing DSA. In the present state, he is fit for internship roles in Data Science and ML domains. He has good potential.</t>
  </si>
  <si>
    <t>Aniket is a standalone student, currently pursuing a PGD towards an MTech through the BS route. He has above-average theoretical knowledge and good communication skills. He has been advised to practice DSA (to clear the first hiring round), include his projects on his resume, and understand the frameworks and tools used in those projects. He has been advised to apply for 'internship followed by PPO' opportunities.</t>
  </si>
  <si>
    <t>Apoorva is a dual degree student with a BSc (Honours) Computer Science from Delhi University. She has completed her BSc in the BS program. She has 6 months of internship experience and mentorship experience. She has been advised to practice DSA to clear the first round. She has above-average communication skills. She has good potential. She has been advised to apply for 'internship followed by PPO' opportunities.</t>
  </si>
  <si>
    <t>Hariom was very underconfident while answering. He could not explain SVD, SVM model and hyperparameters of a DT model. He looked unprepared. He has been advised to revise his concepts and reattempt on 7th April.</t>
  </si>
  <si>
    <t>He could answer most of the questions. He has above average theoretical knowledge and communication skills. He has been advised to keep practicing DSA questions</t>
  </si>
  <si>
    <t>- Good practical exposure
- Already doing an internship at IIT Indore
- However, could nto explain about various tools, techniques such as Github Actions, Docker mentioned in his resume</t>
  </si>
  <si>
    <t>- Update the changes in the resume as mentioned during the call</t>
  </si>
  <si>
    <t>- He has more inclination towards managerial jobs for which he has alos demonstrated his capabilities through Paradox events handling, however, he could not answer many basic data science questions</t>
  </si>
  <si>
    <t>- Update the changes in the resume as mentioned during the call
- She has already done two internships in the analyst role.</t>
  </si>
  <si>
    <t>- Revise MLT, MLP, DL and LLM.
- Work on at least one non-course project.
- Learn libraries such as PyTorch.</t>
  </si>
  <si>
    <t>Need to revise MLT/MLP/SQL</t>
  </si>
  <si>
    <t>- Good in communication.
-Resume is text heavy.
-Basic understanding of concepts but more depth is required.</t>
  </si>
  <si>
    <t>-Resume looks basic.Try adding some end to end project in your resume.
-Revise Mathematical &amp; geomatrical intitution behind algorithm.</t>
  </si>
  <si>
    <t>- Looks good in application development understanding
- Need to revise DSA/DBMS core concepts.
- Need more practice on problem solving</t>
  </si>
  <si>
    <t xml:space="preserve">- Looks good in application development understanding
- Created some addition projects based on real life problems other than course projects
- Need to revise DSA/DBMS core concepts.
</t>
  </si>
  <si>
    <t>Python, SQL, PyTorch,LangChain</t>
  </si>
  <si>
    <t>She said, already ionformed to placement team that she is not well.</t>
  </si>
  <si>
    <t>The candidate did not appear fully prepared; he was unable to run his projects successfully and struggled to answer questions on core concepts of DSA, SQL, and DBMS.
His problem-solving skills were good.
He needs to revisit core concepts and gain more hands-on practice.
Improvement is required in communication and presentation skills.</t>
  </si>
  <si>
    <t>25/02/2026</t>
  </si>
  <si>
    <t>8:00 PM</t>
  </si>
  <si>
    <t xml:space="preserve">- student has good understanding of the projects that she has done. student has good problem solving. student need to revise about DBMS and DSA. </t>
  </si>
  <si>
    <t>- student said he want to work on backend development, due to which he has very less knowledge of frontend. but he need to have knowlege of both. student need to revise core concepts.</t>
  </si>
  <si>
    <t>Python, Flask, Django, Vue.js, JavaScript</t>
  </si>
  <si>
    <t>In the reattempt, Areeba was well prepared and could answer most of the questions. She has been advised to keep on practicing DSA. In the present state, she is fit for ML/DS intern roles. She has good potential.</t>
  </si>
  <si>
    <t>Python, Flask, SQLAlchemy, HTML, CSS, Vue.js</t>
  </si>
  <si>
    <t>8:30 PM</t>
  </si>
  <si>
    <t>Samta could answer most of the questions. She has good theoretical knowledge and average communication skills. She has been advised to keep practicing DSA. In the present state, she is eligible for internship roles. communication skills.</t>
  </si>
  <si>
    <t xml:space="preserve">Java, Flask, Restapi, react </t>
  </si>
  <si>
    <t>App developement using cloud services(AWS)</t>
  </si>
  <si>
    <r>
      <rPr>
        <rFont val="Arial"/>
        <b/>
        <color theme="1"/>
      </rPr>
      <t>Satya:</t>
    </r>
    <r>
      <rPr>
        <rFont val="Arial"/>
        <color theme="1"/>
      </rPr>
      <t xml:space="preserve">
- Hacker rank 30+ easy problems. Recommended moderate problems.
- Coding of java is good
- Flask/restful refer the backend concepts
- DSA: Really good in linked list/Stacks/queues. 3.5 out 5 rated
- She is good in AWS cloud and having good project repos</t>
    </r>
  </si>
  <si>
    <t>In the reattempt, Himanshu was well prepared and could answer most of the questions. He has been advised to do DLP and MLOps courses as these courses would enable him to acquire much-needed skills for the industry. Additionally, he has been advised to keep practicing DSA and SQL. In the present state, he is fit for ML/DS intern roles.</t>
  </si>
  <si>
    <t>He has to revise MLF and MLT concepts</t>
  </si>
  <si>
    <t>In the reattempt, Ritik was still not prepared and could not provide explanations of the SVM and Naive Bayes models. He could not answer the questions on the hyperparameters of a DT model. He has been advised to prepare well.</t>
  </si>
  <si>
    <t>26/02/2026</t>
  </si>
  <si>
    <t>In the reattempt, Hariom was well prepared and could answer most of the questions. He has been advised to do DLP and MLOps courses as these courses would enable him to acquire much-needed skills for the industry. Additionally, he has been advised to keep practicing DSA and SQL. In the present state, he is fit for ML/DS intern roles.</t>
  </si>
  <si>
    <t>-The candidate did not appear fully prepared
-Was able to explain project and simple conceptual questions.
-Struggled in mathematical aspects of algorithm.</t>
  </si>
  <si>
    <t>Python, Flask, SQL, bootstrap, agentic ai</t>
  </si>
  <si>
    <t>- Has six-month internship experience, which is very good.
- Has a non-course project, which shows initiative.
- Decent knowledge of ML.
- Is ready for placements. Can continue the good work.</t>
  </si>
  <si>
    <t>Python, Flask, SQL, bootstrap, MLOps</t>
  </si>
  <si>
    <t>Shubham could answer most of the questions. He has good theoretical knowledge and communication skills. He has been advised to keep practicing DSA. In the present state, he is eligible for internship roles. communication skills.</t>
  </si>
  <si>
    <t xml:space="preserve">Achal was very underconfident while answering. He was not well. He has been asked to give 1-o-1 on 28th April (with me) </t>
  </si>
  <si>
    <t>ML engineer, Data Scientist</t>
  </si>
  <si>
    <t>Python, Flask, SQL, bootstrap, RAG, Fast API, Agentic AI</t>
  </si>
  <si>
    <t>- Conceptually quite good.
- CGPA is a bit low. Has to compute the CGPA for DS courses and present that or offer a suitable explanation.
- Needs to do at least one non-course project and add that to the resume.</t>
  </si>
  <si>
    <t>His earlier feedback- He has more inclination towards managerial jobs, for which he has also demonstrated his capabilities through Paradox events handling; however, he could not answer many basic data science questions. In reattempt also, he could not answer basic questions in the Data Science domain. In the present state, he is not fit for any role in the ML/DS domain.</t>
  </si>
  <si>
    <t>Python, Flask, SQL</t>
  </si>
  <si>
    <t>- Conceptually decent.
- Needs to work on more non-course projects and add them to the resume.</t>
  </si>
  <si>
    <t>- Needs to put in quite some work to revise MLT and DL-Gen-AI fundamentals.
- Needs to work on at least one non-course project and add it to the resume.</t>
  </si>
  <si>
    <t>ML intern, Data Science intern</t>
  </si>
  <si>
    <t>- Needs to revise MLT and DL. Conceptual clarity is not there.
- Be thorough with the projects mentioned in the resume.
- Work on at least one more non-course project.</t>
  </si>
  <si>
    <t>- Work on at least one good non-course, non-Kaggle project.
- Revise fundamentals of MLT and DL.
- Work on a response for low CGPA question in the interview.</t>
  </si>
  <si>
    <t>Python, Pytorch, HF, cloud, MLops</t>
  </si>
  <si>
    <t>- Need to improve communication, revise the core understanding of DSA and DBMS.
- Presention skill was not good, He was not able to explain confidently</t>
  </si>
  <si>
    <t>He is more intrested in DS domain, he just applied because he comleted DP. His more work and intrest in DS projects. 
He was not able to recall core concept of DSA and DBMS and not looking to ready for Application domain</t>
  </si>
  <si>
    <t>-Need to revisse ML concepts especially mathematical intution of various algortihms.
-Add measurable impact, even estimated, to strengthen credibility
-Focus on 2-3 strong projects and go deep rather than covering many features</t>
  </si>
  <si>
    <t>-Good exposure to real tools like PyTorch, FastAPI, Streamlit
-Decent breadth across ML, DL, data analytics, and deployment
-Some projects feel slightly over-engineered, focus could be sharper on core problem and impact</t>
  </si>
  <si>
    <t>Dipshikha could answer most of the questions. She has good theoretical knowledge and average communication skills. She has been advised to keep practicing DSA. In the present state, she is eligible for internship roles. She has to work on her communication skills.</t>
  </si>
  <si>
    <t>Khushi could not answer basic questions like 'Ensemble Models', Decision Tree model, Random Forest classifier etc satisfactorily. She looked unprepared. In the present state, she is not fit for any role in DS/ML domain.</t>
  </si>
  <si>
    <t>Gautam is a dual-degree student with a Mechanical engineering background. He has already done one internship in the DS domain. He could answer most of the questions. He has decent theoretical knowledge and communication skills. He has been advised to keep practicing DSA. In the present state, he is eligible for internship roles.</t>
  </si>
  <si>
    <t>Data Analyst, Data Engineer</t>
  </si>
  <si>
    <t>Sneha could not answer basic questions like 'Ensemble Models', NLP tasks etc. She looked unprepared. In the present state, she is not fit for any role in DS/ML domain.</t>
  </si>
  <si>
    <t>VAikhari could answer most of the questions. She has decent theoretical knowledge and good communication skills. She has been advised to keep practicing DSA. In the present state, she is eligible for internship roles. She has to work on her communication skills.</t>
  </si>
  <si>
    <t>Nivedita could answer most of the questions. She has good theoretical knowledge and average communication skills. She has been advised to keep practicing DSA. In the present state, she is eligible for internship roles. She has to work on her communication skills.</t>
  </si>
  <si>
    <t>Managerial roles..</t>
  </si>
  <si>
    <t>Rishi is a dual-degree student with a Computer engineering background. He has already done one internship in the cybersecurity domain. He could answer most of the questions. He has average theoretical knowledge and communication skills. He has been advised to keep practicing DSA. In the present state, he is eligible for internship roles.</t>
  </si>
  <si>
    <t>Kaif could answer most of the questions satisfactorily. In the present state, he is fit for internship roles in the ML/DS domain. He has been advised to keep practicing DSA and SQL.</t>
  </si>
  <si>
    <t>Vishakha has completed her BTech in CSE from Mumbai University, and in BS, she has completed diplomas. She is currently employed as a Software Developer as full time. In ML , she could not answer basic questions like DT , SVM models. She has been advised to focus on her SW skills , and learn , how to integrate gen AI tools in App Dev.</t>
  </si>
  <si>
    <t>Abhishek is a standalone student, and he has completed both diplomas. He looked unprepared and could not answer basic questions like bagging, boosting, DT model etc. He has been advised to reappear after ONE WEEK ON 21ST mAY AFTER revising MLF, MLT, and MLP notes.</t>
  </si>
  <si>
    <t>Analyst roles, Data Scientist</t>
  </si>
  <si>
    <t>PRAJWAL COULD NOT PREPARE FOR REATTEMPT DUE TO SOME MEDICAL EMERGENCY. HE HAS BEEN ADVISED TO REAPPEAR ON 21ST MAY WITH ME.</t>
  </si>
  <si>
    <t>12:00 PM</t>
  </si>
  <si>
    <t>Jay is a dual degree student with another degree in Chemistry. He has already secured a job, and he is registered for the employment. He has good fundamentals, and in his current state, he is fit for FT roles in the NLP and Vision domains.</t>
  </si>
  <si>
    <t>Python, sklearn, Pandas, NumPy</t>
  </si>
  <si>
    <t>- Revise MLT, MLP and DL
- Almost there. I think one more round is good enough.</t>
  </si>
  <si>
    <t>Anup is a dual degree student. He could answer mos of the questions. He has decent theoretical knowledge. He has been advised to keep practicing DSA. He has good potential.</t>
  </si>
  <si>
    <t>Data scientist, data analyst</t>
  </si>
  <si>
    <t>She needs a bit of revision on machine learning algorithms. It would be helpful to work on projects, or if she has already done projects, she should ensure that she understands the fundamentals behind the algorithms, the meaning of the evaluation metrics obtained, and when to use each metric appropriately. The student has good communication skills.</t>
  </si>
  <si>
    <t>Python, sklearn, Pandas, NumPy,SQL</t>
  </si>
  <si>
    <t>- Has to revise MLT, MLP and DL concepts.
- Has to work on at least one non-course project and add it to the resume.
- Mention work on Hackathons.</t>
  </si>
  <si>
    <t>Flask, FastAPI, REST APIs, Streamli,
Python, Java, C, SQL (Postgres), JavaScriptt,</t>
  </si>
  <si>
    <t>- Is good with projects. Continue the good work there.
- Should revise some aspects of the theory before the interviews.</t>
  </si>
  <si>
    <t>The student has a working knowledge of LLMs and AI but needs to work on the theory behind it.</t>
  </si>
  <si>
    <t xml:space="preserve">Arya looked prepared in the reattempt and she could answer most of the questions. Now, she has decent theoretical knowledge. She has been advised to keep practicing DSA. In the present state, she is eligible for intern roles in DS/ML. </t>
  </si>
  <si>
    <t>Need to revise DSA, DBMS/SQL core conepts</t>
  </si>
  <si>
    <t>12:30 PM</t>
  </si>
  <si>
    <t xml:space="preserve">Akula looked prepared in the reattempt, and she could answer most of the questions. Now, she has decent theoretical knowledge. She has been advised to keep practicing DSA. In the present state, she is eligible for intern roles in DS/ML. </t>
  </si>
  <si>
    <t>Tarika is a working professional with around 2 years of experience with 10 years break. She has an MBA degree, and currently she is a research intern in BS program. She could answer most of the questions and she looked well prepared. She has good potential. In the present state, she is eleigibel for intern roles in DS/ML.</t>
  </si>
  <si>
    <t>The student should strengthen their understanding of core machine learning concepts and work on more complex ML projects to gain deeper practical understanding. Additionally, the student should also focus on deep learning concepts to improve future job prospects.</t>
  </si>
  <si>
    <t>Python, JavaScript, Java,JS/TS, React.js, Next.js, Astro, Vite, Vue.js,Flask, FastAPI, Express.js, PostgreSQL, SQLAlchemy</t>
  </si>
  <si>
    <t>The student is currently not placement-ready and needs to strengthen the fundamentals of machine learning concepts, including overfitting, underfitting, and the mathematical foundations behind ML models. The student should also focus on understanding different ML algorithms and their evaluation methodologies and metrics.</t>
  </si>
  <si>
    <t>Samyuktha could answer most of the questions. She has been advised to revise MLP notes and practice DSA.</t>
  </si>
  <si>
    <t>Satyaki could answer most of the questions. He has been advised to revise MLP notes and practice DSA.</t>
  </si>
  <si>
    <t>Ankit could answer most of the questions. He has been advised to revise MLP notes and practice DSA.</t>
  </si>
  <si>
    <t>Saumyabrata could answer most of the questions. He has been advised to revise MLP notes and practice DSA.</t>
  </si>
  <si>
    <t>Mafaz could answer most of the questions. He has been advised to revise MLP notes and practice DSA.</t>
  </si>
  <si>
    <t>Shreya could answer most of the questions. She has been advised to revise MLP notes and practice DSA.</t>
  </si>
  <si>
    <t>Shubhamy</t>
  </si>
  <si>
    <t xml:space="preserve">Student has  good knowledge of programming and data structures, students is able to write simple code snippets, pseudo code for selection sort. Students just need to work on communication skill a bit, to articulate clearly. </t>
  </si>
  <si>
    <t>4:00 PM</t>
  </si>
  <si>
    <t>He has good understanding and experience in application development. He need to revise some core understanding on DSA otherwise all looks good</t>
  </si>
  <si>
    <t>He have done very limited work in application development whatever required as course work, nothing else. Also he was not able to answer very basic core concept of DSA and DBM, so he must revisit on core concepts and problem solving. Also need more handson work required in application domain</t>
  </si>
  <si>
    <t>Already worked for Boeing and Visa. Good communication. Having knowledge on Flask / Angular. Also worked on data engineering during internship</t>
  </si>
  <si>
    <t>Anurag looked upprepared and could not answer questions like DT and SVM models. He has been asked to reapapear after 2 weeks.</t>
  </si>
  <si>
    <t>This was Abhishek's reattempt and he looked unprepaared. He could now anser qestions on DT and SVM models.</t>
  </si>
  <si>
    <t>Darshan could answer most of the questions. He has good potential. He has been advised to keep practicing DSA.</t>
  </si>
  <si>
    <t>He should revise the core concept like DSA, DBMS, SQL. Also need to focus on communication and presentation</t>
  </si>
  <si>
    <t>Flask, Vue.js, SQLAlchemy, Node.js, Express.js, Python, Java, JavaScript, SQL,PostgreSQL, Redis</t>
  </si>
  <si>
    <t>Sarwar could answer most of the questions. He has to work on his communication skills. He has also been advised to keep practicing DSA.</t>
  </si>
  <si>
    <t>Shivam could answer most of the questions. He has to improve his communication skills, as he stammers currently.</t>
  </si>
  <si>
    <t>Pinki could answer most of the questions. She has to improve her communication skills.</t>
  </si>
  <si>
    <t>Bhargavi could answer most of the questions. She has good potential.</t>
  </si>
  <si>
    <t>Abhishek could not answer very basic questions like loss functions in regression models. He has been advised to revise MLF, MLT and MLP notes, and reattempt after 2 weeks.</t>
  </si>
  <si>
    <t>Satya:
- Basic Python questions with implementations
- Question on single-linked list
- Sorting techniques
- Flask questions-redirect()/url_for()
- API request methods
- JWT token process from Vue component
- Basic SQL commands
- She is really good and ready for immediate intern/placement
- Recommended to practice moderate DSA problems
on Leetcode in coming 15days</t>
  </si>
  <si>
    <t>she need to work on DSA, DBMS/SQL and need to develop more complex applications.</t>
  </si>
  <si>
    <t>- He was looking fine in knowledge wise, answered most of the question well
- Also answered DBMS core question, In DSA need some revision.
- Only main negative point is his CGPA is very less so he must need to improve.
- Overall looks ready for internship</t>
  </si>
  <si>
    <t>- The student has some surface level idea of the concepts.
- Currently has worked on Flask, but needs to work on Node and Express
- Need to work on system design and backend basics
- Can be recommended for Internship</t>
  </si>
  <si>
    <t>SARVESHRAJ B</t>
  </si>
  <si>
    <t>Student is able to answer simple coding questions in js and python, able to answer question related to react.js, student needs to work on DSA.</t>
  </si>
  <si>
    <t>she have done very limited work in app dev as a course work. Also she was not able to answer very basic core concept of DSA and DBMS, App dev so she must revise all the core concepts. She is unprepared now. She can learn new technologies and also cretate some projects related to that once all the basic concepts are clear.</t>
  </si>
  <si>
    <t>overall performance was good, student has also done some interships, needs to brush up concepts learned in the coursework. recommended as backend developer.</t>
  </si>
  <si>
    <t>student is recommended for intership only. Needs to revise all the concepts he has learned in the coursework. He should also learn new technologies apart from what he has learned in App Dev and create some projects on that.</t>
  </si>
  <si>
    <t>Need to work on Frontend Development. Understanding of backend is also basic.</t>
  </si>
  <si>
    <t>Hiya answered most of the questions and concepts clearly and confidently. She has already been offered internships by KPMG and Sysfore. She has good potential. She has been advised to keep practicing DSA.</t>
  </si>
  <si>
    <t>This was Achal's reattempt, and he could not explain the Logistic Regression and DT models. He looked unprepared, and in his present state, he is not eligible for any role in ML/DS domain.</t>
  </si>
  <si>
    <t>4:30 PM</t>
  </si>
  <si>
    <t>This was Harsh's reattempt, and his performance was marginal. He could answer 60% of the questions. He has been cleared; however, he has been advised to keep revising the ML concepts. He has also been given a question bank.</t>
  </si>
  <si>
    <t>This was Khushi's reattempt, and she answered most of the questions and concepts clearly and confidently. She has been advised to hone her DSA skills through regular practice.</t>
  </si>
  <si>
    <t>In this reattempt, Ravi could answer and explain most of the concepts. He has been advised to keep practicing DSA to clear the firsts hiring round.</t>
  </si>
  <si>
    <t>This was first attempt of Saksham, and he could answer most of the questions and concepts. He is fit for intern roles in ML/DS domain. He has been advised to keep practicing DSA.</t>
  </si>
  <si>
    <t>This was first attempt of Aman, and he could answer most of the questions and concepts. He is fit for intern roles in the ML/DS domain. He has been advised to keep practicing DSA.</t>
  </si>
  <si>
    <t>In this reattempt, Samadhan could answer and explain most of the concepts. He has been advised to keep practicing DSA to clear the firsts hiring round.</t>
  </si>
  <si>
    <t xml:space="preserve">This was Murlidhar's reattempt, and his performance was marginal. He could answer 60% of the questions. He has been cleared; however, he has been advised to keep revising the ML concepts. </t>
  </si>
  <si>
    <t>Adithya was able to answer most of the questions and concepts, but he needs to revise more in-depth. He has internship experiences, and in the current state, he is eligible for ML Engineer, Data Scientist, and Data Analyst roles.</t>
  </si>
  <si>
    <t>Nitish was able to explain most of the questions. In his current state, he is eligible for intern roles in the ML/DS domain. He has to work on his communication skills.</t>
  </si>
  <si>
    <t>Manish could answer most of the questions. He looked very anxious while answering. He has been shared with a question bank to practice. He has also been advised to keep practicing DSA. He can develop good potential.</t>
  </si>
  <si>
    <t>Saquib is currently doing an internship at Flame University. He could answer most of the questions. He has been advised to keep working on DSA, MLOps, and SQL.</t>
  </si>
  <si>
    <t>Saumya could answer most of the questions. She has been advised to keep practicing DSA. She has good potential.</t>
  </si>
  <si>
    <t>Vikas was able to explain most of the questions. In his current state, he is eligible for intern roles in the ML/DS domain. He has to work on his communication skills.</t>
  </si>
  <si>
    <t>Ajiz was not prepared for his rettempt.He himself told that he had not done the revision.</t>
  </si>
  <si>
    <t>In reattempt, Abhishek could answer most of the questions. He has been given a question bank to practice. He has also been advised to keep practicing DSA.</t>
  </si>
  <si>
    <t>ML/DS Intern</t>
  </si>
  <si>
    <t>MUSKAN PERIWAL</t>
  </si>
  <si>
    <t>Python, FastAPI, HuggingFace and Pytorch</t>
  </si>
  <si>
    <t>MLOps, ML engineer, Data scientist</t>
  </si>
  <si>
    <t>Python, NumPy, Pandas, Sklearn, PyTorch</t>
  </si>
  <si>
    <t>Intern roles: ML engineer, Data scientist, Data analyst</t>
  </si>
  <si>
    <t>Student RollNo</t>
  </si>
  <si>
    <t>Viva Score(50)</t>
  </si>
  <si>
    <t>General Feedback - Feedback about student's performance, Areas of  improvement , And Suggestions for achieving industry readiness</t>
  </si>
  <si>
    <t>21f3002625@ds.study.iitm.ac.in</t>
  </si>
  <si>
    <t>It is advised to try time series models like ARIMA, SARIMA and Prophet</t>
  </si>
  <si>
    <t>23f1000296@ds.study.iitm.ac.in</t>
  </si>
  <si>
    <t>Hyperparameter tuning is done only with one model</t>
  </si>
  <si>
    <t>22ds1000130@ds.study.iitm.ac.in</t>
  </si>
  <si>
    <t>Good work. You could have tried SARIMA</t>
  </si>
  <si>
    <t>LGBM + Rule base model is good</t>
  </si>
  <si>
    <t>22f3000155@ds.study.iitm.ac.in</t>
  </si>
  <si>
    <t>Try time series forecasting models</t>
  </si>
  <si>
    <t>You could have tried SARIMA</t>
  </si>
  <si>
    <t>23f1001996@ds.study.iitm.ac.in</t>
  </si>
  <si>
    <t>Time series models can be tried</t>
  </si>
  <si>
    <t>23f3004236@ds.study.iitm.ac.in</t>
  </si>
  <si>
    <t>Very good. You could have tried SARIMA</t>
  </si>
  <si>
    <t>22f3002199@ds.study.iitm.ac.in</t>
  </si>
  <si>
    <t>23f2003461@ds.study.iitm.ac.in</t>
  </si>
  <si>
    <t>Great. You are in top 100</t>
  </si>
  <si>
    <t>23f3002478@ds.study.iitm.ac.in</t>
  </si>
  <si>
    <t>23f3004033@ds.study.iitm.ac.in</t>
  </si>
  <si>
    <t>22f3000695@ds.study.iitm.ac.in</t>
  </si>
  <si>
    <t>Good work overall</t>
  </si>
  <si>
    <t>23f2004005@ds.study.iitm.ac.in</t>
  </si>
  <si>
    <t xml:space="preserve">Being a working professional, very clear explanation of data
EDA: Hist plot with kde, scatter / line / bar ; NO Corr matrix
Models: LR, Bagging , Light GBM
HPT: Randomized CV
R2 score : 0.38 
Suggestion: Feature importance / selection has not been done; looks that the stats analysis was not given emphasis.
Correlation / skewness / PCA should be the first thought of in corporate analysis
</t>
  </si>
  <si>
    <t>22f3000514@ds.study.iitm.ac.in</t>
  </si>
  <si>
    <t xml:space="preserve">Very good understanding of data; Good to see a budding entrepreneur doing the course
EDA: interactive line plot, geospatial Visual (3 D scatter plot) - one of the rare ones
Corr matrix plotted with small subset of features
Lag and rolling mean used
Had feature importance found 15 top most impacted features fed to the model 
Models: LR, DT, RF 
HPT: Randomized &amp; Grid Search CV 
Metrics : R2, RMSE, MAE
R2 Score: 0.34 
</t>
  </si>
  <si>
    <t>24f2000844@ds.study.iitm.ac.in</t>
  </si>
  <si>
    <t>Good understanding of data
lag and rolling mean used
EDA: hist / scatter plots, line /bar charts, box plots for outliers 
skewness &amp; correlation explained ; correlation coefficients displayed as bar chart
No features removed inspite of finding corr. coef. 
Models: Naive Bayes, Rolling mean baseline, LR, RF , Light GBM , XGBoost ; Lot of models considered than suggested
Metrics : R2, RMSE, MAE
R2 Score: 0.35 
Suggestion : Feature selection would help in improving the scores.</t>
  </si>
  <si>
    <t>21f1002449@ds.study.iitm.ac.in</t>
  </si>
  <si>
    <t xml:space="preserve">Good understanding of data
lag and rolling mean used
EDA: hist plots, scatter plots for lat/log spatial data, bar plots 
corr coef considered for a small subset but not implemented on the complete set of features
Models: XGBoost, Light GBM, RF 
HPT: Grid Search
Metrics : R2, RMSE, MAE
R2 Score: 0.32 
Model comparison, metrics printed.
Suggestion : the seasonality of data , long weekend or festive dates has not been considered
</t>
  </si>
  <si>
    <t>23f1001274@ds.study.iitm.ac.in</t>
  </si>
  <si>
    <t xml:space="preserve">Good understanding of data
lag and rolling mean / features used 
EDA: Hist with kde option, bar plots , line charts for rolling means 
Graph for Train Actual Vs Predicted and same for Validation Actual Vs Predicted -- Suggested by Level 1 Examiner
time series split used
Models: XGBoost, Light GBM, Catboost
HPT: Randomized search CM 
reg_alpha option in XGBoost explained for feature selection 
R2 score:0.35 
Suggestion: the seasonality of data , long weekend or festive dates has not been considered
</t>
  </si>
  <si>
    <t>21f3001194@ds.study.iitm.ac.in</t>
  </si>
  <si>
    <t xml:space="preserve">Good understanding of data
lag and rolling mean / features used 
EDA: Box plots for outliers, hist plots , bar graphs, scatter plots for lat/long geospatial , pie charts
Models: XGBoost, Grandient Boost, Light GBM (Recursive predictions used)
HPT: Randomized Search CV
R2 Score: 0.32 
Metric : R2 score and RMSE (printed score)
Suggestion : corr matrix, feature importance instead of randomly selecting features
</t>
  </si>
  <si>
    <t>23f3001458@ds.study.iitm.ac.in</t>
  </si>
  <si>
    <t>Fundamental knowledge of the candidate is a little weak</t>
  </si>
  <si>
    <t>21f1000392@ds.study.iitm.ac.in</t>
  </si>
  <si>
    <t>Candidate has sound knowledge of fundamentals</t>
  </si>
  <si>
    <t>23f2003741@ds.study.iitm.ac.in</t>
  </si>
  <si>
    <t>23f3003853@ds.study.iitm.ac.in</t>
  </si>
  <si>
    <t>Kaggle project could have done better. Showed good comprehension of data concepts and evaluation. Focusing on enhancing code readability and improving the clarity of your explanations during the viva will help you communicate your insights more confidently. With more practice in feature engineering and presentation skills, you’ll be well on track for industry readiness.</t>
  </si>
  <si>
    <t>21f3001951@ds.study.iitm.ac.in</t>
  </si>
  <si>
    <t>Kaggle project is good. Showed good comprehension of data concepts and evaluation. Focusing on enhancing code readability and improving the clarity of your explanations during the viva will help you communicate your insights more confidently. With more practice in feature engineering and presentation skills, you’ll be well on track for industry readiness.</t>
  </si>
  <si>
    <t>24f2005934@ds.study.iitm.ac.in</t>
  </si>
  <si>
    <t>23f1001991@ds.study.iitm.ac.in</t>
  </si>
  <si>
    <t>Need to understand some of the reasoning related to each algorithm to gain confidence on getting things done</t>
  </si>
  <si>
    <t>Python, scikit-learn, PyTorch, HuggingFace, Pandas, NumPy</t>
  </si>
  <si>
    <t>21f1004912@ds.study.iitm.ac.in</t>
  </si>
  <si>
    <t>Focus on data and find out new features to make it more accurate</t>
  </si>
  <si>
    <t>24f3001072@ds.study.iitm.ac.in</t>
  </si>
  <si>
    <t>understand the difference between R2 and RMSE and and how to use it</t>
  </si>
  <si>
    <t>23f2001951@ds.study.iitm.ac.in</t>
  </si>
  <si>
    <t>21f1006273@ds.study.iitm.ac.in</t>
  </si>
  <si>
    <t>Doesn't answer very basic questions related to K-Mean, Regularization , Desicion Tree, P/R/F-score, Coorelation analysis. Unable to creat Matrix of size 10 by 20, and import of IRIS dataset ..etc.</t>
  </si>
  <si>
    <t>23f3004024@ds.study.iitm.ac.in</t>
  </si>
  <si>
    <t>Doesn't answer very basic questions related to Models, K-Mean, Regularization , Desicion Tree, P/R/F-score. Unable to creat Matrix of size 10 by 20, and import of IRIS dataset ..etc.</t>
  </si>
  <si>
    <t>23f1000198@ds.study.iitm.ac.in</t>
  </si>
  <si>
    <t>Presented well both theory and Practicle. Basic concepts may be improved.</t>
  </si>
  <si>
    <t>21f1001174@ds.study.iitm.ac.in</t>
  </si>
  <si>
    <t>Presented well Programming and analytic skills.</t>
  </si>
  <si>
    <t>ML engineer, Data scientist, Data analyst</t>
  </si>
  <si>
    <t>Presented very well Programming and analytic skills.</t>
  </si>
  <si>
    <t>21f3000750@ds.study.iitm.ac.in</t>
  </si>
  <si>
    <t>Presented well, programming skill required some understanding, and practice. Improvement of decision tree model recommended.</t>
  </si>
  <si>
    <t>SARIMA, prophet can be tried</t>
  </si>
  <si>
    <t>25ds3000024@ds.study.iitm.ac.in</t>
  </si>
  <si>
    <t>Try all time series forecasating models</t>
  </si>
  <si>
    <t>23f2004672@ds.study.iitm.ac.in</t>
  </si>
  <si>
    <t>I have waietd and student have not joined</t>
  </si>
  <si>
    <t>23f2003448@ds.study.iitm.ac.in</t>
  </si>
  <si>
    <t>24f1001616@ds.study.iitm.ac.in</t>
  </si>
  <si>
    <t>It is suggested to consider the lag features</t>
  </si>
  <si>
    <t>21f2001527@ds.study.iitm.ac.in</t>
  </si>
  <si>
    <t>I advice to use Prophet model for time series forecasting</t>
  </si>
  <si>
    <t>23f2002083@ds.study.iitm.ac.in</t>
  </si>
  <si>
    <t>Python, NumPy, Pandas, scikit-learn, PyTorch</t>
  </si>
  <si>
    <t>Narayan with a solid understanding of concepts, models the priority should shift to enhancing communication skills. I recommend concentrating on mastering storytelling, ensuring that technical steps are clearly translated into a results-driven narrative that connects the initial problem, your actions, and the measurable outcome.</t>
  </si>
  <si>
    <t>21f1000773@ds.study.iitm.ac.in</t>
  </si>
  <si>
    <t>Fundamental knowledge of the candidate is weak</t>
  </si>
  <si>
    <t>21f2000588@ds.study.iitm.ac.in</t>
  </si>
  <si>
    <t>21f3001496@ds.study.iitm.ac.in</t>
  </si>
  <si>
    <t>23f2004343@ds.study.iitm.ac.in</t>
  </si>
  <si>
    <t>While the candidate’s theoretical understanding is strong, the next step is to refine their delivery for higher stakes. They should focus on technical storytelling, specifically by balancing high level project goals with rigorous technical detail and clearly articulating the strategic value of their architectural choices.</t>
  </si>
  <si>
    <t>23f2005387@ds.study.iitm.ac.in</t>
  </si>
  <si>
    <t>21f2000557@ds.study.iitm.ac.in</t>
  </si>
  <si>
    <t>Very basic work. Nothing other than the usual. Struggled to explain things in the notebook.</t>
  </si>
  <si>
    <t>21f1005756@ds.study.iitm.ac.in</t>
  </si>
  <si>
    <t>Basic work. Doesn't know what the output numbers mean. Ok</t>
  </si>
  <si>
    <t>23f2004008@ds.study.iitm.ac.in</t>
  </si>
  <si>
    <t>A good R2 score. Good imputation method but the student is not sure why their techniques produce such results.</t>
  </si>
  <si>
    <t>22f3000652@ds.study.iitm.ac.in</t>
  </si>
  <si>
    <t>23f3004053@ds.study.iitm.ac.in</t>
  </si>
  <si>
    <t>Candidate didn't appear</t>
  </si>
  <si>
    <t>23f1000967@ds.study.iitm.ac.in</t>
  </si>
  <si>
    <t>-Candidate had stammering issue.
- Was able to give the overview of notebook.
-He need to work on improving his technical knoweldge.
-He was able to complete coding task partially with external help.</t>
  </si>
  <si>
    <t>22f3002394@ds.study.iitm.ac.in</t>
  </si>
  <si>
    <t>-Candidate need more clarity on topics like lightGBM, XGBoost, PCA , bias variance tradeoff etc. Other topics he answered well. it seems he would be able to do well if practice/revise concepts.
-Wasn't able to complete coding task.</t>
  </si>
  <si>
    <t>24f1000781@ds.study.iitm.ac.in</t>
  </si>
  <si>
    <t>- Was able to answer most of the question. 
- Would be good if topics like XGboost , LightGBM, std scaler, correlation matrix, covariance matrix.</t>
  </si>
  <si>
    <t>22f3001160@ds.study.iitm.ac.in</t>
  </si>
  <si>
    <t>Python, NumPy, Pandas, scikit-learn</t>
  </si>
  <si>
    <t>24f2000934@ds.study.iitm.ac.in</t>
  </si>
  <si>
    <t>- Preprocessing was done well and was able to explain it thoroughly
- Need to work on communication skills
- Need to revise the MLT concepts</t>
  </si>
  <si>
    <t>22f3001526@ds.study.iitm.ac.in</t>
  </si>
  <si>
    <t>Kaggle project is fine. Shows strong understanding of preprocessing, feature engineering, and model training, with particularly good performance in hyperparameter tuning. However, your communication skills and explanation of results could be improved to better convey insights. Continue refining how you present and interpret model outcomes to strengthen overall industry readiness.</t>
  </si>
  <si>
    <t>23f2005675@ds.study.iitm.ac.in</t>
  </si>
  <si>
    <t>Understand basic of ML, Overfitting , underfitting, oversample undersample,</t>
  </si>
  <si>
    <t>23f1000592@ds.study.iitm.ac.in</t>
  </si>
  <si>
    <t>Data Analyst, Data Scientist</t>
  </si>
  <si>
    <t>Have done only the basics</t>
  </si>
  <si>
    <t>23f2001072@ds.study.iitm.ac.in</t>
  </si>
  <si>
    <t>Good communication. Decent work. Didn't have post training analysis</t>
  </si>
  <si>
    <t>21f3002034@ds.study.iitm.ac.in</t>
  </si>
  <si>
    <t>The candidate needs to revise some basic concepts such as the range of StandardScaler and the correct usage of one hot encoding and label encoding. He was not clear about the architectural differences between XGBoost and LightGBM. Several answers were not precise and lacked clarity.
Was able to complete the coding task.</t>
  </si>
  <si>
    <t>21f1000474@ds.study.iitm.ac.in</t>
  </si>
  <si>
    <t xml:space="preserve">Was not able to clearly explain PCA, LightGBM, and KNN. The coding task was completed partially. Other questions were answered reasonably well. Overall, satisfied with the performance
</t>
  </si>
  <si>
    <t>23f2004693@ds.study.iitm.ac.in</t>
  </si>
  <si>
    <t>Candidate's conceptual understanding is good. To significantly enhance their presentations and interview impact, the focus should be on mastering the technical narrative: structuring explanations to provide detailed technical depthand seamlessly highlighting the key architectural features within a compelling project story.</t>
  </si>
  <si>
    <t>21f1000652@ds.study.iitm.ac.in</t>
  </si>
  <si>
    <t>21f3001753@ds.study.iitm.ac.in</t>
  </si>
  <si>
    <t>22f3001549@ds.study.iitm.ac.in</t>
  </si>
  <si>
    <t>Kaggle project is good. Good foundational understanding of the machine learning pipeline with balanced strengths in preprocessing and feature engineering. To improve, focus more on achieving optimized model performance and providing clearer result interpretations.</t>
  </si>
  <si>
    <t>23f3003943@ds.study.iitm.ac.in</t>
  </si>
  <si>
    <t>22f3000253@ds.study.iitm.ac.in</t>
  </si>
  <si>
    <t>The student really need to work on the fundamentals.</t>
  </si>
  <si>
    <t>The candidate showed limited clarity on StandardScaler, MinMaxScaler, and the purpose of feature scaling. Overall performance was average. Revising core machine learning concepts will be helpful.The candidate was attentive &amp; sincere.</t>
  </si>
  <si>
    <t>Basic level EDA was done. Wasn't sure about Std scaler range, Xgboost, Lighgbm model related concepts.He need to spend tym on revising ML concepts.The candidate remained patient throughout the evaluation and showed a positive learning attitude</t>
  </si>
  <si>
    <t>22f3002944@ds.study.iitm.ac.in</t>
  </si>
  <si>
    <t>Good communication skills. Explained the project very clearly. Revise mathematical part of  topics like PCA, giniimputiy etc. Stucked in coding task. Overall, very nice work.</t>
  </si>
  <si>
    <t>23f2004366@ds.study.iitm.ac.in</t>
  </si>
  <si>
    <t>23f1000513@ds.study.iitm.ac.in</t>
  </si>
  <si>
    <t>11:00 AM - 11:30 AM</t>
  </si>
  <si>
    <t>Python, Scikit-learn, PyTorch</t>
  </si>
  <si>
    <t>21f3002466@ds.study.iitm.ac.in</t>
  </si>
  <si>
    <t>Very good explanation and rank in leaderboard. Learn time series forecasting</t>
  </si>
  <si>
    <t>23f1001080@ds.study.iitm.ac.in</t>
  </si>
  <si>
    <t>19th position is impressive. Hyperparameter tuning is better to be done in 2-3 models</t>
  </si>
  <si>
    <t>23f2004130@ds.study.iitm.ac.in</t>
  </si>
  <si>
    <t>Consider lag and try to improve the score after exam</t>
  </si>
  <si>
    <t>Revise MLT and DL</t>
  </si>
  <si>
    <t>I suggest to try time series forecasting</t>
  </si>
  <si>
    <t>ML roles, Data analyst</t>
  </si>
  <si>
    <t>22f2000526@ds.study.iitm.ac.in</t>
  </si>
  <si>
    <t>Time series models can be explored to see if results gets improved or not</t>
  </si>
  <si>
    <t>23f2000659@ds.study.iitm.ac.in</t>
  </si>
  <si>
    <t>Hyperparameter tuning is performed only in one model. Why LGBM was taking much time can be investigated. Try ARIMA as well</t>
  </si>
  <si>
    <t>23f1001999@ds.study.iitm.ac.in</t>
  </si>
  <si>
    <t>She was not able to correctly answer any of the questons asked. Doesn't look like she has done the project by herself. Notebook does carry a lots of code but she is explaining whatever she is able to come up with</t>
  </si>
  <si>
    <t>Unable to load and work on IRIS dataset. Need to improve basics of ML and Data Science including definitations.</t>
  </si>
  <si>
    <t>23f1001056@ds.study.iitm.ac.in</t>
  </si>
  <si>
    <t xml:space="preserve">good understanding of data
Lag calculated for time series data
Data pre processing : removed lat/longitude
EDA : hist plot with kde option, barplot, pie chart , line chart , pair barplot ==&gt; colorful EDA
Encoding : OHE , standard scaling 
Model: Linear regression, Ridge, SVR , DT, Light GBM
HPT: GridSearch CV
R2 score: 0.35 (initially had taken RMSE)
comparison of model using pair plot 
</t>
  </si>
  <si>
    <t>23f2002191@ds.study.iitm.ac.in</t>
  </si>
  <si>
    <t xml:space="preserve">Good understanding of problem statement ;
Basic data frame operations done
good knowledge in stats concept ; EDA for outliers
Missed to remove unwanted rows/ features
seasonal trends captured
linear models (linear regression, knn and xgboost/light BGM, RF) ; features created to capture past data
rolling mean &amp; standard deviation calculated
Select KBest, variance threshold , RFE - knows but haven't implemented
corr heat map plotted
R2 Score : 0.39
Model comparison plotted
</t>
  </si>
  <si>
    <t xml:space="preserve">good understanding of data / problem statement
input data : stored it as a dict ; 8 CSV files including submission file
Data pre-processng: removed 7 feature: merged the 7 CSV files into one df
Feature selection : only date features / time series data set only used
EDA: line plots, box plots check for outliers (removed outliers) , kde plots
Models: Linear / Reg Regression / Random Forest / Light GBM, XGBoost
Holiday feature selection function created to find pattern of data on holidays
Optuna library for HPT in XGBoost / Light GBM
R2 Score :0.33
Suggestion : Need to try lag/rolling mean/std dev specific to timeseries forecast problem
</t>
  </si>
  <si>
    <t>23f1001382@ds.study.iitm.ac.in</t>
  </si>
  <si>
    <t>Python, Pandas, NumPy, Scikit-learn, PyTorch</t>
  </si>
  <si>
    <t xml:space="preserve">Good understanding of data
EDA: hist plots, trend plots , bar / box plots 
Corr heat map : suggested 
No features dropped 
Used Lag options for the timeseries data; rolling mean calculated
Models: Linear , RF , XGBoost
XGBoost : Best Params -- HPT
R2 Score: 0.37 MSE, RMSE scores also printed for all the models
</t>
  </si>
  <si>
    <t>23f2002671@ds.study.iitm.ac.in</t>
  </si>
  <si>
    <t xml:space="preserve">Excellent understanding of data, problem statement
Detailed comments written ; observations noted
EDA : clear explanation of scatter plots , correlation/skewness explained , hist plots with kde option, line plot
Used lag features
Models: Gradient boosting with custom target encoder function written; Extreme gradient boosting, Voting Regressor
HPT: Randomized Search CV
R2 Score: 0.36  MSE score printed
Model comparison score printed &amp; bar graph plotted
</t>
  </si>
  <si>
    <t>23f2003918@ds.study.iitm.ac.in</t>
  </si>
  <si>
    <t xml:space="preserve">reasonable understanding of data / problem statement
EDA : Scatter plots , line, box plots , corr matrix plotted with 5 feature, hist plots with kde option 
Model: SGD regressor , KNN, SVM 
HPT: GridSearch CV 
R2 Score: 0.32 
Suggestion : More feature engineering and feature selection ; need to include lag/rolling mean/std deviation that are very specific to time series problem
</t>
  </si>
  <si>
    <t>21f3002510@ds.study.iitm.ac.in</t>
  </si>
  <si>
    <t xml:space="preserve">As a working professional, very good understanding of data/problem statement; but needs improvement in approach
OHE done for cat features resulting in final 840+ feature; Label encoding should have been used or RFE followed
EDA: Only box plot ; Very less visuals
Models: Ridge, linear, DT , Gradient Boosting
HPT : Gridsearch CV
R2 score : .34 ; MSE printed 
Suggestion: Lot of features dropped; feature engineering and selection not done
</t>
  </si>
  <si>
    <t>23f2004299@ds.study.iitm.ac.in</t>
  </si>
  <si>
    <t>Was confused about the bias variance tradeoff and encoding techniques. Other questions were answered well. Was able to complete the coding task partially.</t>
  </si>
  <si>
    <t>23ds3000116@ds.study.iitm.ac.in</t>
  </si>
  <si>
    <t>The candidate was not clear about scaling techniques and showed confusion around how lag and rolling features are handled for test data. More conceptual clarity is needed for tree based models such as XGBoost and LightGBM. Coding skills also need improvement with more hands on practice.
 Overall decent performance. Looks sincere.</t>
  </si>
  <si>
    <t>21f1006164@ds.study.iitm.ac.in</t>
  </si>
  <si>
    <t>Were able to answer most of the questions. But wasn't able to explain clealry about lightgbm,xgboost, PCA etc.confused between L1 &amp; L2 regularization.</t>
  </si>
  <si>
    <t>23f2001791@ds.study.iitm.ac.in</t>
  </si>
  <si>
    <t>The candidate has a weak grasp of core technical concepts and struggled with basic questions. There is limited clarity on preprocessing steps such as scaling and encoding, and the candidate was unable to clearly explain concepts like bagging and boosting. Overall, the candidate needs to strengthen foundational understanding and revise key machine learning topics.</t>
  </si>
  <si>
    <t>21f3000426@ds.study.iitm.ac.in</t>
  </si>
  <si>
    <t>Java, Python, C/C++, SQL (Postgres), 
JavaScript, HTML/CSS,Flask, Vue.js</t>
  </si>
  <si>
    <t xml:space="preserve">Gave a clear overview of the topics. Lacked confidence on a few areas,Wasn'ty able to explain how lag&amp; rolling feature will be calculated for test data. It seems he was using another screen parallely. Overall the performance was satisfactory (If original). Partially completed the coding task.
</t>
  </si>
  <si>
    <t>22f3000299@ds.study.iitm.ac.in</t>
  </si>
  <si>
    <t>Kaggle project could have been done better. Shows a good understanding of data preprocessing and model-building fundamentals, but his explanations and result interpretation need more clarity and depth. Strengthening communication and improving the structure and originality of his notebook will help him align better with industry expectations.</t>
  </si>
  <si>
    <t>22ds1000192@ds.study.iitm.ac.in</t>
  </si>
  <si>
    <t>11:30 AM - 12:00 PM</t>
  </si>
  <si>
    <t>23f2002022@ds.study.iitm.ac.in</t>
  </si>
  <si>
    <t>21f1000320@ds.study.iitm.ac.in</t>
  </si>
  <si>
    <t>Need to improve Communication, Also need to revise DSA, DBMS core  concept</t>
  </si>
  <si>
    <t>21f1000102@ds.study.iitm.ac.in</t>
  </si>
  <si>
    <t>Praket demonstrates a good understanding of EDA and Hyperparameter Tuning, establishing a reliable technical foundation. To significantly enhance presentation impact and further develop professional skills, the focus must shift to two key areas: first, Technical Storytelling, where presentations must clearly articulate and highlight the key technical features and architectural choices; and second, Strategic Application, where Praket should proactively seek out and implement learned knowledge on real-time use cases relevant to their current work domain, thereby ensuring continuous skill advancement and practical expertise.</t>
  </si>
  <si>
    <t>22f3000921@ds.study.iitm.ac.in</t>
  </si>
  <si>
    <t>Piyush demonstrates good conceptual clarity  EDA, Models  and solid coding skills. The next area to refine is project storytelling  raming your work using a clear Problem Action Quantified Result structure. Strengthening this narrative flow will make your interviews far more compelling.</t>
  </si>
  <si>
    <t>21f2000852@ds.study.iitm.ac.in</t>
  </si>
  <si>
    <t>Anuj's presentation was delivered with very  good confidence and demonstrating a very strong foundational understanding of concepts and core basics. To achieve the next level of professional effectiveness, I recommend prioritizing the direct and strategic application of learned methods</t>
  </si>
  <si>
    <t>23f2002348@ds.study.iitm.ac.in</t>
  </si>
  <si>
    <t>Pranav possesses good technical clarity on concepts, EDA, and models, alongside solid coding skills. To maximize interview effectiveness, the focus on the</t>
  </si>
  <si>
    <t>22f2000481@ds.study.iitm.ac.in</t>
  </si>
  <si>
    <t>Chinmoy demonstrates a good understanding of fundamentals, HPT and models. To achieve a more compelling presentation and interview performance, they must prioritize detailed technical explanations and strategic storytelling, ensuring all presentations clearly highlight the key features of their work.</t>
  </si>
  <si>
    <t>Python, NumPy, Pandas, Scikit-learn, Matplotlib, Seaborn, JavaScript, HTML/CSS, Vue.js, Bootstrap</t>
  </si>
  <si>
    <t>23f2005106@ds.study.iitm.ac.in</t>
  </si>
  <si>
    <t>Bollapragada Sridevi delivered a very strong performance, demonstrating excellent clarity in explaining EDA and Visualization techniques, and providing a clear, detailed code walkthrough with real time examples. To elevate further impact, the focus should be on mastering strategic storytelling.</t>
  </si>
  <si>
    <t>21f1005226@ds.study.iitm.ac.in</t>
  </si>
  <si>
    <t>Somya demonstrated a good understanding of core concepts and Time Series models, and possesses a clear way of explaining technical details. To enhance professional impact, the focus should shift to refining strategic communication and narrative structure, ensuring project defenses clearly articulate the value chain. This involves going beyond how the model works to emphasizing why specific methods were chosen and the measurable business outcome. I strongly advise applying this refined theoretical and methodological learning directly to current work projects, translating knowledge into actionable insights. This commitment to continuous application and clearer value communication is the key to advancing professionally within her domain</t>
  </si>
  <si>
    <t>24ds1000053@ds.study.iitm.ac.in</t>
  </si>
  <si>
    <t>Need to revise DSA, DBMS core concept, also need to more handson on projects and problem solving
 He is more fit for DS role</t>
  </si>
  <si>
    <t>DS Based Role</t>
  </si>
  <si>
    <t>23f3000325@ds.study.iitm.ac.in</t>
  </si>
  <si>
    <t>23f2000417@ds.study.iitm.ac.in</t>
  </si>
  <si>
    <t>23f3002427@ds.study.iitm.ac.in</t>
  </si>
  <si>
    <t>Very good candidate</t>
  </si>
  <si>
    <t>24f2005006@ds.study.iitm.ac.in</t>
  </si>
  <si>
    <t>21f1005443@ds.study.iitm.ac.in</t>
  </si>
  <si>
    <t>23f2004057@ds.study.iitm.ac.in</t>
  </si>
  <si>
    <t>She was able to explain the notebook code and other questions. Faced some difficulty in MLT related questions otherwise good work.</t>
  </si>
  <si>
    <t>22f3001788@ds.study.iitm.ac.in</t>
  </si>
  <si>
    <t>She has tried out lots of thing in her project. She has put a great amount of effort in the project. Her Concepts are crisp and clear</t>
  </si>
  <si>
    <t>Average attempt</t>
  </si>
  <si>
    <t>23f1002354@ds.study.iitm.ac.in</t>
  </si>
  <si>
    <t>Good work</t>
  </si>
  <si>
    <t>21f1003850@ds.study.iitm.ac.in</t>
  </si>
  <si>
    <t>Kunwar undertsanding on EDA,Hyperparameter tuning is good.To significantly enhance your presentations and interviews, focus on storytelling:Highlight the key technical features and cover more level of details etc</t>
  </si>
  <si>
    <t>24f2008564@ds.study.iitm.ac.in</t>
  </si>
  <si>
    <t>Candidate has good understanding on  fundamentals ,models used .To significantly enhance your presentations and interviews, focus on detailed explanations &amp; storytelling :Highlight the key technical features etc</t>
  </si>
  <si>
    <t>23f3002893@ds.study.iitm.ac.in</t>
  </si>
  <si>
    <t>With a good grasp of the underlying concepts, models, and EDA, the next critical step is to refine communication. I recommend concentrating on mastering the project narrative translating technical steps into a story that clearly connects the initial problem, your intervention, and the final quantified outcome.</t>
  </si>
  <si>
    <t>21f1003732@ds.study.iitm.ac.in</t>
  </si>
  <si>
    <t>Rajni demonstrates good conceptual clarity  EDA, Models  and solid coding skills. The next area to refine is project storytelling  raming your work using a clear Problem Action Quantified Result structure. Strengthening this narrative flow will make your interviews far more compelling.</t>
  </si>
  <si>
    <t>KANCHI VAISHNAVI</t>
  </si>
  <si>
    <t>22f3001308@ds.study.iitm.ac.in</t>
  </si>
  <si>
    <t>Swayam showcased very good presentation with confidence and demonstrated a robust foundational understanding of core concepts. To elevate professional effectiveness, the next step involves prioritizing the strategic synthesis and direct application of learned methodologies, which is essential for comprehensive interview preparation.</t>
  </si>
  <si>
    <t>Parth exhibits strong technical capabilities in concepts, EDA, models, and coding. To significantly boost interview success, they should focus on strategic narrative presentation, consistently articulating the logical progression from the initial challenge to the specific steps taken, culminating in the demonstrable project outcomes.</t>
  </si>
  <si>
    <t>23f1002464@ds.study.iitm.ac.in</t>
  </si>
  <si>
    <t>With a solid understanding of concepts, models the priority should shift to enhancing communication skills. I recommend concentrating on mastering storytelling, ensuring that technical steps are clearly translated into a results-driven narrative that connects the initial problem, your actions, and the measurable outcome.</t>
  </si>
  <si>
    <t>Candidate's presentation was delivered with very  good confidence and demonstrating a very strong foundational understanding of concepts and core basics. To achieve the next level of professional effectiveness, I recommend prioritizing the direct and strategic application of learned methods  and prepare for the interviews</t>
  </si>
  <si>
    <t>22f1001159@ds.study.iitm.ac.in</t>
  </si>
  <si>
    <t>1.EDA and feature engineering is missing and need to work on this.
2.Statistical techniques need to incorporate.
3.Need to improve the the basic concepts.</t>
  </si>
  <si>
    <t>23f1000344@ds.study.iitm.ac.in</t>
  </si>
  <si>
    <t xml:space="preserve">1.Work on feature engineering.
2.Work on EDA in details.
3.Show which are the variable are important for predictions.
</t>
  </si>
  <si>
    <t>24ds2000137@ds.study.iitm.ac.in</t>
  </si>
  <si>
    <t>Kaggle project could have been done better. Shows a good understanding of data preprocessing and model-building fundamentals, but explanations and result interpretation need more clarity and depth. Strengthening communication and improving the structure and originality of his notebook will help him align better with industry expectations.</t>
  </si>
  <si>
    <t>21f3002848@ds.study.iitm.ac.in</t>
  </si>
  <si>
    <t>23f2000006@ds.study.iitm.ac.in</t>
  </si>
  <si>
    <t>Student couldn't able to explain some part of the code. Not able to explain any of the ML algorithms.</t>
  </si>
  <si>
    <t>22f3001580@ds.study.iitm.ac.in</t>
  </si>
  <si>
    <t>He has tried few things but was able to explain all the work he has done in the notebook. 
Some MLT concept needs to be revised.</t>
  </si>
  <si>
    <t>23f2000926@ds.study.iitm.ac.in</t>
  </si>
  <si>
    <t xml:space="preserve">- Code looks copied from somewhere as the whole code was in one cell
- Couldn't able to explain anything outside of his code.
- Need to work on MLT and MLP basic concepts </t>
  </si>
  <si>
    <t>21f3000245@ds.study.iitm.ac.in</t>
  </si>
  <si>
    <t xml:space="preserve">Very good understanding of problem statement; many unique thoughts like theater's giving offer on specific day of the week explored
Excellent and colorful EDA , correlation and skewness explained
lag and rolling mean/std dev used
Timeseries split used ; rarely we see this 
EDA: Hist plots with kde,bar chart, scatter /box plot , line plot for trend analysis, corr matrix 
Models: RF, XG Boost, Light GBM 
HPT: GridSearch
Weighted blend R2 Score: .36
Suggestion : to feed impacted features to the model; 
</t>
  </si>
  <si>
    <t>24f2007364@ds.study.iitm.ac.in</t>
  </si>
  <si>
    <t xml:space="preserve">Good understanding of problem statement /data
Very good EDA: corr heat map plotted for the created ; hist with kde , bar plots, line chart, box plots 
Lag and rolling mean created; Seasonality features created
pca analysis - plots made; but not implemented 
Models: Light GBM, RF, XGBoost 
HPT: GridSearch
R2 score &amp; MAE score - Comparison of Models bar chart drawn
R2 Score: 0.37
Not able to answer what is R2 score ; need to have good understanding of statistical metrics
</t>
  </si>
  <si>
    <t>24f1000802@ds.study.iitm.ac.in</t>
  </si>
  <si>
    <t xml:space="preserve">Very good understanding of problem statement ; As a stand alone course, lot of effort being put
Good EDA: Hist plot with kde, bar/box/line charts
suggested to lag  / rolling mean / std deviation 
Models: RF , XGBoost, Light GBM, Gradient boosting 
HPT: coded manual params tuning 
RMSE Value only calculated / printed for all the models; R2 Score showed in leaderboard is 0.35 
</t>
  </si>
  <si>
    <t>22f1001645@ds.study.iitm.ac.in</t>
  </si>
  <si>
    <t xml:space="preserve">Good understanding of data ; Stand along degree, very good attempt
Colorful EDA: hist plot with kde, bar/box/line/trend chart, corr heat map with 3 variables
lag and rolling mean calculated
Ensemble Feature importance calculated and only top 15 features fed to the model
Models: LR, RF, time series split used with 5 fold; rare one to see, Ensembling with XGB &amp; LGBM
HPT: Randomized CV
R2 Score: 0.38
Line plot done for the model comparison
</t>
  </si>
  <si>
    <t>23f1002693@ds.study.iitm.ac.in</t>
  </si>
  <si>
    <t>Very basic attempt at the problem. The focus was primarily clearing the score cutoff. No decent insights or anything like that.</t>
  </si>
  <si>
    <t>21f3000051@ds.study.iitm.ac.in</t>
  </si>
  <si>
    <t>Doesn't know what isna() does, what a histogram, etc. Even fundamentals.</t>
  </si>
  <si>
    <t>21f1000319@ds.study.iitm.ac.in</t>
  </si>
  <si>
    <t>Basics are done. Failed to train the models properly. Nothing other than the basics.</t>
  </si>
  <si>
    <t>21f3002439@ds.study.iitm.ac.in</t>
  </si>
  <si>
    <t>Very basic attempt at the problem. The focus was primarily clearing the score cutoff. No insights or anything like that.</t>
  </si>
  <si>
    <t>Impressive notebook, but doesn't know most of the things in it. He claims to have written it but doesn't know even basics like std.</t>
  </si>
  <si>
    <t>23ds1000051@ds.study.iitm.ac.in</t>
  </si>
  <si>
    <t>24f2000940@ds.study.iitm.ac.in</t>
  </si>
  <si>
    <t>21f1000051@ds.study.iitm.ac.in</t>
  </si>
  <si>
    <t>24f1002074@ds.study.iitm.ac.in</t>
  </si>
  <si>
    <t>24f2001946@ds.study.iitm.ac.in</t>
  </si>
  <si>
    <t>Strong grasp of model training and interpretation. Notebook clarity can improve further. Work on strengthening communication for clearer explanations.</t>
  </si>
  <si>
    <t>21f3000628@ds.study.iitm.ac.in</t>
  </si>
  <si>
    <t>Good consistency across technical sections. Communication needs more structure and confidence. Improve presentation flow and clarity of insights.</t>
  </si>
  <si>
    <t>22f3002773@ds.study.iitm.ac.in</t>
  </si>
  <si>
    <t>Good conceptual understanding and strong model evaluation. Notebook is clear and well presented. Keep refining creativity in analysis.</t>
  </si>
  <si>
    <t>23f2002278@ds.study.iitm.ac.in</t>
  </si>
  <si>
    <t>Outstanding performance across all stages with clear, confident articulation. Notebook and explanations are detailed and thorough. Very strong demonstration overall.</t>
  </si>
  <si>
    <t>22f2001725@ds.study.iitm.ac.in</t>
  </si>
  <si>
    <t>Good technical depth and clear reasoning. Try adding more exploratory insights in the notebook. Communication is strong and well-structured.</t>
  </si>
  <si>
    <t>Good understanding of preprocessing and modeling. Explanations can be more detailed. Improve delivery clarity during discussion.</t>
  </si>
  <si>
    <t>23f2000887@ds.study.iitm.ac.in</t>
  </si>
  <si>
    <t>Very strong understanding with excellent model tuning and accurate interpretation. Communication is confident and clear. Great overall performance.</t>
  </si>
  <si>
    <t>21f3000188@ds.study.iitm.ac.in</t>
  </si>
  <si>
    <t>Good balance of theory and practice. Some points can be explained with more depth. Notebook is structured but can include more visual insights.</t>
  </si>
  <si>
    <t>22f3000668@ds.study.iitm.ac.in</t>
  </si>
  <si>
    <t>Strong conceptual clarity and clean explanations. Visualizations and preprocessing are well executed. Solid overall demonstration.</t>
  </si>
  <si>
    <t>22f3002134@ds.study.iitm.ac.in</t>
  </si>
  <si>
    <t>Consistent, well-presented work with good analytical reasoning. Communication is clear and confident. Maintains strong performance throughout.</t>
  </si>
  <si>
    <t>23ds3000088@ds.study.iitm.ac.in</t>
  </si>
  <si>
    <t>1.Pipeline try to incorporate.
2.Data preprocessing and feature engineering need to improve.
3.Work on the problem solving and understanding</t>
  </si>
  <si>
    <t>23f2004790@ds.study.iitm.ac.in</t>
  </si>
  <si>
    <t>I don't know if OPTUNA can be used for hyperparameter tuning as the instruction was that only scikit-learn is allowed. Please verify</t>
  </si>
  <si>
    <t>23f1002386@ds.study.iitm.ac.in</t>
  </si>
  <si>
    <t>Need to improve knowledge about Root node selction in Decision Tree, concept of Entropy and Information gain in tree based methods.</t>
  </si>
  <si>
    <t>23f3003961@ds.study.iitm.ac.in</t>
  </si>
  <si>
    <t>Completed all given excercise</t>
  </si>
  <si>
    <t>21f2000969@ds.study.iitm.ac.in</t>
  </si>
  <si>
    <t>It is preferable to incorporate the competition rules alongside the models.</t>
  </si>
  <si>
    <t>explined well notebook, prformance measures etc.., need improvement in programming,</t>
  </si>
  <si>
    <t>22f1001727@ds.study.iitm.ac.in</t>
  </si>
  <si>
    <t>unable to do K-Mean excercise, satisfactory knowledge of theory and practicle problam.</t>
  </si>
  <si>
    <t>23f3003060@ds.study.iitm.ac.in</t>
  </si>
  <si>
    <t>Randomized search CV can be tried to see if it is faster and produce satosfactory R^2</t>
  </si>
  <si>
    <t>21f1002899@ds.study.iitm.ac.in</t>
  </si>
  <si>
    <t>It is very good that you explained properly. Try to combine the milestone with the models</t>
  </si>
  <si>
    <t>22f3000563@ds.study.iitm.ac.in</t>
  </si>
  <si>
    <t>Hyperparameter tuning is not performed. I suggest to do after exam. Hind must not be used during viva</t>
  </si>
  <si>
    <t>22f3002556@ds.study.iitm.ac.in</t>
  </si>
  <si>
    <t>23f2002979@ds.study.iitm.ac.in</t>
  </si>
  <si>
    <t>Hyperparameter tuning is performed only for one model. You can try top three models</t>
  </si>
  <si>
    <t>23f1000795@ds.study.iitm.ac.in</t>
  </si>
  <si>
    <t>Hyperparameter tuning is conducted solely for a single model. You may experiment with the top three models.</t>
  </si>
  <si>
    <t>23ds3000215@ds.study.iitm.ac.in</t>
  </si>
  <si>
    <t>The candidate demonstrates a fair understanding of concepts and code. To maximize impact, they must focus on providing greater levels of detail and developing stronger communication and storytelling abilities.</t>
  </si>
  <si>
    <t>23f2000275@ds.study.iitm.ac.in</t>
  </si>
  <si>
    <t>Madhan karthikeyan demonstrates good conceptual clarity  EDA, Models  and solid coding skills. The next area to refine is project storytelling  framing your work using a clear Problem Action Quantified Result structure. Strengthening this narrative flow will make your interviews far more compelling.</t>
  </si>
  <si>
    <t>24f1002416@ds.study.iitm.ac.in</t>
  </si>
  <si>
    <t>23f2003976@ds.study.iitm.ac.in</t>
  </si>
  <si>
    <t>22f1000422@ds.study.iitm.ac.in</t>
  </si>
  <si>
    <t>Kaggle Project shows a basic but functional approach; however, exploration, creativity, and code quality can be improved. Viva performance indicates partial understanding of preprocessing, modeling, and evaluation, with noticeable gaps in key concepts. Communication needs more structure. Focus on strengthening core ML concepts and practicing clearer technical explanation.</t>
  </si>
  <si>
    <t>22f3002819@ds.study.iitm.ac.in</t>
  </si>
  <si>
    <t>23f3004267@ds.study.iitm.ac.in</t>
  </si>
  <si>
    <t>23f3004459@ds.study.iitm.ac.in</t>
  </si>
  <si>
    <t>21f1000466@ds.study.iitm.ac.in</t>
  </si>
  <si>
    <t>23f2003863@ds.study.iitm.ac.in</t>
  </si>
  <si>
    <t xml:space="preserve">Candidate took MLP and the MLP Project together. He needs more practice on core concepts. He showed good intent to learn. He was not able to answer topics like gini impurity, low or high cardinality, LightGBM and logistic regression clearly.
</t>
  </si>
  <si>
    <t>23f2000293@ds.study.iitm.ac.in</t>
  </si>
  <si>
    <t>Candidate needs to strengthen many ML concepts, He was confused for most of the topic.</t>
  </si>
  <si>
    <t>22f3002175@ds.study.iitm.ac.in</t>
  </si>
  <si>
    <t>Candidate knows the concepts but lacks clarity. Some of his answers were less precise. He was not able to explain topics like PCA ,gini impurity , logistic regression etc.</t>
  </si>
  <si>
    <t>22f3001415@ds.study.iitm.ac.in</t>
  </si>
  <si>
    <t>Revise Stats, MLF, MLT and MLP</t>
  </si>
  <si>
    <t>He need to work hard on improving ML Knowledge. It seems he knows topics but he is lacking in confidence &amp; clarity.</t>
  </si>
  <si>
    <t>21f1002947@ds.study.iitm.ac.in</t>
  </si>
  <si>
    <t>She is weak in core concept.Most of the answers were not clear &amp; correct.</t>
  </si>
  <si>
    <t>24f1000537@ds.study.iitm.ac.in</t>
  </si>
  <si>
    <t>Time series models like Arima can be tried and see if it is beneficial or not. Moreover, you can try outlier detection</t>
  </si>
  <si>
    <t>23f2004268@ds.study.iitm.ac.in</t>
  </si>
  <si>
    <t>Better to hypertune more models</t>
  </si>
  <si>
    <t>23f3000922@ds.study.iitm.ac.in</t>
  </si>
  <si>
    <t>Try Prophet in time series part</t>
  </si>
  <si>
    <t>22f3000241@ds.study.iitm.ac.in</t>
  </si>
  <si>
    <t>SARIMA and Prophet can be tried</t>
  </si>
  <si>
    <t>22f2000900@ds.study.iitm.ac.in</t>
  </si>
  <si>
    <t>23f1000996@ds.study.iitm.ac.in</t>
  </si>
  <si>
    <t>23f3003059@ds.study.iitm.ac.in</t>
  </si>
  <si>
    <t>21f1003088@ds.study.iitm.ac.in</t>
  </si>
  <si>
    <t>23f2003419@ds.study.iitm.ac.in</t>
  </si>
  <si>
    <t>21f1002727@ds.study.iitm.ac.in</t>
  </si>
  <si>
    <t>23f3004075@ds.study.iitm.ac.in</t>
  </si>
  <si>
    <t>22ds1000032@ds.study.iitm.ac.in</t>
  </si>
  <si>
    <t>23ds3000078@ds.study.iitm.ac.in</t>
  </si>
  <si>
    <t>It is advisable to try time series models like Arima can be tried and see if it is beneficial or not. Moreover, you can try outlier detection</t>
  </si>
  <si>
    <t>23f3000897@ds.study.iitm.ac.in</t>
  </si>
  <si>
    <t>21f2001330@ds.study.iitm.ac.in</t>
  </si>
  <si>
    <t>23f2000093@ds.study.iitm.ac.in</t>
  </si>
  <si>
    <t xml:space="preserve">--Saanvi Gandhi
Explained the code effectively with good clarity. focus more on evaluation metrics &amp; joins
</t>
  </si>
  <si>
    <t>23f1000178@ds.study.iitm.ac.in</t>
  </si>
  <si>
    <t xml:space="preserve">Explained  the code effectively with good clarity
With more exposure to diverse datasets you can further strengthen your expertise and excel in this field 
Overall Excellent </t>
  </si>
  <si>
    <t>23f3001973@ds.study.iitm.ac.in</t>
  </si>
  <si>
    <t>---Abhishek Saha</t>
  </si>
  <si>
    <t>22f1001168@ds.study.iitm.ac.in</t>
  </si>
  <si>
    <t xml:space="preserve">Candidate needs to strengthen many ML concepts, but I appreciated his honesty whenever he was unsure. he showed good intent and has the potential to do well.
</t>
  </si>
  <si>
    <t>24f2008495@ds.study.iitm.ac.in</t>
  </si>
  <si>
    <t>Need some practice. Overall satisfied with the performance.</t>
  </si>
  <si>
    <t>24f2005104@ds.study.iitm.ac.in</t>
  </si>
  <si>
    <t>Candidate needs to strengthen several ML concepts. He seemed unprepared and was confused about many topics.But he showed good intent and has the potential to do well.</t>
  </si>
  <si>
    <t>21f2000715@ds.study.iitm.ac.in</t>
  </si>
  <si>
    <t>Good conceptual understanding and consistent performance across preprocessing and modeling. Needs improvement in notebook clarity and creativity.
Industry Suggestion: Practice writing cleaner code and documenting steps clearly; start doing small end-to-end ML projects to build industry-ready thinking.</t>
  </si>
  <si>
    <t>23f1002541@ds.study.iitm.ac.in</t>
  </si>
  <si>
    <t>Strong performance in feature engineering and modeling. Notebook quality is decent but can be more polished.
Industry Suggestion: Work on refining EDA storytelling and maintain a clean, professional coding style to match real-world expectations.</t>
  </si>
  <si>
    <t>22f3001607@ds.study.iitm.ac.in</t>
  </si>
  <si>
    <t>Very good understanding of ML pipeline with strong model-building skills. Communication and interpretation are solid.
Industry Suggestion: Continue practicing advanced feature engineering and experiment with production-grade workflows (Git, modular code).</t>
  </si>
  <si>
    <t>Excellent across all categories — strong notebook, creativity, modeling depth, and communication. Shows clear industry readiness.
Industry Suggestion: Start contributing to open-source, build portfolio projects, and learn MLOps basics to prepare for real-world ML deployments.</t>
  </si>
  <si>
    <t>24ds1000086@ds.study.iitm.ac.in</t>
  </si>
  <si>
    <t>04:00 PM - 04:30 PM</t>
  </si>
  <si>
    <t xml:space="preserve">From mechanical engg to pm in  EY -- interesting career/academic path
As working professional , good understanding of problem statement
New feature created for day of month / long weekend captured ; lag functionality thought
EDA: corr matrix, scatter plots , hist with kde option , trend chart 
Models: Linear, Gradient boosting, MLP and Light GBM
HPT: Grid and Randomized search
R2 score :32 ; Other metrics to be considered
Suggestion: As working professional, Need to include comments and observations in notebook; more feature creation / engg options to attempt
</t>
  </si>
  <si>
    <t>24ds3000004@ds.study.iitm.ac.in</t>
  </si>
  <si>
    <t xml:space="preserve">Very good EDA , good amount of scatter, trend charts , hist plots , detailed exlanation of skewness
Lags used , rolling mean taken into account ; data for 56 days only taken into account instead of 2 years data given in input CSV file-&gt; Major miss; taking less data impacts model's data understanding
EDA: hist plots with kde, box plots (outliers not delayed), trend charts 
scaling done for tree models 
Models: Linear, Ridge, Lasso , RF, Gradient boosting , early stopping used in Light GBM
Score printed for all the models : R2 &amp; RMSE
R2 score :.38
Suggestion: correlation of features to be considered, corr heat map , scatter plots to find relationship 
</t>
  </si>
  <si>
    <t>23f2002621@ds.study.iitm.ac.in</t>
  </si>
  <si>
    <t xml:space="preserve">Very good documentation, comments on code and observations documented 
Colinearity explained nicely with lag and rolling window min/max/mean/std dev  features; corr heat map 
EDA: hist plot with kde, time series trend , bar plots , seasonality plotted based day of the week. 
Models: Hist GB, LGBM, XGBoost -- all with 5 fold 
HPT: Randomized Search CV
printed R2 score wth rolling std deviation as well before HPT
R2 Score: 0.31 
Model comparison : bar plot done 
Suggestion: corr heat map plotted but was not used in feature selection ; need to use and feed selected features to the model.
</t>
  </si>
  <si>
    <t>23f2003235@ds.study.iitm.ac.in</t>
  </si>
  <si>
    <t xml:space="preserve">Good understanding of the data
made correlation matrix and got to 15 highly correlated features but fed all 85 features to the model
Observations and comments clearly documented 
EDA : Hist plots , skewness explained , bar plots for weekday and heatmap for correlation 
Models : Linear, ridge, lasso, RF, Gradient boosting , XGBoost and light GBM
HPT: Grid search CV
R2 Score: 0.35; RMSE &amp; MAE printed
Very good attempt; suggestion for creation of new features / feature engg
</t>
  </si>
  <si>
    <t>21f2000704@ds.study.iitm.ac.in</t>
  </si>
  <si>
    <t xml:space="preserve">good understanding of the data
Lag and rolling mean/std dev calculated
have made correlation matrix and got the top 15 features and have fed only the highly correlated features to the model
EDA: hist plots - skewness explained , trend charts, bar graphs for day of the week
Models : Linear, RF, Light GBM and XGBoost
HPT: Randomized grid 
R2 Score :.45 ; MAE score printed
Model comparison : r2 score printed for each model
Technically very good attempt; Very impressive work 
</t>
  </si>
  <si>
    <t>21f1000426@ds.study.iitm.ac.in</t>
  </si>
  <si>
    <t xml:space="preserve">good understanding of data
lag and rolling mean / std dev calculated
EDA: Line plot, bar /hist plot, trend chart given; colorful visuals
calculation of days of the calendar to mapping previous year day of the week has been done; very unique thought in time series problem
Model : Linear regression, Hist Gradient boost, XGBoost , Light GBM
HPT: Grid search 
R2 Score : .44 
Model comparison : R2 score printed for each model
</t>
  </si>
  <si>
    <t>22f3000800@ds.study.iitm.ac.in</t>
  </si>
  <si>
    <t>Your Kaggle project shows solid data exploration with clear visualizations and readable code, but it follows a very standard approach with limited creativity and basic feature engineering. The lack of systematic hyperparameter tuning explanation and deeper feature work kept the model performance average. To become industry-ready, focus on experimenting with original features, proper tuning pipelines, and more rigorous validation.</t>
  </si>
  <si>
    <t>24f1002787@ds.study.iitm.ac.in</t>
  </si>
  <si>
    <t>Kaggle project is clean and functional with readable code, but the exploration is shallow, visualizations are basic, and the overall approach lacks originality. Fundamentals were there but preprocessing issues, minimal feature engineering, and reliance on default model settings affected the final performance. Strengthen your EDA, always include proper cross-validation and tuning, and push yourself to try more creative solutions to quickly reach industry standards.</t>
  </si>
  <si>
    <t>23f1001792@ds.study.iitm.ac.in</t>
  </si>
  <si>
    <t>Kaggle project is good with professionally documented submissions, combining original ideas with clean, high-quality code. Demonstrated deep understanding throughout the viva, from advanced feature engineering and thorough model experimentation to insightful interpretation of results. Adding a brief note on deployment considerations would help.</t>
  </si>
  <si>
    <t>Sivam's undertsanding on EDA,Hyperparameter tuning is good.To significantly enhance your presentations and interviews, focus on storytelling:Highlight the key technical features and cover more level of details etc</t>
  </si>
  <si>
    <t>21f1000737@ds.study.iitm.ac.in</t>
  </si>
  <si>
    <t>Vaibhav's understanding on EDA,DataViz and hyper parameter t uning is good , providing a robust and reliable technical foundation for your work. To effectively translate this proficiency into real-time, operational results, you must focus on  mastering model versioning and data drift detection, and learning to quantify the operational impact of your tuning decisions against critical business KPIs like latency and deployment cost.</t>
  </si>
  <si>
    <t>22f3000075@ds.study.iitm.ac.in</t>
  </si>
  <si>
    <t>Good technical understanding and solid model training skills. Notebook quality is consistent but can improve creativity.
Industry suggestion: Focus on writing cleaner, modular code and practice more real-world EDA storytelling.</t>
  </si>
  <si>
    <t>23f1003028@ds.study.iitm.ac.in</t>
  </si>
  <si>
    <t>Strong grasp of preprocessing and model interpretation. Results are communicated well.
Industry suggestion: Continue improving EDA depth and add more business-focused insights in notebooks.</t>
  </si>
  <si>
    <t>23f2003015@ds.study.iitm.ac.in</t>
  </si>
  <si>
    <t>Consistent performance across model building and evaluation with clear explanations.
Industry suggestion: Strengthen visualization impact and aim for more original approaches in analysis.</t>
  </si>
  <si>
    <t>Shows good clarity in concepts and model tuning. Results are logically interpreted.
Industry suggestion: Improve notebook creativity and include practical use-case thinking.</t>
  </si>
  <si>
    <t>23f3000941@ds.study.iitm.ac.in</t>
  </si>
  <si>
    <t>Technically sound with strong evaluation and feature engineering effort.
Industry suggestion: Enhance EDA depth and practice presenting insights in a more business-friendly way.</t>
  </si>
  <si>
    <t>24f1002199@ds.study.iitm.ac.in</t>
  </si>
  <si>
    <t>Very good model selection and strong evaluation understanding. Notebook flow is stable.
Industry suggestion: Work on adding more innovative steps and referencing real-world ML practices.</t>
  </si>
  <si>
    <t>23f2002872@ds.study.iitm.ac.in</t>
  </si>
  <si>
    <t>Shows improvement in model training and tuning. Communication is clear.
Industry suggestion: Strengthen preprocessing skills and add domain insights to elevate industry readiness.</t>
  </si>
  <si>
    <t>23f3000361@ds.study.iitm.ac.in</t>
  </si>
  <si>
    <t>Good overall pipeline knowledge with strong model performance.
Industry suggestion: Practice more programming patterns (functions, clean code) to meet industry coding standards.</t>
  </si>
  <si>
    <t>23f2003937@ds.study.iitm.ac.in</t>
  </si>
  <si>
    <t>Strong understanding across all ML stages and communicates results clearly. BUT need to learn to in more detail
Industry suggestion: Try applying advanced techniques (feature importance, error analysis) to move toward industry-level work.</t>
  </si>
  <si>
    <t>22f3002631@ds.study.iitm.ac.in</t>
  </si>
  <si>
    <t>23f2000485@ds.study.iitm.ac.in</t>
  </si>
  <si>
    <t>23f3004501@ds.study.iitm.ac.in</t>
  </si>
  <si>
    <t>22f2000647@ds.study.iitm.ac.in</t>
  </si>
  <si>
    <t>Need to Improve both Theory and Practicle. Unable to answer basic concept like Precision, Recall, F Score, and unable to creat matrix of size 10 by 200.</t>
  </si>
  <si>
    <t>23f3001761@ds.study.iitm.ac.in</t>
  </si>
  <si>
    <t>Why bagging was not perfored well, can be investigated</t>
  </si>
  <si>
    <t>23f2000416@ds.study.iitm.ac.in</t>
  </si>
  <si>
    <t>Hyperparameter tuning could be done for two models</t>
  </si>
  <si>
    <t>23f3001592@ds.study.iitm.ac.in</t>
  </si>
  <si>
    <t>Why random forest took much time can be investigated</t>
  </si>
  <si>
    <t>23f1000422@ds.study.iitm.ac.in</t>
  </si>
  <si>
    <t>Hyperparameter tuning is done only for one model</t>
  </si>
  <si>
    <t>24ds1000079@ds.study.iitm.ac.in</t>
  </si>
  <si>
    <t>23f2003231@ds.study.iitm.ac.in</t>
  </si>
  <si>
    <t>yes</t>
  </si>
  <si>
    <t>22f3003131@ds.study.iitm.ac.in</t>
  </si>
  <si>
    <t>22f3001994@ds.study.iitm.ac.in</t>
  </si>
  <si>
    <t>The rules can be integrated with model to obtain improved R^2 score</t>
  </si>
  <si>
    <t>24f2008313@ds.study.iitm.ac.in</t>
  </si>
  <si>
    <t>04:30 PM - 05:00 PM</t>
  </si>
  <si>
    <t>It is good that hyperparameter tuning is done for 4 models</t>
  </si>
  <si>
    <t>Couple of medles have been tried intelligently. 71th rank is awesome. Droping ARIMA later is a good idea</t>
  </si>
  <si>
    <t>23f2001578@ds.study.iitm.ac.in</t>
  </si>
  <si>
    <t>Grid search CV or random search CV could be used. Moreoever time series models could be used</t>
  </si>
  <si>
    <t>22f3002310@ds.study.iitm.ac.in</t>
  </si>
  <si>
    <t>Hyperparameter tuning is done only for one model. Grid search CV or random search CV could be used. Moreoever time series models could be used</t>
  </si>
  <si>
    <t>21f1002409@ds.study.iitm.ac.in</t>
  </si>
  <si>
    <t>Rule based methods can be integrated with final model</t>
  </si>
  <si>
    <t>23ds3000121@ds.study.iitm.ac.in</t>
  </si>
  <si>
    <t>ARIMA is tried but why not successful can be investgated</t>
  </si>
  <si>
    <t>23f2004941@ds.study.iitm.ac.in</t>
  </si>
  <si>
    <t>Feedback: Good technical understanding and consistent performance across viva sections. Notebook creativity is limited and code quality can be improved.
Industry Suggestion: Focus on writing cleaner, modular code and exploring more innovative EDA techniques to build industry-level problem-solving skills.</t>
  </si>
  <si>
    <t>23f3003783@ds.study.iitm.ac.in</t>
  </si>
  <si>
    <t>Feedback: Strong conceptual clarity and solid model training results. Notebook lacks creativity and clean structure.
Industry Suggestion: Improve notebook storytelling and coding style; start documenting your workflow like real industry ML engineers.</t>
  </si>
  <si>
    <t>22f3000879@ds.study.iitm.ac.in</t>
  </si>
  <si>
    <t>Feedback: Excellent technical depth and strong feature engineering/model tuning performance. Notebook readability still needs attention.
Industry Suggestion: Practice clean coding, add explanations, and include insights to present work professionally for real-world ML roles.</t>
  </si>
  <si>
    <t>Feedback: Outstanding performance across all categories—excellent EDA, creativity, code quality, and strong viva understanding.
Industry Suggestion: Continue this momentum. Start contributing to GitHub/Kaggle to build a strong industry-ready portfolio.</t>
  </si>
  <si>
    <t>24f2004387@ds.study.iitm.ac.in</t>
  </si>
  <si>
    <t>Good understanding of concepts and strong model-training performance. Notebook quality is decent but can benefit from clearer visual insights and cleaner code structure.
Industry Suggestion: Practice writing polished notebooks and improve communication of insights like real industry reports.</t>
  </si>
  <si>
    <t>22f3001404@ds.study.iitm.ac.in</t>
  </si>
  <si>
    <t>Excellent performance across all technical categories, especially in model tuning and interpretation. Notebook is clear, creative, and industry-aligned.
Industry Suggestion: Strengthen verbal communication and presentation confidence for client-facing roles.</t>
  </si>
  <si>
    <t>23f3001787@ds.study.iitm.ac.in</t>
  </si>
  <si>
    <t>Consistent understanding of ML workflow with strong performance in model training. Visualisation and code readability can be more polished for professional standards.
Industry Suggestion: Focus on writing cleaner, well-commented notebooks and practice explaining insights succinctly.</t>
  </si>
  <si>
    <t>23f2004901@ds.study.iitm.ac.in</t>
  </si>
  <si>
    <t>21f2000776@ds.study.iitm.ac.in</t>
  </si>
  <si>
    <t>22f3000087@ds.study.iitm.ac.in</t>
  </si>
  <si>
    <t>The candidate's technical explanations were outstanding, particularly the detailed coverage of code, EDA, model usage, and overfitting mitigation. She should maintain this high quality of work, while proactively engaging in upskilling and focusing technical efforts on further improving model performance metrics</t>
  </si>
  <si>
    <t>23f1003132@ds.study.iitm.ac.in</t>
  </si>
  <si>
    <t>24f3004113@ds.study.iitm.ac.in</t>
  </si>
  <si>
    <t>23f2004952@ds.study.iitm.ac.in</t>
  </si>
  <si>
    <t>Try Prophet model</t>
  </si>
  <si>
    <t>24f2000839@ds.study.iitm.ac.in</t>
  </si>
  <si>
    <t>Time series models can be tried t obtain a better score</t>
  </si>
  <si>
    <t>The regulations can be incorporated with the model to achieve an enhanced R^2 score.</t>
  </si>
  <si>
    <t>23f3000994@ds.study.iitm.ac.in</t>
  </si>
  <si>
    <t>The regulations can be incorporated with the model to achieve an enhanced R^2 score.ARIMA&lt; SARIMA and Prophet can be tried</t>
  </si>
  <si>
    <t>23f2005132@ds.study.iitm.ac.in</t>
  </si>
  <si>
    <t>ARIMA, SARIMA and Prophet can be tried</t>
  </si>
  <si>
    <t>24f1001276@ds.study.iitm.ac.in</t>
  </si>
  <si>
    <t>Skewness has to be checked</t>
  </si>
  <si>
    <t>23f1000377@ds.study.iitm.ac.in</t>
  </si>
  <si>
    <t>Hyperparameter tuning is dfone in only one model</t>
  </si>
  <si>
    <t>22f3003146@ds.study.iitm.ac.in</t>
  </si>
  <si>
    <t>His mic didn't work. we need to talk again. Grid search CV or random search CV could be used. Moreoever time series models could be used</t>
  </si>
  <si>
    <t>21f2000934@ds.study.iitm.ac.in</t>
  </si>
  <si>
    <t>Very detailed explanation</t>
  </si>
  <si>
    <t>21f3001113@ds.study.iitm.ac.in</t>
  </si>
  <si>
    <t xml:space="preserve">Overall Excellent.
-Explanation of code was good
Focus more on evaluation metrics </t>
  </si>
  <si>
    <t>23f3001074@ds.study.iitm.ac.in</t>
  </si>
  <si>
    <t xml:space="preserve">--Mohammed Shad T
Overall Good.
Data visualizations are clear and insightful. Focus more on hyper parameter techniques 
</t>
  </si>
  <si>
    <t>23f1002536@ds.study.iitm.ac.in</t>
  </si>
  <si>
    <t xml:space="preserve">--Garvit Sonawala
Overall good Performance Good Understanding of encoding techniques.. Further improvement in visualizations and evaluation metrics would enhance the overall analysis quality </t>
  </si>
  <si>
    <t>24f1002483@ds.study.iitm.ac.in</t>
  </si>
  <si>
    <t>23f2004578@ds.study.iitm.ac.in</t>
  </si>
  <si>
    <t>21f3002356@ds.study.iitm.ac.in</t>
  </si>
  <si>
    <t>24f1002771@ds.study.iitm.ac.in</t>
  </si>
  <si>
    <t>21f3001831@ds.study.iitm.ac.in</t>
  </si>
  <si>
    <t>23f3001358@ds.study.iitm.ac.in</t>
  </si>
  <si>
    <t>23f2005664@ds.study.iitm.ac.in</t>
  </si>
  <si>
    <t>21f1004982@ds.study.iitm.ac.in</t>
  </si>
  <si>
    <t>22f3001340@ds.study.iitm.ac.in</t>
  </si>
  <si>
    <t>- The student seems very confident and he has done a decent job on the project.
- Time to start working on more varied projects and he should be in a good position.
- Also a good idea to revise basic ML theory concepts before interviews.</t>
  </si>
  <si>
    <t>23f3002138@ds.study.iitm.ac.in</t>
  </si>
  <si>
    <t>Good understanding of project. But wasn't  clear about topics like one hot encoding, label encoding , lightgbm,xgboost etc. Also i would suggest to work on coding skill.</t>
  </si>
  <si>
    <t>23f2002825@ds.study.iitm.ac.in</t>
  </si>
  <si>
    <t>Sree Balaji's undertsanding on EDA,Hyperparameter tuning is good.To significantly enhance your presentations and interviews, focus on storytelling:Highlight the key technical features and cover more level of details etc</t>
  </si>
  <si>
    <t>21f3001161@ds.study.iitm.ac.in</t>
  </si>
  <si>
    <t>Pritika demonstrates good conceptual clarity  EDA, Models  and solid coding skills. The next area to refine is project storytelling  raming your work using a clear Problem Action Quantified Result structure. Strengthening this narrative flow will make your interviews far more compelling.</t>
  </si>
  <si>
    <t>22f3002922@ds.study.iitm.ac.in</t>
  </si>
  <si>
    <t>23f2003054@ds.study.iitm.ac.in</t>
  </si>
  <si>
    <t>23f2004818@ds.study.iitm.ac.in</t>
  </si>
  <si>
    <t>Good work on creating many new features but the student should also have clarity on what each feature does. Brush up on basic theory. Ensure that same code snippets are not repeated so many times</t>
  </si>
  <si>
    <t>23f3001463@ds.study.iitm.ac.in</t>
  </si>
  <si>
    <t>Be clear on what each code snippet does and why it is needed (especially for visualizations). Certain theoretical questions were answered well and certain others were not answered properly.</t>
  </si>
  <si>
    <t>23f2001952@ds.study.iitm.ac.in</t>
  </si>
  <si>
    <t>He would need to revise concepts like encoding ,gini impurity, minmax scaler etc. Also EDA could be better.Overall satisfied with the performance.</t>
  </si>
  <si>
    <t>24f2000662@ds.study.iitm.ac.in</t>
  </si>
  <si>
    <t>She need to work on her technical knowledge. Wasn't clear about many technical conepts like l1&amp; L2 , PCA, Bagging &amp; boosting etc. I believe she has enough time to learn it properly.</t>
  </si>
  <si>
    <t>22f3003170@ds.study.iitm.ac.in</t>
  </si>
  <si>
    <t>Need to work on revising technical concepts.Also coding skill is needed to be improved.</t>
  </si>
  <si>
    <t>More effort is required on technical knowledge. Coding needs a bit more practice to build confidence and consistency.</t>
  </si>
  <si>
    <t>22f3002862@ds.study.iitm.ac.in</t>
  </si>
  <si>
    <t>Student has not done the project by himself
Bad Performance at every aspect of ML Lifecycle
Improvements needed at every aspect</t>
  </si>
  <si>
    <t>22f3003256@ds.study.iitm.ac.in</t>
  </si>
  <si>
    <t>Good with Models Selection and Interpretation
Improvements needed on aspects of Data Manipulation and EDA</t>
  </si>
  <si>
    <t>23f2005481@ds.study.iitm.ac.in</t>
  </si>
  <si>
    <t xml:space="preserve">Great Work,
Improvements needed on EDA </t>
  </si>
  <si>
    <t>- Did not use time series models in kaggle notebook
- Could not do basic live coding without documentation reference.
- Was above average in answering technical questions during viva</t>
  </si>
  <si>
    <t>- Did not use time series models in kaggle notebook
- Was quite good in live coding. Did not use documentation. 
- Could answer some viva questions, but many he could not. 
- Needs to work on the fundamentals, for example, Could not explain the difference between KNN and Kmeans</t>
  </si>
  <si>
    <t>23f2002498@ds.study.iitm.ac.in</t>
  </si>
  <si>
    <t>Shows good understanding of ML concepts and communicates clearly, but notebook quality and creativity need improvement. Strengthen EDA depth and coding structure. For industry readiness, keep practicing hands-on coding and refine interpretation skills.</t>
  </si>
  <si>
    <t>23f3002416@ds.study.iitm.ac.in</t>
  </si>
  <si>
    <t>Strong understanding of preprocessing and modeling with clear interpretation skills. Notebook is consistent but could include more creative insights. To enhance industry readiness, continue improving visualization depth and connect results to real-world impact.</t>
  </si>
  <si>
    <t>22f3003185@ds.study.iitm.ac.in</t>
  </si>
  <si>
    <t>Very strong across all viva areas with excellent feature reasoning and interpretation. Notebook is clear and well-structured. For industry readiness, continue refining storytelling through visuals and domain-specific insights.</t>
  </si>
  <si>
    <t>22f1001583@ds.study.iitm.ac.in</t>
  </si>
  <si>
    <t>Excellent grasp of the ML pipeline and strong model evaluation skills. Notebook creativity and clarity are good. To grow further, focus on building domain context into explanations and improving advanced visualization techniques.</t>
  </si>
  <si>
    <t>22f2001320@ds.study.iitm.ac.in</t>
  </si>
  <si>
    <t>Strong understanding of modeling and interpretation with consistent performance across components. Notebook is solid but could include more unique insights. Build industry readiness by practicing clearer business-focused communication.</t>
  </si>
  <si>
    <t>22f3002881@ds.study.iitm.ac.in</t>
  </si>
  <si>
    <t>Shows strong ML reasoning and consistent results across all evaluations. Notebook and viva performance indicate good applied understanding. Continue refining explanation clarity and enhance business-oriented analysis for industry roles.</t>
  </si>
  <si>
    <t>21f3000958@ds.study.iitm.ac.in</t>
  </si>
  <si>
    <t>Good foundational understanding and stable results, though modeling and interpretation depth can improve. Notebook creativity needs enhancement. For industry readiness, practice simplifying explanations and developing stronger analytical insights.</t>
  </si>
  <si>
    <t>23f2003124@ds.study.iitm.ac.in</t>
  </si>
  <si>
    <t>Good ML understanding but needs continued practice in coding and problem-solving. Interpretation is good, but EDA depth can improve. To be industry-ready, focus on strengthening programming fundamentals and writing cleaner, modular notebooks.</t>
  </si>
  <si>
    <t>23f1002223@ds.study.iitm.ac.in</t>
  </si>
  <si>
    <t>Very strong conceptual understanding with clear communication and reliable model evaluation. Notebook is good but can include more advanced insights. Industry readiness is high—continue practicing real-world case studies.</t>
  </si>
  <si>
    <t>23f3000358@ds.study.iitm.ac.in</t>
  </si>
  <si>
    <t>Good performance across ML steps with clear feature reasoning. Notebook is acceptable but can be more polished. For industry readiness, improve clarity in presentation and deepen analytical insights.</t>
  </si>
  <si>
    <t>23f3001900@ds.study.iitm.ac.in</t>
  </si>
  <si>
    <t>Excellent across all categories with strong EDA, modeling, and interpretation. Communication is clear and confident. Highly industry-ready—continue exploring complex datasets and end-to-end ML project design.</t>
  </si>
  <si>
    <t>23f2000345@ds.study.iitm.ac.in</t>
  </si>
  <si>
    <t>Outstanding performance with perfect scoring in many areas. Shows deep conceptual understanding and strong communication. Continue expanding domain knowledge and working on scalable, production-ready ML workflows for industry roles.</t>
  </si>
  <si>
    <t>22f3002190@ds.study.iitm.ac.in</t>
  </si>
  <si>
    <t>Strong EDA and solid model understanding with good performance across the ML pipeline. Communication needs slight improvement for clarity. To enhance industry readiness, focus on presenting insights more concisely and connecting results to business outcomes.</t>
  </si>
  <si>
    <t>24f1000447@ds.study.iitm.ac.in</t>
  </si>
  <si>
    <t>Good understanding of feature engineering and model tuning with consistent notebook quality. Needs clearer interpretation and stronger communication flow. For industry readiness, practice structured explanations and deeper business-context reasoning.</t>
  </si>
  <si>
    <t>23f2003450@ds.study.iitm.ac.in</t>
  </si>
  <si>
    <t>Technically sound but communication needs improvement to express reasoning more confidently. Notebook is acceptable but can be cleaner. Strengthen industry readiness by practicing technical explanation, presentation, and ML storytelling.</t>
  </si>
  <si>
    <t>24f2005374@ds.study.iitm.ac.in</t>
  </si>
  <si>
    <t>Strong across all components with clear reasoning and solid modeling approach. Interpretation is good and EDA is well done. To improve further, practice articulating business impact and advanced visualization techniques.</t>
  </si>
  <si>
    <t>23f3003784@ds.study.iitm.ac.in</t>
  </si>
  <si>
    <t>Shows strong model-building and tuning skills with good understanding of data and features. Interpretation is good but notebook could be more polished. For industry readiness, improve documentation and strengthen communication clarity.</t>
  </si>
  <si>
    <t>22f3003071@ds.study.iitm.ac.in</t>
  </si>
  <si>
    <t>Needs improvement in ML fundamentals—especially evaluation metrics and loss functions. Notebook is basic and communication needs work. For industry readiness, focus on strengthening core ML theory and building confidence in explaining results.</t>
  </si>
  <si>
    <t>21f3000899@ds.study.iitm.ac.in</t>
  </si>
  <si>
    <t>Good conceptual understanding; however, model interpretation and communication can improve. Notebook clarity needs enhancement. Build industry readiness by practicing more real-world datasets and improving presentation of insights.</t>
  </si>
  <si>
    <t>23f2001959@ds.study.iitm.ac.in</t>
  </si>
  <si>
    <t>Solid grasp of model training and EDA but communication is limited. Notebook creativity is minimal; consider adding more insights. Improving articulation and explanation will significantly boost industry readiness.</t>
  </si>
  <si>
    <t>Strong feature engineering and interpretation skills with consistent modeling performance. Needs slight improvement in clarity and communication structure. For industry readiness, focus on connecting ML outputs to real-world decisions.</t>
  </si>
  <si>
    <t>23f2004880@ds.study.iitm.ac.in</t>
  </si>
  <si>
    <t>Good understanding of models and evaluation with clear explanations. Notebook readability and creativity are decent. Industry readiness will improve by practicing business-oriented interpretation and enhancing visual storytelling.</t>
  </si>
  <si>
    <t>24f2008196@ds.study.iitm.ac.in</t>
  </si>
  <si>
    <t>Very strong performance across all components, especially model training and interpretation. Notebook is detailed and well-structured. Continue refining communication skills and explore domain-specific ML applications for industry preparation.</t>
  </si>
  <si>
    <t>22f3001652@ds.study.iitm.ac.in</t>
  </si>
  <si>
    <t>Strong fundamentals but interpretation and communication require improvement. EDA is basic and notebook structure can be clearer. Build industry readiness by enhancing presentation skills and practicing end-to-end ML workflows with better explanation.</t>
  </si>
  <si>
    <t>Strong understanding of data processing, feature engineering, and model interpretation. Notebook is consistent and communication is clear. To become industry-ready, continue improving insight depth and presenting results with stronger business alignment.</t>
  </si>
  <si>
    <t>23f2003274@ds.study.iitm.ac.in</t>
  </si>
  <si>
    <t>Needs improvement in data understanding and model reasoning; communication score indicates a need for stronger articulation. To enhance industry readiness, practice EDA more deeply and consider joining an English or business communication course to improve clarity and confidence.</t>
  </si>
  <si>
    <t>24f2002666@ds.study.iitm.ac.in</t>
  </si>
  <si>
    <t>Shows good grasp of preprocessing, feature engineering, and model evaluation. Notebook is clean and well explained. For industry readiness, focus on translating technical results into meaningful business insights.</t>
  </si>
  <si>
    <t>21f3003062@ds.study.iitm.ac.in</t>
  </si>
  <si>
    <t>Strong feature engineering and interpretation capability; communication is clear. Increase depth in EDA and strengthen link between model results and practical applications. This will help build industry-level analytical thinking.</t>
  </si>
  <si>
    <t>23f3003411@ds.study.iitm.ac.in</t>
  </si>
  <si>
    <t>Demonstrates strong understanding across all ML stages with clear result interpretation. Notebook is effective and well organized. To be more industry-ready, continue refining storytelling and showcasing how insights support decision-making.</t>
  </si>
  <si>
    <t>23f3000591@ds.study.iitm.ac.in</t>
  </si>
  <si>
    <t>Needs improvement in data understanding, model reasoning, and communication clarity. Strengthen fundamentals through more hands-on EDA practice and consider joining an English or business communication course to improve confidence and presentation skills.</t>
  </si>
  <si>
    <t>23f1001741@ds.study.iitm.ac.in</t>
  </si>
  <si>
    <t>Good overall understanding with consistent performance in EDA, modeling, and communication. Continue improving interpretation depth and business context explanation to enhance industry readiness.</t>
  </si>
  <si>
    <t>22f3002829@ds.study.iitm.ac.in</t>
  </si>
  <si>
    <t>Good understanding of preprocessing, feature engineering, and model training. Notebook is solid but could include deeper insights and cleaner code structure. For industry readiness, focus on improving storytelling in EDA and strengthening the connection between results and business impact.</t>
  </si>
  <si>
    <t>21f1006017@ds.study.iitm.ac.in</t>
  </si>
  <si>
    <t>Consistent performance across all ML concepts with clear communication. Notebook quality is good, but creativity and interpretation depth can be enhanced. To be industry-ready, practice producing polished, well-documented notebooks and refining analytical reasoning.</t>
  </si>
  <si>
    <t>23f2002820@ds.study.iitm.ac.in</t>
  </si>
  <si>
    <t>Strong performance in all viva areas with clear interpretation and confident communication. Notebook is good and shows solid understanding, especially in EDA and modeling decisions. For industry readiness, continue improving feature justification and practice explaining insights in a business-oriented manner.</t>
  </si>
  <si>
    <t>25ds1000087@ds.study.iitm.ac.in</t>
  </si>
  <si>
    <t>Shows good understanding of core ML concepts with stable performance in preprocessing and model training. Notebook depth can improve—especially EDA and code clarity. For industry readiness, focus on producing more structured notebooks and stronger feature reasoning.</t>
  </si>
  <si>
    <t>Excellent performance across all viva components with strong interpretation skills. Notebook is solid but can be more creative. To be industry-ready, continue refining documentation and develop business-oriented storytelling with insights.</t>
  </si>
  <si>
    <t>24f2000935@ds.study.iitm.ac.in</t>
  </si>
  <si>
    <t>Good conceptual understanding and strong model training ability. Notebook work is consistent but could use deeper insights and stronger interpretation. For industry readiness, practice translating model outputs into actionable, real-world implications.</t>
  </si>
  <si>
    <t>23f3003748@ds.study.iitm.ac.in</t>
  </si>
  <si>
    <t>Good grasp of basics, but feature engineering and visual storytelling can improve. Notebook lacks depth in EDA and clarity. For industry readiness, strengthen analytical thinking and focus on presenting insights more convincingly.</t>
  </si>
  <si>
    <t>05:00 PM - 05:30 PM</t>
  </si>
  <si>
    <t>24f2008478@ds.study.iitm.ac.in</t>
  </si>
  <si>
    <t>Strong consistency in model evaluation and interpretation. EDA is adequate but not very detailed. To improve industry readiness, work on diversifying visualizations and improving clarity in notebook narration.</t>
  </si>
  <si>
    <t>22ds3000113@ds.study.iitm.ac.in</t>
  </si>
  <si>
    <t>Good understanding of models and their tuning with consistent performance. Notebook structure is fine but creativity and analytical insight should be enhanced. For industry readiness, practice building more polished, end-to-end ML workflows.</t>
  </si>
  <si>
    <t>23f3002689@ds.study.iitm.ac.in</t>
  </si>
  <si>
    <t>Foundational understanding is good, but notebook quality and model interpretation need improvement. EDA is basic and creativity is limited. To be industry-ready, work on clearer code organization, deeper insights, and stronger justification for ML decisions.</t>
  </si>
  <si>
    <t>23f1001880@ds.study.iitm.ac.in</t>
  </si>
  <si>
    <t>Good EDA and solid understanding of preprocessing, feature engineering, and model tuning. Interpretation is decent, but notebook code quality can improve. For industry readiness, practice writing cleaner, modular notebooks and strengthen your ability to translate results into business insights.</t>
  </si>
  <si>
    <t>23f2004837@ds.study.iitm.ac.in</t>
  </si>
  <si>
    <t>Strong foundational understanding with good model training skills; EDA and creativity are moderate. Needs improvement in feature reasoning and more polished notebook documentation. To be industry-ready, focus on deeper analysis, advanced visualizations, and clearer storytelling in notebooks.</t>
  </si>
  <si>
    <t>22f2001532@ds.study.iitm.ac.in</t>
  </si>
  <si>
    <t>Demonstrates strong data understanding, good feature reasoning, and clear result interpretation. Notebook is solid but can benefit from more creativity and refined code structure. For industry readiness, work on presenting insights with stronger business context and enhancing reproducibility in your ML workflow.</t>
  </si>
  <si>
    <t>23f2003186@ds.study.iitm.ac.in</t>
  </si>
  <si>
    <t>Good understanding of preprocessing, modeling, and interpretation; communication is clear. Kaggle notebook needs more creativity, deeper EDA, and cleaner code. For industry readiness, practice writing well-structured notebooks, using diverse visualizations, and improving feature reasoning.</t>
  </si>
  <si>
    <t>23f1000922@ds.study.iitm.ac.in</t>
  </si>
  <si>
    <t>Shows solid grasp of core ML concepts and communicates confidently. Notebook work should be improved with better originality, richer insights, and more readable code structure. To prepare for industry, focus on enhancing EDA storytelling, model justification, and producing polished, production-like analyses.</t>
  </si>
  <si>
    <t>22f3002374@ds.study.iitm.ac.in</t>
  </si>
  <si>
    <t>Good understanding of preprocessing and model evaluation; notebook creativity can improve. Focus on writing cleaner code and stronger result interpretation. For industry readiness, practice documenting your workflow and linking insights to business decisions.</t>
  </si>
  <si>
    <t>Strong clarity, interpretation, and communication; notebook originality can improve. Strengthen coding structure and explore advanced EDA techniques. To become industry-ready, work on producing polished, client-facing notebooks and presentations.</t>
  </si>
  <si>
    <t>23f1002685@ds.study.iitm.ac.in</t>
  </si>
  <si>
    <t>Excellent EDA, creativity, and model tuning with clean code. Improve explaining how results impact real-world business metrics. For industry readiness, learn to translate technical outputs into actionable business recommendations.</t>
  </si>
  <si>
    <t>23f2004295@ds.study.iitm.ac.in</t>
  </si>
  <si>
    <t>Good fundamentals and communication; EDA depth and justification of features need improvement. Practice detailed analysis and structured model reasoning. For industry roles, build stronger storytelling with data and adopt best ML coding practices.</t>
  </si>
  <si>
    <t>21f1003667@ds.study.iitm.ac.in</t>
  </si>
  <si>
    <t>Strong communication and interpretation; notebook creativity and readability can improve. Enhance EDA depth and add more meaningful insights. To be industry-ready, focus on writing professional, modular code and applying domain understanding to ML decisions.</t>
  </si>
  <si>
    <t>23f3002782@ds.study.iitm.ac.in</t>
  </si>
  <si>
    <t>21f2001136@ds.study.iitm.ac.in</t>
  </si>
  <si>
    <t>Kaggle project could have done better. Good in model training and evaluation, should improve in ML workflows. To improve industry readiness, he should focus on clearer communication, deeper justification of preprocessing and feature engineering choices.</t>
  </si>
  <si>
    <t>22f1000484@ds.study.iitm.ac.in</t>
  </si>
  <si>
    <t>Your Kaggle project is fine, but it follows a very standard approach with limited creativity and basic feature engineering. The lack of systematic hyperparameter tuning explanation and deeper feature work kept the model performance average. To become industry-ready, focus on experimenting with original features, proper tuning pipelines, and more rigorous validation.</t>
  </si>
  <si>
    <t>24f1002555@ds.study.iitm.ac.in</t>
  </si>
  <si>
    <t>The candidate's understanding  of the concepts is good, models used  and EDA .To significantly enhance your presentations and interviews, focus on storytelling: transform your project steps into a compelling narrative that highlights the problem, your action and the quantified result.</t>
  </si>
  <si>
    <t>23f2003339@ds.study.iitm.ac.in</t>
  </si>
  <si>
    <t>Siddarth's presentation was delivered with very  good confidence and demonstrating a very strong foundational understanding of concepts and core basics. To achieve the next level of professional effectiveness, I recommend prioritizing the direct and strategic application of learned methods  and prepare for the interviews</t>
  </si>
  <si>
    <t>While the candidate has a good initial grasp, the priority should be deepening their conceptual understanding and achieving greater technical mastery over the specific models employed. This focus will empower them to clearly highlight key features and justify architectural decisions, significantly enhancing their technical communication.</t>
  </si>
  <si>
    <t>21f1003286@ds.study.iitm.ac.in</t>
  </si>
  <si>
    <t>23f2000798@ds.study.iitm.ac.in</t>
  </si>
  <si>
    <t>23f3004144@ds.study.iitm.ac.in</t>
  </si>
  <si>
    <t>Candidate has a good starting point, but should focus on strengthening their concepts to build a robust foundation. Gaining a deeper technical understanding of the models utilized will allow them to clearly highlight key features and architectural choices, significantly boosting their professional explanations.</t>
  </si>
  <si>
    <t>23f2005111@ds.study.iitm.ac.in</t>
  </si>
  <si>
    <t>Rex delivered a compelling presentation with excellent confidence, clearly demonstrating a very strong foundational understanding of concepts and core basics. To achieve the next level of professional effectiveness and succeed in interviews, I recommend prioritizing the direct and strategic application of learned methods,</t>
  </si>
  <si>
    <t>Prakhar undertsanding on EDA,Hyperparameter tuning is good.To significantly enhance your presentations and interviews, focus on storytelling:Highlight the key technical features etc</t>
  </si>
  <si>
    <t>23f1002130@ds.study.iitm.ac.in</t>
  </si>
  <si>
    <t>Mohammed delivered a good presentation with confidence, demonstrating a very strong foundational understanding of concepts and core basics. To achieve the next level of professional effectiveness and succeed in interviews, I recommend prioritizing the direct and strategic application of learned methods to continuously increase model performance scores</t>
  </si>
  <si>
    <t>22f3003092@ds.study.iitm.ac.in</t>
  </si>
  <si>
    <t>Mayuri's presentation was delivered with very  good confidence and demonstrating a very strong foundational understanding of concepts and core basics. To achieve the next level of professional effectiveness, I recommend prioritizing the direct and strategic application of learned methods</t>
  </si>
  <si>
    <t>23f2003969@ds.study.iitm.ac.in</t>
  </si>
  <si>
    <t>05:30 PM - 06:00 PM</t>
  </si>
  <si>
    <t>Mukund's understanding of the concepts is good, models used  and EDA and recommand to focus on further improving scores.To significantly enhance your presentations and interviews, focus on storytelling: transform your project steps into a compelling narrative that highlights the problem.</t>
  </si>
  <si>
    <t>23f3003958@ds.study.iitm.ac.in</t>
  </si>
  <si>
    <t>Shrabana shows a good grasp of concepts, models, and EDA. To maximize impact, focus on mastering the project narrative, translating technical steps into a clear story that connects the initial problem, intervention, and quantified outcome</t>
  </si>
  <si>
    <t>23f2004062@ds.study.iitm.ac.in</t>
  </si>
  <si>
    <t>Looked very week in technical knowledge.Need to learn ML properly from the start.</t>
  </si>
  <si>
    <t>23f2003716@ds.study.iitm.ac.in</t>
  </si>
  <si>
    <t>Need to  do better EDA . Satisfied with techincal knowledge. Need to practice coding.</t>
  </si>
  <si>
    <t>23f3002902@ds.study.iitm.ac.in</t>
  </si>
  <si>
    <t>Good theoritical and conceptual understanding 
Suggestion
- Improvement needed on communications - Try to express your thoughts slowly 
- Improve your skills on Data Processing with pandas
- Model Usage and scenarios where particular model is appropriate</t>
  </si>
  <si>
    <t>22f3002617@ds.study.iitm.ac.in</t>
  </si>
  <si>
    <t xml:space="preserve">Great Work
Suggestions
- Work on aspects of understanding internals of models </t>
  </si>
  <si>
    <t>23f3002078@ds.study.iitm.ac.in</t>
  </si>
  <si>
    <t>24f1002354@ds.study.iitm.ac.in</t>
  </si>
  <si>
    <t>The candidate has a very good foundational understanding of concepts and basics. To achieve the next level of professional effectiveness, I recommend focusing on the direct application of learning. Specifically, seek opportunities to apply these methods to real-time business use cases at work</t>
  </si>
  <si>
    <t>21f2000670@ds.study.iitm.ac.in</t>
  </si>
  <si>
    <t>The candidate demonstrates good conceptual clarity  EDA, Models  and solid coding skills. The next area to refine is project storytelling  raming your work using a clear Problem Action Quantified Result structure. Strengthening this narrative flow will make your interviews far more compelling.</t>
  </si>
  <si>
    <t>23f1002956@ds.study.iitm.ac.in</t>
  </si>
  <si>
    <t>Vancheeswaran possesses a strong foundational understanding of concepts and core basics. To achieve the next level of professional effectiveness, recommand strategic focus on the direct application of acquired knowledge to practical business scenarios.</t>
  </si>
  <si>
    <t>23f3000878@ds.study.iitm.ac.in</t>
  </si>
  <si>
    <t>Candidate has a strong understanding of both concepts and code.The next step is mastering project storytelling: structure your work to emphasize the Problem-Action-Quantified Result flow. This will make your interviews significantly more impactful.</t>
  </si>
  <si>
    <t>23f1001157@ds.study.iitm.ac.in</t>
  </si>
  <si>
    <t>Balivada Hemant's conceptual understanding is good. To significantly enhance their presentations and interview impact, the focus should be on mastering the technical narrative: structuring explanations to provide detailed technical depthand seamlessly highlighting the key architectural features within a compelling project story.</t>
  </si>
  <si>
    <t>24ds3000072@ds.study.iitm.ac.in</t>
  </si>
  <si>
    <t>Udita's presentation was delivered with excellent confidence, commanding the audience and demonstrating a very strong foundational understanding of concepts and core basics. To achieve the next level of professional effectiveness, I recommend prioritizing the direct and strategic application of learned methods.</t>
  </si>
  <si>
    <t>23f2002600@ds.study.iitm.ac.in</t>
  </si>
  <si>
    <t>The candidate demonstrates strong conceptual clarity and solid coding skills. The next area to refine is project storytelling  raming your work using a clear Problem Action Quantified Result structure. Strengthening this narrative flow will make your interviews far more compelling.</t>
  </si>
  <si>
    <t>Ayush's started with a good grasp of the underlying concepts, models, and EDA, the next critical step is to refine communication. I recommend concentrating on mastering the project narrativetranslating technical steps into a story that clearly connects the initial problem, your intervention, and the final quantified outcome.</t>
  </si>
  <si>
    <t>22f3002941@ds.study.iitm.ac.in</t>
  </si>
  <si>
    <t>23f3000252@ds.study.iitm.ac.in</t>
  </si>
  <si>
    <t>Candidate undertsanding n concepts is good.To significantly enhance your presentations and interviews, focus on storytelling:Highlight the key technical features etc</t>
  </si>
  <si>
    <t>23f3002252@ds.study.iitm.ac.in</t>
  </si>
  <si>
    <t>The candidate possess a reliable understanding of the core concepts. To maximize interview impact, concentrate on strategic communication: refine your project explanations into a compelling, structured flow that explicitly links the business problem, your technical intervention, and the measured, quantifiable outcome.</t>
  </si>
  <si>
    <t>21f1004083@ds.study.iitm.ac.in</t>
  </si>
  <si>
    <t>Adluri possesses a strong foundational understanding of concepts and core basics. To achieve the next level of professional effectiveness, recommand strategic focus on the direct application of acquired knowledge to practical business/work use cases.</t>
  </si>
  <si>
    <t>21f3001880@ds.study.iitm.ac.in</t>
  </si>
  <si>
    <t>Excellent understanding of data.Stengthening the visualization aspect would further enhance the overall presentation </t>
  </si>
  <si>
    <t>22f2001027@ds.study.iitm.ac.in</t>
  </si>
  <si>
    <t>--Jeevaharini K B
Explains the code effectively with good clarity. focus more on evaluation metrics.. Overall Good</t>
  </si>
  <si>
    <t>23f2003496@ds.study.iitm.ac.in</t>
  </si>
  <si>
    <t xml:space="preserve">---SRINIVASA CHAKRAVARTHY BS 
Data visualizations are clear and insightful.To grow further work with more algorithms.Overall good 
</t>
  </si>
  <si>
    <t>21f1000855@ds.study.iitm.ac.in</t>
  </si>
  <si>
    <t>Karthik demonstrates solid understanding in the models used, feature engineering.Keep enhancing the presentation skills to improve further.</t>
  </si>
  <si>
    <t>24f2000921@ds.study.iitm.ac.in</t>
  </si>
  <si>
    <t>The student shows a good understanding of the ML workflow and feature engineering but needs clearer justification of time-series choices and validation methods. They should follow best practices such as using proper time-based splits, creating strong time features (lags, rolling windows, differences), avoiding leakage, and checking trend and seasonality. It is recommended to evaluate autocorrelation, scale numerical features where required, and compare multiple sklearn models like Linear Regression with lags, Ridge/Lasso, Random Forest, Gradient Boosting, and SVR. The student should also use rolling validation, apply feature selection to remove redundant features, handle concept drift through periodic retraining, generate predictions in a forward-rolling manner, and clearly document preprocessing and model decisions.</t>
  </si>
  <si>
    <t>25ds1000071@ds.study.iitm.ac.in</t>
  </si>
  <si>
    <t>23f1000741@ds.study.iitm.ac.in</t>
  </si>
  <si>
    <t>23f3003796@ds.study.iitm.ac.in</t>
  </si>
  <si>
    <t>Kaggle project could have done better. Not demonstrated even a basic understanding of the data science workflow. Improving your data exploration, feature engineering, and clarity of communication will strengthen your performance. Overall, not prepared for the Viva.</t>
  </si>
  <si>
    <t>23f2001306@ds.study.iitm.ac.in</t>
  </si>
  <si>
    <t>Times series models like ARIMA, SARIMA and Prophet can be tried</t>
  </si>
  <si>
    <t>https://drive.google.com/file/d/1QEfYyzt5zDMygCVqNE9yMPUyxuWKhvPM/view?usp=sharing</t>
  </si>
  <si>
    <t>24f2007525@ds.study.iitm.ac.in</t>
  </si>
  <si>
    <t>21f3003212@ds.study.iitm.ac.in</t>
  </si>
  <si>
    <t>God rank in leaderboard</t>
  </si>
  <si>
    <t>23f3003177@ds.study.iitm.ac.in</t>
  </si>
  <si>
    <t>23f2003111@ds.study.iitm.ac.in</t>
  </si>
  <si>
    <t>https://drive.google.com/file/d/1b96MvKQWkOXq93irk2lllwQ0D5l9tARi/view?usp=sharing</t>
  </si>
  <si>
    <t>23ds3000113@ds.study.iitm.ac.in</t>
  </si>
  <si>
    <t>23f1000632@ds.study.iitm.ac.in</t>
  </si>
  <si>
    <t>22f3001085@ds.study.iitm.ac.in</t>
  </si>
  <si>
    <t>23f3001688@ds.study.iitm.ac.in</t>
  </si>
  <si>
    <t>It is better to perform hyperparameter tuning for 2-3 models</t>
  </si>
  <si>
    <t>21f1004229@ds.study.iitm.ac.in</t>
  </si>
  <si>
    <t>24f2007002@ds.study.iitm.ac.in</t>
  </si>
  <si>
    <t>21f2000405@ds.study.iitm.ac.in</t>
  </si>
  <si>
    <t>Great work, Improve practical skills to further your understanding to tackle real world data problems</t>
  </si>
  <si>
    <t>23f1002850@ds.study.iitm.ac.in</t>
  </si>
  <si>
    <t>Student haven't showed up</t>
  </si>
  <si>
    <t>23f2004096@ds.study.iitm.ac.in</t>
  </si>
  <si>
    <t>Great Work! 
Effort put into the submission is thoughtful and student ready to take on the real world problems 
Great at every aspect of ML Workflow with data driven decision making
Suggestion
work on real world data more often</t>
  </si>
  <si>
    <t>22f2000984@ds.study.iitm.ac.in</t>
  </si>
  <si>
    <t xml:space="preserve">Overall good.
Data understanding and Explanation of code was good .Little more focus on Hyperparameter tuning </t>
  </si>
  <si>
    <t>21f3000911@ds.study.iitm.ac.in</t>
  </si>
  <si>
    <t>Explained code well. strengthening your understanding of algorithms will help you improve even more </t>
  </si>
  <si>
    <t>23f2003621@ds.study.iitm.ac.in</t>
  </si>
  <si>
    <t xml:space="preserve">Overall Excellent.
Good understanding of the data. To Improve further try practicing with more datasets to gain wider exposure </t>
  </si>
  <si>
    <t>23f3000685@ds.study.iitm.ac.in</t>
  </si>
  <si>
    <t>Data visualizations are clear and insightful.To grow further work with more algorithmsOverall good </t>
  </si>
  <si>
    <t>21f1003054@ds.study.iitm.ac.in</t>
  </si>
  <si>
    <t>The candidate has a very good foundational understanding of concepts and basics. To achieve the next level of professional effectiveness, we recommend two key areas for growth: enhancing presentation and focusing on the direct application of learning.Actively seek opportunities to apply these methods to real time business use cases at work</t>
  </si>
  <si>
    <t>23f3002396@ds.study.iitm.ac.in</t>
  </si>
  <si>
    <t>The candidate shows a strong understanding of EDA and Hyperparameter Tuning. To achieve real-time operational proficiency, the focus should be on fundamentals (model versioning, drift detection) and quantifying the operational impact of tuning decisions against critical business KPIs (latency, deployment cost).</t>
  </si>
  <si>
    <t>22f2001198@ds.study.iitm.ac.in</t>
  </si>
  <si>
    <t>The candidate possesses a very strong command of the technical fundamentals. This is effectively demonstrated through excellent communication and storytelling, seamlessly integrating the data narrative, code implementation, and model rationale.</t>
  </si>
  <si>
    <t>23f3002663@ds.study.iitm.ac.in</t>
  </si>
  <si>
    <t>Candidate's understanding of EDA ans Hyperparameter Tuning is good , providing a robust and reliable technical foundation for your work. To effectively translate this proficiency into real-time, operational results, you must focus on two key areas: mastering fundamentals such as model versioning and data drift detection, and learning to quantify the operational impact of your tuning decisions against critical business KPIs like latency and deployment cost.</t>
  </si>
  <si>
    <t>23f3002372@ds.study.iitm.ac.in</t>
  </si>
  <si>
    <t>The candidate strong understanding of both concepts and code.The next step is mastering project storytelling: structure your work to emphasize the Problem-Action-Quantified Result flow. This will make your interviews significantly more impactful.</t>
  </si>
  <si>
    <t>23f3002677@ds.study.iitm.ac.in</t>
  </si>
  <si>
    <t xml:space="preserve">Was not clear about the range of StandardScaler, the idea behind not shuffling time series data, and the differences between LightGBM and XGBoost. Has satisfactory understanding on the mathematical side of algorithms but needs a bit more practice with the practical side.
</t>
  </si>
  <si>
    <t>Need to improve technical knowledge. She was not clear about unsupervised learning, L1 and L2 regularization, and the concepts of underfitting and overfitting.</t>
  </si>
  <si>
    <t>23f2002023@ds.study.iitm.ac.in</t>
  </si>
  <si>
    <t>23f2002592@ds.study.iitm.ac.in</t>
  </si>
  <si>
    <t>23f2001531@ds.study.iitm.ac.in</t>
  </si>
  <si>
    <t>Prophet can be tried</t>
  </si>
  <si>
    <t>21f3002583@ds.study.iitm.ac.in</t>
  </si>
  <si>
    <t>23f1001004@ds.study.iitm.ac.in</t>
  </si>
  <si>
    <t>Time series models could be explored</t>
  </si>
  <si>
    <t>23f2004491@ds.study.iitm.ac.in</t>
  </si>
  <si>
    <t>24f2000846@ds.study.iitm.ac.in</t>
  </si>
  <si>
    <t>Very good. Time series models could be explored</t>
  </si>
  <si>
    <t>22f3000099@ds.study.iitm.ac.in</t>
  </si>
  <si>
    <t>23f2004605@ds.study.iitm.ac.in</t>
  </si>
  <si>
    <t>22f3002277@ds.study.iitm.ac.in</t>
  </si>
  <si>
    <t>23f2001371@ds.study.iitm.ac.in</t>
  </si>
  <si>
    <t>23f3001368@ds.study.iitm.ac.in</t>
  </si>
  <si>
    <t>23f2000441@ds.study.iitm.ac.in</t>
  </si>
  <si>
    <t>Candidate seems compeltely unprepared. Wasn't able to answer most of the questions. I would suggest him to revise complete ML.</t>
  </si>
  <si>
    <t>21f1002832@ds.study.iitm.ac.in</t>
  </si>
  <si>
    <t>Was able to answer most of the questions. But was confused in questions like gini impurity, special use of L1 &amp; L2 etc. Also stucked in coding task. Overall satisfied with the performance.</t>
  </si>
  <si>
    <t>22f3001013@ds.study.iitm.ac.in</t>
  </si>
  <si>
    <t>Was not clear about the difference between LightGBM and XGBoost, the Range of StandardScaler, and the idea of feature importance. She handled the rest of the questions comfortably. Overall satisfactory performance.</t>
  </si>
  <si>
    <t>23f1001878@ds.study.iitm.ac.in</t>
  </si>
  <si>
    <t>Not very familiar with time series topics like ARIMA and SARIMA. Was not able to explain PCA, feature importance, or gini impurity. Other questions were answered comfortably.</t>
  </si>
  <si>
    <t>24ds1000054@ds.study.iitm.ac.in</t>
  </si>
  <si>
    <t xml:space="preserve">You handled most parts well and showed good understanding in general. You need to work a bit more on topics like lightgbm, xgboost, gini impurity and arima, but the rest of your responses were clear and confident. Overall, your performance was  satisfactory.
</t>
  </si>
  <si>
    <t>23f2000867@ds.study.iitm.ac.in</t>
  </si>
  <si>
    <t>Student didn't show up for Viva</t>
  </si>
  <si>
    <t>22f3000965@ds.study.iitm.ac.in</t>
  </si>
  <si>
    <t>You are good and sound with conceptual understanding of ML Aspects but same has not been demonstrated as part of the submission for problem statement
Work more on practical aspects to improve further using these techniques and understanding their limitations in real world implementations
Try to question every abnormality and let the curiosity drive  you on the EDA and feature engineering</t>
  </si>
  <si>
    <t>22f3001098@ds.study.iitm.ac.in</t>
  </si>
  <si>
    <t>Understanding of the concepts is good, models used  and EDA .To significantly enhance your presentations and interviews,</t>
  </si>
  <si>
    <t>24f2007947@ds.study.iitm.ac.in</t>
  </si>
  <si>
    <t>23f2002255@ds.study.iitm.ac.in</t>
  </si>
  <si>
    <t>- He seemed good in applied knowledge, but in the in-depth understanding of differnet ML techniques he lacked. For this, he said, he did not get time to brush things up. He should gain a good understanding of ML techniques fundamentals before he goes for any placement interview.</t>
  </si>
  <si>
    <t>23f3004427@ds.study.iitm.ac.in</t>
  </si>
  <si>
    <t>Wasn't clear about lightGBM &amp; XGboost related part. Also some keyplots were missing.</t>
  </si>
  <si>
    <t>23f3000168@ds.study.iitm.ac.in</t>
  </si>
  <si>
    <t>Weak in coding skill. She need to learns concept related to time series.</t>
  </si>
  <si>
    <t>22f3002869@ds.study.iitm.ac.in</t>
  </si>
  <si>
    <t>Coding skill is satisfactory. But he need to work on technical concepts. Notebook looks fine.</t>
  </si>
  <si>
    <t>24f3002810@ds.study.iitm.ac.in</t>
  </si>
  <si>
    <t>doesn't have much idea about time series related concepts.was able to answer core ml questions. struggled in coding task.</t>
  </si>
  <si>
    <t>23f1001021@ds.study.iitm.ac.in</t>
  </si>
  <si>
    <t>07:00 PM - 07:30 PM</t>
  </si>
  <si>
    <t>Kaggle project demonstrates strong data exploration and creative visualizations, showing clear understanding of the dataset and solid coding practices. In the viva, you showed good knowledge of data preprocessing, feature engineering, and model training, with especially strong performance in evaluation and tuning. Communication was clear but can be more concise.</t>
  </si>
  <si>
    <t>22f1001826@ds.study.iitm.ac.in</t>
  </si>
  <si>
    <t>22f3002223@ds.study.iitm.ac.in</t>
  </si>
  <si>
    <t>Kaggle project is well-structured with clear exploration and visuals. You demonstrated strong understanding of preprocessing, feature engineering, and model evaluation during the viva. Keep refining your technical depth and communication.</t>
  </si>
  <si>
    <t>22f2000228@ds.study.iitm.ac.in</t>
  </si>
  <si>
    <t>Fundamental knowledge is weak. She wasn't prepared for the viva. She was referring to the resources while answering questions</t>
  </si>
  <si>
    <t>24ds1000061@ds.study.iitm.ac.in</t>
  </si>
  <si>
    <t>23f3001069@ds.study.iitm.ac.in</t>
  </si>
  <si>
    <t>Fundamental knowledge of the candidate is very weak</t>
  </si>
  <si>
    <t>24f1000043@ds.study.iitm.ac.in</t>
  </si>
  <si>
    <t>Lot of scope for improvement in EDA section. Canddiate wasn't clear about topics like bagging &amp; boosting , gini impurity, Bias variance trade-off etc. Wasn't able to complete coding exercise.</t>
  </si>
  <si>
    <t>23f2005347@ds.study.iitm.ac.in</t>
  </si>
  <si>
    <t>https://drive.google.com/file/d/1U6tCcynPozxHuBU9JZtHqtqIenPx1pYX/view</t>
  </si>
  <si>
    <t>Was able to explain notebook But he wasn't clear about fundamentals. Struggled in coding exercise.</t>
  </si>
  <si>
    <t>23f2002974@ds.study.iitm.ac.in</t>
  </si>
  <si>
    <t>Candidate wasn't clear about L1 &amp; L2 regularization, gini impurity &amp; few other topics. But he was able to explain his notebook &amp; able to do coding exercise. Overall satisfied with performance.</t>
  </si>
  <si>
    <t>23f2004638@ds.study.iitm.ac.in</t>
  </si>
  <si>
    <t>Need to revise some of the technical concepts,  Wasn't able to explain L1 &amp; L2 regulariser , gini impurity, etc.</t>
  </si>
  <si>
    <t>- Conceptual clarity needs to be worked on
- good at using the libraries but conceptual understanding is limited
- not posing the right questions to the data 
- Error analysis is not performed 
- Further Improvement can be made on 
-&gt; data exploration and analysis 
-&gt; conceptual clarity and inner working of a model/algorithm</t>
  </si>
  <si>
    <t>24f2003048@ds.study.iitm.ac.in</t>
  </si>
  <si>
    <t>- Good understanding of Data and EDA part is great
- Not utilizing all the data available is bad on modelling part
- Improvements needed on code readability 
- Sklearn Pipelines are not utilized
- Need improvements on Iterative Experimentation and Evidence Driven Decision making
- Improved Debugging skills and code clarity</t>
  </si>
  <si>
    <t>22f2000167@ds.study.iitm.ac.in</t>
  </si>
  <si>
    <t>Great at Data, EDA, Feature Selection
- Poor with Handson coding</t>
  </si>
  <si>
    <t>24ds3000017@ds.study.iitm.ac.in</t>
  </si>
  <si>
    <t>Time series models like Arima can be tried and see if it is beneficial or not</t>
  </si>
  <si>
    <t>23f1002440@ds.study.iitm.ac.in</t>
  </si>
  <si>
    <t>Time series models like Arima can be attempted to see if it is advantageous or not</t>
  </si>
  <si>
    <t>23f2003222@ds.study.iitm.ac.in</t>
  </si>
  <si>
    <t>Hyperparameter tuning is not performed which is very significant. LGBM can be tried. Try ARIMA as well</t>
  </si>
  <si>
    <t>22f3000430@ds.study.iitm.ac.in</t>
  </si>
  <si>
    <t>Results are not satisfactory. Must revisit the notebook</t>
  </si>
  <si>
    <t>It is suggestable to perform hyperparametr tuning in at-least 2 models</t>
  </si>
  <si>
    <t>23f2005206@ds.study.iitm.ac.in</t>
  </si>
  <si>
    <t>It is better to understand why recursive features elimination was taking too much time</t>
  </si>
  <si>
    <t>24f1001182@ds.study.iitm.ac.in</t>
  </si>
  <si>
    <t>SARIMA model could have been tried</t>
  </si>
  <si>
    <t>23f3003566@ds.study.iitm.ac.in</t>
  </si>
  <si>
    <t>Already discussed during viva</t>
  </si>
  <si>
    <t>23f2004583@ds.study.iitm.ac.in</t>
  </si>
  <si>
    <t>It is a good idea to create a visualization of the final results, models vs R^2 values</t>
  </si>
  <si>
    <t>22f2001036@ds.study.iitm.ac.in</t>
  </si>
  <si>
    <t>As per discussion, please try ARIMA, SARIMA and Prophet</t>
  </si>
  <si>
    <t>23f3000162@ds.study.iitm.ac.in</t>
  </si>
  <si>
    <t>23f1002393@ds.study.iitm.ac.in</t>
  </si>
  <si>
    <t>Kaggle project is good. Good foundational understanding of the machine learning pipeline with balanced strengths in preprocessing and feature engineering. To improve, focus more on achieving optimized model performance and providing clearer result interpretations. Coding is good as well.</t>
  </si>
  <si>
    <t>22f3001706@ds.study.iitm.ac.in</t>
  </si>
  <si>
    <t>Kaggle project is good. Shows a good understanding of data preprocessing and model-building fundamentals, but his explanations and result interpretation need more clarity and depth. Strengthening communication and improving the structure and originality of his notebook will help him align better with industry expectations.</t>
  </si>
  <si>
    <t>23f2004661@ds.study.iitm.ac.in</t>
  </si>
  <si>
    <t>Kaggle project is good. Good foundational understanding of the preprocessing, models and feature engineering. To improve, focus more on practical applications of the models and the core features that differentiates each of the models.</t>
  </si>
  <si>
    <t>23f2003562@ds.study.iitm.ac.in</t>
  </si>
  <si>
    <t>Dhurv's data analysis, EDA, and model optimization (Hyperparameter Tuning) is good. Would recommend to elevate your impact, focus on the transition to production: first, master fundamentals such as model versioning and monitoring for data drift. Second, integrate operational awareness by quantifying your tuning choices against critical business metrics such as latency and deployment cost. This approach will ensure your highly tuned models deliver reliable, measurable value in a live environment.</t>
  </si>
  <si>
    <t>22ds1000218@ds.study.iitm.ac.in</t>
  </si>
  <si>
    <t>Abhinav has a very good foundational understanding of concepts and basics. To achieve the next level of professional effectiveness, we recommend two key areas for growth   ,enhancing presentation confidence and focusing on the direct application of learning. Specifically, provide deeper technical detail when explaining code and actively seek opportunities to apply these methods to real time business use cases at work</t>
  </si>
  <si>
    <t>24ds3000002@ds.study.iitm.ac.in</t>
  </si>
  <si>
    <t>Candidate's conceptual knowledge is weak</t>
  </si>
  <si>
    <t>23f1001691@ds.study.iitm.ac.in</t>
  </si>
  <si>
    <t>Fundamental knowledge of the candidate is good</t>
  </si>
  <si>
    <t>22f3001365@ds.study.iitm.ac.in</t>
  </si>
  <si>
    <t>fundamental knowledge of the candidate is very weak. He admitted that he used ChatGPT to write code for his project. I ended the viva early as he didn't know much about what he did</t>
  </si>
  <si>
    <t>07:30 PM - 08:00 PM</t>
  </si>
  <si>
    <t>24f1002320@ds.study.iitm.ac.in</t>
  </si>
  <si>
    <t>The student was not very thorough about most of the code snippets that were present in the notebook. The reason for creation of features was not clear. The student also found difficulties explaining basic regression models and writing small code snippets to view the dataset.
Recommendations are to go through each line of code written and understand what it does, brush up on basic ML</t>
  </si>
  <si>
    <t>23f2004695@ds.study.iitm.ac.in</t>
  </si>
  <si>
    <t>The student answered certain theoretical but fundamental ML questions well but also struggled with explaining the working of basic models. 
More attention should be given to what each component of the code does and how it came about. Brush up on working of ML models as well.</t>
  </si>
  <si>
    <t>23f1001948@ds.study.iitm.ac.in</t>
  </si>
  <si>
    <t xml:space="preserve">1.Work  on understanding the data quality issue.
2.Work on outlier analysis.
3.Work on statistical analysis to get the feature importance
</t>
  </si>
  <si>
    <t>23f2005291@ds.study.iitm.ac.in</t>
  </si>
  <si>
    <t>Candidate understanding of EDA ans Hyperparameter Tuning is good , providing a robust and reliable technical foundation for your work. To effectively translate this proficiency into real-time, operational results, you must focus on two key areas: mastering MLOps fundamentals such as model versioning and data drift detection, and learning to quantify the operational impact of your tuning decisions against critical business KPIs like latency and deployment cost.</t>
  </si>
  <si>
    <t>23f3004131@ds.study.iitm.ac.in</t>
  </si>
  <si>
    <t>Candidate undertsanding n concepts is good.To significantly enhance your presentations and interviews, focus on detailed explanations &amp; storytelling :Highlight the key technical features etc</t>
  </si>
  <si>
    <t>23f3002264@ds.study.iitm.ac.in</t>
  </si>
  <si>
    <t>23f2000934@ds.study.iitm.ac.in</t>
  </si>
  <si>
    <t>23f1001065@ds.study.iitm.ac.in</t>
  </si>
  <si>
    <t>Fundamental knowledge of the candidate is very weak. Also, explanation capability is also weak.</t>
  </si>
  <si>
    <t>21f3002492@ds.study.iitm.ac.in</t>
  </si>
  <si>
    <t>Candidate has good conceptual knowledge</t>
  </si>
  <si>
    <t>23f3004088@ds.study.iitm.ac.in</t>
  </si>
  <si>
    <t>PCA could have been tried. Time series methods like ARIMA can be tried</t>
  </si>
  <si>
    <t>22f1001861@ds.study.iitm.ac.in</t>
  </si>
  <si>
    <t>ML theory must be revisited. Time series methods like ARIMA can be tried</t>
  </si>
  <si>
    <t>22f3000423@ds.study.iitm.ac.in</t>
  </si>
  <si>
    <t>23f1003140@ds.study.iitm.ac.in</t>
  </si>
  <si>
    <t>Kaggle project could have done better. Demonstrated a basic understanding of the data science workflow. However, improving your data exploration, feature engineering, and clarity of communication will significantly strengthen your overall performance. With more practice in structuring your analysis and presenting insights clearly, you can progress toward stronger industry readiness.</t>
  </si>
  <si>
    <t>21f1003902@ds.study.iitm.ac.in</t>
  </si>
  <si>
    <t>24f1000461@ds.study.iitm.ac.in</t>
  </si>
  <si>
    <t>23f1002151@ds.study.iitm.ac.in</t>
  </si>
  <si>
    <t>Your detailed EDA and logical model selection explanations were good To ensure continued growth and to maximize your professional impact, you must now focus on technical synthesis.</t>
  </si>
  <si>
    <t>24f3005152@ds.study.iitm.ac.in</t>
  </si>
  <si>
    <t>Ashish's data understanding and command of hyperparameter tuning techniques were both good providing a robust foundation for your projects &amp; excellent. To achieve the next level of professional distinction, focus on mastering the technical narrative.</t>
  </si>
  <si>
    <t>24ds2000065@ds.study.iitm.ac.in</t>
  </si>
  <si>
    <t>Understanding of the concepts is good, models used  and EDA .To significantly enhance your presentations and interviews, focus on storytelling: transform your project steps into a compelling narrative that highlights the problem, your action and the quantified result.</t>
  </si>
  <si>
    <t>23f1000441@ds.study.iitm.ac.in</t>
  </si>
  <si>
    <t>Candidate undertsanding on EDA,Hyperparameter tuning is good.To significantly enhance your presentations and interviews, focus on storytelling:Highlight the key technical features etc</t>
  </si>
  <si>
    <t>1.Work on communication skill.
2.Work on feature engineering with statistical analysis.
3.Work on the outlier analysis.
4.Work on heat map analysis.</t>
  </si>
  <si>
    <t>24f2004489@ds.study.iitm.ac.in</t>
  </si>
  <si>
    <t>1.Work on communication skill.
2.Work on imputation techniques.
3.Work on feature engineering.
4.Work on clearing basic concepts.</t>
  </si>
  <si>
    <t>23f2004286@ds.study.iitm.ac.in</t>
  </si>
  <si>
    <t>23f3001743@ds.study.iitm.ac.in</t>
  </si>
  <si>
    <t>22f2000761@ds.study.iitm.ac.in</t>
  </si>
  <si>
    <t>Aryan possesses a good foundational understanding of the core concepts. To significantly enhance his presentation and interview impact, he should focus on mastering the technical narrative: structuring his work to highlight the key features</t>
  </si>
  <si>
    <t>22f3001659@ds.study.iitm.ac.in</t>
  </si>
  <si>
    <t>Mrunal possess a reliable understanding of the core concepts. To maximize interview impact, concentrate on strategic communication: refine your project explanations into a compelling, structured flow that explicitly links the business problem, your technical intervention, and the measured, quantifiable outcome.</t>
  </si>
  <si>
    <t>23f3001514@ds.study.iitm.ac.in</t>
  </si>
  <si>
    <t>Your fundamentals &amp; project explanations are good. The next step is mastering project storytelling: structure your work to emphasize the Problem-Action-Quantified Result flow. This will make your interviews significantly more impactful.</t>
  </si>
  <si>
    <t>Ravisha’s  data understanding and command of hyperparameter tuning techniques were both good providing a robust foundation for your projects. To achieve the next level of professional distinction, focus on mastering the technical narrative: ensure your project explanations consistently structure your choices around the Problem</t>
  </si>
  <si>
    <t>Good at python.
 To improve further focus on understanding algorithm and hyperparameter tuning </t>
  </si>
  <si>
    <t>24f3004990@ds.study.iitm.ac.in</t>
  </si>
  <si>
    <t>The student has performed very well, demonstrating strong understanding of the data and modeling workflow with clear and structured analysis. They have shown good command of preprocessing and feature engineering, and their explanations were confident and accurate. To refine their skills further, the student can focus on a few advanced areas such as understanding multicollinearity in regression models, analyzing skewness in the data, and strengthening knowledge of ensemble concepts like bagging vs. boosting. They should also continue applying proper time-series handling techniques where relevant. With these minor improvements, the student is well on track for industry-ready ML proficiency.</t>
  </si>
  <si>
    <t>23f2001305@ds.study.iitm.ac.in</t>
  </si>
  <si>
    <t>The student has shown good understanding of the data and modeling workflow and has performed solid analysis overall. Feature engineering and model selection were handled well, and explanations were mostly clear. To further improve, the student should deepen their understanding of hyperparameter tuning, explore multicollinearity where relevant, and continue refining time-series feature creation and validation techniques. Strengthening these areas will help them achieve more consistent and robust results in future work.</t>
  </si>
  <si>
    <t>24f3003942@ds.study.iitm.ac.in</t>
  </si>
  <si>
    <t>The student has demonstrated good overall understanding and clear execution of the modeling workflow. To improve further, they should strengthen their skills in hyperparameter tuning, understand when multicollinearity affects model stability, and refine their approach to time-series feature creation and validation. With these enhancements, the student can achieve more reliable and industry-ready results.</t>
  </si>
  <si>
    <t>23f1000914@ds.study.iitm.ac.in</t>
  </si>
  <si>
    <t>The student has shown solid understanding of the data and applied the modeling process effectively. Their analysis and feature engineering were well-executed, and the reasoning behind model choices was largely clear. To improve further, the student should focus on strengthening hyperparameter tuning skills, build better intuition around when multicollinearity matters, and enhance their time-series handling through more refined feature creation and proper validation strategies. With these improvements, the student can reach a higher level of consistency and industry readiness.</t>
  </si>
  <si>
    <t>23f2000866@ds.study.iitm.ac.in</t>
  </si>
  <si>
    <t>The student has delivered an excellent performance, demonstrating a strong and comprehensive understanding of the entire data science and modeling workflow. Their data analysis, preprocessing decisions, and feature engineering were precise and well-justified. The student showed clear mastery of model selection, evaluation, and explanation, along with confident reasoning throughout the process. To further elevate their already excellent skill set, they may explore deeper concepts such as multicollinearity handling, advanced ensemble techniques like bagging vs. boosting, and analyzing data skewness for more refined preprocessing. Overall, the student is highly competent, industry-ready, and has showcased outstanding command of machine learning practices.</t>
  </si>
  <si>
    <t>23f3000857@ds.study.iitm.ac.in</t>
  </si>
  <si>
    <t>The student has demonstrated a basic grasp of the task but needs to improve in several important areas to strengthen their modeling approach. They should ensure irrelevant columns like the ID column are removed before training and work on understanding multicollinearity, especially for regression models. The student also needs to approach the problem correctly as a time-series task and learn the difference between bagging and boosting to make better model choices. Additionally, identifying whether the data is right-skewed or left-skewed will help refine preprocessing steps. With focused improvement in these areas, their overall performance can improve significantly.</t>
  </si>
  <si>
    <t>The student has shown good understanding of the data and applied the modeling workflow effectively. Their analysis and feature handling were solid, but there is room for improvement in a few areas. They should ensure unnecessary columns like the ID column are removed before training and build a stronger understanding of multicollinearity when using regression models. The student is encouraged to deepen their knowledge of time-series handling, learn the difference between bagging and boosting, and assess whether the data is right- or left-skewed to improve preprocessing decisions. Strengthening these aspects will help them progress toward more robust, industry-ready modeling practices.</t>
  </si>
  <si>
    <t>23f2004781@ds.study.iitm.ac.in</t>
  </si>
  <si>
    <t>21f1003965@ds.study.iitm.ac.in</t>
  </si>
  <si>
    <t>21f3000432@ds.study.iitm.ac.in</t>
  </si>
  <si>
    <t>23f1001012@ds.study.iitm.ac.in</t>
  </si>
  <si>
    <t>The student has shown a basic understanding of the data and modeling workflow but needs improvement in several key areas. They should remove unnecessary columns like the ID column before training and develop a stronger understanding of multicollinearity in regression-based models. The student also needs to better handle the problem as a time-series task and learn the difference between bagging and boosting to choose appropriate ensemble methods. Additionally, analyzing whether the data is right-skewed or left-skewed will help improve preprocessing decisions. Focusing on these areas will significantly strengthen their overall modeling performance.</t>
  </si>
  <si>
    <t>23f3001016@ds.study.iitm.ac.in</t>
  </si>
  <si>
    <t>22f2000467@ds.study.iitm.ac.in</t>
  </si>
  <si>
    <t>23f2000103@ds.study.iitm.ac.in</t>
  </si>
  <si>
    <t>The student has shown a reasonable understanding of the basics but needs to strengthen several key areas to improve performance. They should ensure unnecessary columns like the ID column are removed during model training and develop a better understanding of multicollinearity, especially when using regression models. The student needs to handle the problem more effectively as a time-series task and learn the difference between bagging and boosting to make better ensemble model choices. Additionally, analyzing whether the data is right-skewed or left-skewed will help them apply more suitable preprocessing techniques. Improving these areas will significantly enhance their modeling quality and overall readiness.</t>
  </si>
  <si>
    <t>22f3001418@ds.study.iitm.ac.in</t>
  </si>
  <si>
    <t>22f1000001@ds.study.iitm.ac.in</t>
  </si>
  <si>
    <t>The student should remove the ID column before model training and improve understanding of multicollinearity, especially when working with regression-based models. They need to handle the problem as a proper time-series task with correct feature creation and splitting. Learning the difference between bagging and boosting will help in choosing suitable ensemble methods. Additionally, the student should assess whether the data is right-skewed or left-skewed, as this influences preprocessing steps and model performance. Strengthening these areas will lead to more reliable and industry-ready modeling outcomes.</t>
  </si>
  <si>
    <t>23f1001883@ds.study.iitm.ac.in</t>
  </si>
  <si>
    <t>The student has shown good understanding of the data and overall modeling workflow, with clear effort in analysis and feature engineering. To improve further, the student should strengthen their understanding of multicollinearity—especially how correlated time-series features can affect regression models—and apply appropriate checks where needed. It is also recommended to learn machine learning models in greater depth to enhance industry readiness, with a focus on hyperparameter tuning, model behavior, and practical implementation patterns. Strengthening these areas will help the student produce more robust and reliable results.</t>
  </si>
  <si>
    <t>21f1002585@ds.study.iitm.ac.in</t>
  </si>
  <si>
    <t>The student has performed exceptionally well and demonstrates a strong understanding of the overall workflow, from data analysis to model development. Their approach to exploring the dataset is thorough, and the insights drawn are meaningful. The student shows solid command over feature engineering and demonstrates clarity in explaining model choices and reasoning. They handle time-series concepts well and understand how to structure data chronologically, create lag-based features, and avoid leakage. Their coding style, interpretation of results, and explanation during the viva reflect a high level of competence and confidence.
To further refine their skills, the student can focus on small enhancements such as deepening knowledge of advanced hyperparameter tuning techniques (GridSearch, RandomizedSearch), expanding understanding of multicollinearity implications in regression-based time-series models, and continuing to experiment with different feature engineering strategies. Overall, excellent performance with strong potential for industry-level ML work.</t>
  </si>
  <si>
    <t>23f2000790@ds.study.iitm.ac.in</t>
  </si>
  <si>
    <t>The student shows good understanding of the data and has performed a nice initial analysis; however, deeper and more thorough exploration is needed to strengthen insights. There is a need to improve knowledge of encoding techniques and enhance data visualization skills to better interpret patterns. The student should also learn the difference between R² and Adjusted R², and become familiar with hyperparameter tuning methods such as GridSearch and RandomizedSearch. Understanding multicollinearity and how to handle it will improve model stability. It is recommended to experiment with creating temporal features for time-series problems and check for outliers in the target/prediction variable. Finally, exploring suitable time-series models and approaches will significantly improve overall modeling performance and understanding.</t>
  </si>
  <si>
    <t>23f3003425@ds.study.iitm.ac.in</t>
  </si>
  <si>
    <t>Chandan has performed good initial data analysis and shows a clear understanding of the dataset; however, there is room to deepen the analysis further. The student should focus on learning hyperparameter tuning methods such as GridSearch and RandomizedSearch to improve model performance. It is also important to understand and check multicollinearity, especially in time-series problems where features like lag1, lag2, lag3, etc., are often highly correlated with each other. Such high correlation can make model coefficients unstable, reduce interpretability, and lead to overfitting, so evaluating multicollinearity through a correlation matrix or VIF is useful. Additionally, the student should check for outliers at the feature level to ensure cleaner inputs and more robust predictions.</t>
  </si>
  <si>
    <t>22f3001183@ds.study.iitm.ac.in</t>
  </si>
  <si>
    <t>Kumar has performed good initial data analysis and shows a solid understanding of the dataset; however, deeper exploration would improve the overall quality. The student should focus on learning hyperparameter tuning techniques such as GridSearch and RandomizedSearch to better optimize model performance. It is also important to understand and evaluate multicollinearity, especially in time-series problems where features like lag1, lag2, lag3, etc., are often highly correlated. Such high correlation can make coefficients unstable, reduce interpretability, and lead to overfitting, so checking multicollinearity using a correlation matrix or VIF is useful when working with regression-based models. However, this is not necessary for tree-based models such as Random Forest, Gradient Boosting, XGBoost, and Extra Trees, as these models are not affected by multicollinearity and can even benefit from correlated features. Additionally, the student should check for outliers at the feature level to ensure cleaner inputs and more reliable predictions.</t>
  </si>
  <si>
    <t>23f1002747@ds.study.iitm.ac.in</t>
  </si>
  <si>
    <t>23f2005360@ds.study.iitm.ac.in</t>
  </si>
  <si>
    <t>23f2005138@ds.study.iitm.ac.in</t>
  </si>
  <si>
    <t xml:space="preserve">1.Detailed analysis with  feature engineering and EDA.
2.Work on creating more composite features.
3.Work on Statistical analysis and feature importance. 
</t>
  </si>
  <si>
    <t>21f3000177@ds.study.iitm.ac.in</t>
  </si>
  <si>
    <t>Anusha demonstrated strong Python programming skills, including the ability to consult documentation and independently debug error messages. Going forward, she needs to deepen her understanding of the underlying mechanisms of the methods used in her code and improve her analytical reasoning to better explain why certain models or functions yield superior results</t>
  </si>
  <si>
    <t>24ds2000064@ds.study.iitm.ac.in</t>
  </si>
  <si>
    <t>Candidate demonstrated a fair understanding of the core concepts, providing a foundation for growth. The primary areas for immediate development are improving proficiency in EDA techniques and deepening the technical understanding of the models utilized to better justify design choices.</t>
  </si>
  <si>
    <t>23ds1000075@ds.study.iitm.ac.in</t>
  </si>
  <si>
    <t>Candidate showed a solid understanding of (EDA) principles, handling data preparation and visualization commendably. However, the focus needs to shift towards technical mastery of the models used. Specifically, enhance explanations by detailing architectural advantages and hyperparameter trade-offs to achieve a deeper level of technical discussion.</t>
  </si>
  <si>
    <t>23f2004476@ds.study.iitm.ac.in</t>
  </si>
  <si>
    <t>Your detailed EDA and logical model selection explanations were good To ensure continued growth and to maximize your professional impact, you must now focus on technical synthesis. This means articulating your choice especially hyperparameter tradeoff  within a clear, results-driven narrative, effectively transforming technical steps into compelling project outcomes</t>
  </si>
  <si>
    <t>23f2003824@ds.study.iitm.ac.in</t>
  </si>
  <si>
    <t xml:space="preserve">1.Good analysis overall..
2.Work on statistical analysis on feature importance.
</t>
  </si>
  <si>
    <t>23f2004875@ds.study.iitm.ac.in</t>
  </si>
  <si>
    <t xml:space="preserve">1.Detailed analysis with  feature engineering and EDA.
2.Work on clearing some basic concepts.
3.Check the data quality issues. 
</t>
  </si>
  <si>
    <t>23f1002157@ds.study.iitm.ac.in</t>
  </si>
  <si>
    <t>Overall Good Effort.Can improve by explaining the code in more depth and enhancing algorithm understanding for better industry readiness </t>
  </si>
  <si>
    <t>21f3000735@ds.study.iitm.ac.in</t>
  </si>
  <si>
    <t>Good explanation on visualizationsNeeds improvement in gaining  deeper understanding of algorithms to enhance industry readiness. </t>
  </si>
  <si>
    <t>22f1000626@ds.study.iitm.ac.in</t>
  </si>
  <si>
    <t xml:space="preserve">Overall good performance.
explained the code well
Could focus more on hyperparameter tuning </t>
  </si>
  <si>
    <t>22f3001316@ds.study.iitm.ac.in</t>
  </si>
  <si>
    <t>1.End to End flow and process review once before the interview.
2.Work on statistical analysis.
3.Work on data quality issue and findings</t>
  </si>
  <si>
    <t>23f2003721@ds.study.iitm.ac.in</t>
  </si>
  <si>
    <t>22ds3000052@ds.study.iitm.ac.in</t>
  </si>
  <si>
    <t>Kaggle project is good. Demonstrated good understanding of data preprocessing and model evaluation, with particularly strong performance in hyperparameter tuning. Improving creativity in your notebooks and strengthening communication skills will help you present your work more effectively. Continue practicing coding to further boost your industry readiness.</t>
  </si>
  <si>
    <t>24ds2000104@ds.study.iitm.ac.in</t>
  </si>
  <si>
    <t>23ds1000009@ds.study.iitm.ac.in</t>
  </si>
  <si>
    <t>23f3001320@ds.study.iitm.ac.in</t>
  </si>
  <si>
    <t>22f3001961@ds.study.iitm.ac.in</t>
  </si>
  <si>
    <t>Candidate needs to brush up the fundamentals</t>
  </si>
  <si>
    <t>21f3002418@ds.study.iitm.ac.in</t>
  </si>
  <si>
    <t>12:00 PM - 12:30 PM</t>
  </si>
  <si>
    <t xml:space="preserve">1.work on feature engineering and EDA.
2.Clear the basic concepts.
</t>
  </si>
  <si>
    <t xml:space="preserve">1.work on feature engineering and EDA.
2.Work on statistical analysis.
3.Work on data quality issue and findings
</t>
  </si>
  <si>
    <t>22f1001941@ds.study.iitm.ac.in</t>
  </si>
  <si>
    <t>--22f1001941
Clear code and flow explanation .Need to focus bit more on hyperparameter tuning. overall good work.</t>
  </si>
  <si>
    <t>24f1002643@ds.study.iitm.ac.in</t>
  </si>
  <si>
    <t>Kagle project could have been done better. Improvement is needed in creativity, model tuning, and communication to enhance the overall clarity and impact of your work. Strengthening these areas will help elevate both your technical depth and presentation quality.</t>
  </si>
  <si>
    <t>23f1003037@ds.study.iitm.ac.in</t>
  </si>
  <si>
    <t>23f3004122@ds.study.iitm.ac.in</t>
  </si>
  <si>
    <t>24f1000791@ds.study.iitm.ac.in</t>
  </si>
  <si>
    <t>23f1002487@ds.study.iitm.ac.in</t>
  </si>
  <si>
    <t>24ds2000074@ds.study.iitm.ac.in</t>
  </si>
  <si>
    <t>1.Very detailed analysis and data understanding.
2.Good approach on feature engineering.</t>
  </si>
  <si>
    <t>23f2001816@ds.study.iitm.ac.in</t>
  </si>
  <si>
    <t>Hyperparameter tuning is done only for one model. Moreoevr, student should not explain too fast eventhough he has to catch a train</t>
  </si>
  <si>
    <t>23f3003519@ds.study.iitm.ac.in</t>
  </si>
  <si>
    <t xml:space="preserve">1.work on communication skill.
2.Work on clearing basic concepts.
3.Improve on feature engineering
</t>
  </si>
  <si>
    <t>23f2000701@ds.study.iitm.ac.in</t>
  </si>
  <si>
    <t>Rishab showed a solid understanding of EDA principles, handling data preparation and visualization commendably. However, the focus needs to shift towards technical mastery of the models used to enhance further.</t>
  </si>
  <si>
    <t>24f1002229@ds.study.iitm.ac.in</t>
  </si>
  <si>
    <t>Well detailed expalanation EDA, model selections.Focus on enhancing the project&amp; presentation skills further more.</t>
  </si>
  <si>
    <t>Bhargavi presentation showed a strong grasp of the core  concepts, data distribution, and code implementation. To advance your skills further, focus on mastering the narrative flow and quantifying their impact.</t>
  </si>
  <si>
    <t>23f2000732@ds.study.iitm.ac.in</t>
  </si>
  <si>
    <t>22f3000162@ds.study.iitm.ac.in</t>
  </si>
  <si>
    <t>Kaggle project is fine. Demonstrated good understanding of data preprocessing and model evaluation, with particularly strong performance in hyperparameter tuning. Improving creativity in your notebooks and strengthening communication skills will help you present your work more effectively. Coding is good.</t>
  </si>
  <si>
    <t>22ds2000004@ds.study.iitm.ac.in</t>
  </si>
  <si>
    <t>Kaggle project could have done better. Some concepts need to be reviewed for deeper insights. With more practice in feature engineering and presentation skills, you’ll be well on track for industry readiness.</t>
  </si>
  <si>
    <t>Fundamental knowldge of the candidate is a little weak</t>
  </si>
  <si>
    <t>23f2002900@ds.study.iitm.ac.in</t>
  </si>
  <si>
    <t>Fundamental knowledge of the candidate is quite weak</t>
  </si>
  <si>
    <t>23f3001608@ds.study.iitm.ac.in</t>
  </si>
  <si>
    <t>22f1001636@ds.study.iitm.ac.in</t>
  </si>
  <si>
    <t>23f2002291@ds.study.iitm.ac.in</t>
  </si>
  <si>
    <t>23f2001063@ds.study.iitm.ac.in</t>
  </si>
  <si>
    <t>Ananjay has a strong understanding of both concepts and code.The next step is mastering project storytelling: structure your work to emphasize the Problem-Action-Quantified Result flow. This will make your interviews significantly more impactful.</t>
  </si>
  <si>
    <t>23f1000625@ds.study.iitm.ac.in</t>
  </si>
  <si>
    <t>Madhurima has a strong understanding in concepts,code used and data distribution.Keep enhancing the presentation skills to keep growing</t>
  </si>
  <si>
    <t>12:30 PM - 01:00 PM</t>
  </si>
  <si>
    <t>24f1000015@ds.study.iitm.ac.in</t>
  </si>
  <si>
    <t>Understanding of the concepts is good .To significantly enhance your presentations and interviews, focus on storytelling: transform your project steps into a compelling narrative that highlights the problem, your action and the quantified result.</t>
  </si>
  <si>
    <t>23f3004206@ds.study.iitm.ac.in</t>
  </si>
  <si>
    <t>You demonstrate a strong understanding of both core time series and machine learning principles. Your next developmental focus should be on refining the precision of your technical explanations. Ensure you prioritize and state the key technical drivers and parameters explicitly when detailing model specifications and methodologies.</t>
  </si>
  <si>
    <t>23f3001889@ds.study.iitm.ac.in</t>
  </si>
  <si>
    <t>23f2001025@ds.study.iitm.ac.in</t>
  </si>
  <si>
    <t>Your fundamentals are strong. The next step is mastering project storytelling: structure your work to emphasize the Problem-Action-Quantified Result flow. This will make your interviews significantly more impactful.</t>
  </si>
  <si>
    <t>23f2005572@ds.study.iitm.ac.in</t>
  </si>
  <si>
    <t>Sriharivasan presentation showed a strong grasp of the core  concepts, data distribution, and code implementation. To advance your skills further, focus on mastering the narrative flow by clearly articulating the business/Project hypothesis behind your feature engineering choices and quantifying their impact.</t>
  </si>
  <si>
    <t>23f3003771@ds.study.iitm.ac.in</t>
  </si>
  <si>
    <t>Kaggle project is fine. Demonstrated good understanding of data preprocessing and model evaluation, with particularly strong performance in hyperparameter tuning. Improving creativity in your notebooks and strengthening communication skills will help you present your work more effectively. Continue practicing coding to further boost your industry readiness.</t>
  </si>
  <si>
    <t>23f3003756@ds.study.iitm.ac.in</t>
  </si>
  <si>
    <t>23f2004001@ds.study.iitm.ac.in</t>
  </si>
  <si>
    <t>21f2000460@ds.study.iitm.ac.in</t>
  </si>
  <si>
    <t>Understanding of the core concepts is fair .To significantly enhance your presentations and interviews, focus on storytelling: transform your project steps into a compelling narrative that highlights the problem, your action and the quantified result.</t>
  </si>
  <si>
    <t>23f1002420@ds.study.iitm.ac.in</t>
  </si>
  <si>
    <t>No Show</t>
  </si>
  <si>
    <t>21f1001976@ds.study.iitm.ac.in</t>
  </si>
  <si>
    <t>Candidate has sound knowledge of fundamentals but needs to improve conceptual knowledge</t>
  </si>
  <si>
    <t>23f2004625@ds.study.iitm.ac.in</t>
  </si>
  <si>
    <t>Surya has good understanding on the basics of building models and also has good knowledge in python basisc. He's able to develop model from scratch and can solve real data science models. He must improve on the math behind the models and improve the reasoning</t>
  </si>
  <si>
    <t>23f2005020@ds.study.iitm.ac.in</t>
  </si>
  <si>
    <t>Saksham was able to build models but struggles to build it from scratch. His python programming skills requires improvement so that he work with a team when he gets to the industry. He has good understanding on the statistics and must build on top of this</t>
  </si>
  <si>
    <t>23f2004209@ds.study.iitm.ac.in</t>
  </si>
  <si>
    <t>23f3002354@ds.study.iitm.ac.in</t>
  </si>
  <si>
    <t>Hyperparameter tuning is not done which is an important step</t>
  </si>
  <si>
    <t>23f2004341@ds.study.iitm.ac.in</t>
  </si>
  <si>
    <t>23f1001699@ds.study.iitm.ac.in</t>
  </si>
  <si>
    <t>23f2001501@ds.study.iitm.ac.in</t>
  </si>
  <si>
    <t>23f3000511@ds.study.iitm.ac.in</t>
  </si>
  <si>
    <t>23f2000391@ds.study.iitm.ac.in</t>
  </si>
  <si>
    <t>21f3001973@ds.study.iitm.ac.in</t>
  </si>
  <si>
    <t>24f2006109@ds.study.iitm.ac.in</t>
  </si>
  <si>
    <t>06:00 PM - 06:30 PM</t>
  </si>
  <si>
    <t>Hyperparameter tuning is not performed which is very important step to improve the performance</t>
  </si>
  <si>
    <t>23f2001696@ds.study.iitm.ac.in</t>
  </si>
  <si>
    <t>Time series models have to be tried</t>
  </si>
  <si>
    <t>23ds2000123@ds.study.iitm.ac.in</t>
  </si>
  <si>
    <t>Total eight models have been tried, six models hyperparameter tuning, PCA not tried, time series model can be tried like ARIMA, PROPHET</t>
  </si>
  <si>
    <t>24f1001529@ds.study.iitm.ac.in</t>
  </si>
  <si>
    <t>Understanding of the core data science concepts is good.To significantly enhance your presentations and interviews, focus on storytelling: transform your project steps into a compelling narrative that highlights the problem, your action and the quantified result.</t>
  </si>
  <si>
    <t>23f1002313@ds.study.iitm.ac.in</t>
  </si>
  <si>
    <t>1.Work on feature Engineering and EDA.
2.Feature Importance need to work on.
3.Statistical Analysis understand the relationship about the columns.</t>
  </si>
  <si>
    <t>23f2001828@ds.study.iitm.ac.in</t>
  </si>
  <si>
    <t xml:space="preserve">1.Work on feature Engineering and  composite variables.
2.Pipleline and standardization of the code needs to work on.
3.Work on Statistical Analysis </t>
  </si>
  <si>
    <t>24ds2000081@ds.study.iitm.ac.in</t>
  </si>
  <si>
    <t>Sound fundamental and analytical knowledge</t>
  </si>
  <si>
    <t>24f2002642@ds.study.iitm.ac.in</t>
  </si>
  <si>
    <t>Need to focus on python proficiency, data understanding, how the model works. Knowledge in statistic is good and must utilize that in solving problem</t>
  </si>
  <si>
    <t>24ds3000019@ds.study.iitm.ac.in</t>
  </si>
  <si>
    <t>Demonstrated strong understanding across preprocessing, feature engineering, and model training, with confident and clear communication. Improving notebook creativity and adding deeper result interpretation will further strengthen their industry readiness.</t>
  </si>
  <si>
    <t>23f2003086@ds.study.iitm.ac.in</t>
  </si>
  <si>
    <t>Shows basic understanding of ML concepts but needs to provide clearer explanations and more structured reasoning. Enhancing the notebook with better exploration and improving communication will help boost overall technical preparedness.</t>
  </si>
  <si>
    <t>23f3001602@ds.study.iitm.ac.in</t>
  </si>
  <si>
    <t>24ds2000021@ds.study.iitm.ac.in</t>
  </si>
  <si>
    <t>24f2006299@ds.study.iitm.ac.in</t>
  </si>
  <si>
    <t>Candidate explained well but couldn't interpret well</t>
  </si>
  <si>
    <t>23f3004431@ds.study.iitm.ac.in</t>
  </si>
  <si>
    <t>21f1001844@ds.study.iitm.ac.in</t>
  </si>
  <si>
    <t>Fundamental knowledge is a little weak</t>
  </si>
  <si>
    <t>23f1001602@ds.study.iitm.ac.in</t>
  </si>
  <si>
    <t>Explained the project very well. focus more on hyperparameter tuning. Overall Good!</t>
  </si>
  <si>
    <t>23f3004008@ds.study.iitm.ac.in</t>
  </si>
  <si>
    <t>Explained very well and good work on Visualization. overall good. Focus on Deeper understanding of algorithms </t>
  </si>
  <si>
    <t>21f1001549@ds.study.iitm.ac.in</t>
  </si>
  <si>
    <t>Excellent work .. Good Understanding of data</t>
  </si>
  <si>
    <t>23f2003481@ds.study.iitm.ac.in</t>
  </si>
  <si>
    <t>Candidate explained the core concepts and the assumptions underpinning the models clearly.Focus on refining the level of detail in your explanations. Ensure you lead with the key technical pointers when describing methods or model specifics to enhance your presentations further</t>
  </si>
  <si>
    <t>22f3003016@ds.study.iitm.ac.in</t>
  </si>
  <si>
    <t>Your presentation demonstrated a solid command of the core concepts, EDA, and feature engineering. To excel in interviews, focus on quantifying your impact by clearly articulating the trade offs of your choices and the measurable results. Practice structuring your answers to be concise and results driven, which will even greatly sharpen your presentation</t>
  </si>
  <si>
    <t>Absent</t>
  </si>
  <si>
    <t>24f1001677@ds.study.iitm.ac.in</t>
  </si>
  <si>
    <t>Candidate has solid understanding of the main ideas, data exploration , and preparing your data (feature engineering).To do even better in job interviews,focus on refining the level of detail in your explanations.</t>
  </si>
  <si>
    <t>22f3002014@ds.study.iitm.ac.in</t>
  </si>
  <si>
    <t xml:space="preserve">1.EDA and feature engineering was good.
2.Work on statistical analysis to understand the column importance.
3.Work on communication part.
</t>
  </si>
  <si>
    <t>22f3001732@ds.study.iitm.ac.in</t>
  </si>
  <si>
    <t>1.Very good analytical skill.
2.Detailed and honest analysis and trying to find out the insights.
3.Good overall concept and problem solving skill.</t>
  </si>
  <si>
    <t>06:30 PM - 07:00 PM</t>
  </si>
  <si>
    <t>21f3001932@ds.study.iitm.ac.in</t>
  </si>
  <si>
    <t>1.Good communication and presentation.
2.Work on statistical analysis.</t>
  </si>
  <si>
    <t>23f2002611@ds.study.iitm.ac.in</t>
  </si>
  <si>
    <t>23f1002129@ds.study.iitm.ac.in</t>
  </si>
  <si>
    <t>Kaggle project is good. Good in model training and evaluation, showing confidence in core ML workflows. To improve industry readiness, he should focus on clearer communication, deeper justification of preprocessing and feature engineering choices.</t>
  </si>
  <si>
    <t>23f1000779@ds.study.iitm.ac.in</t>
  </si>
  <si>
    <t>22f3002501@ds.study.iitm.ac.in</t>
  </si>
  <si>
    <t>23f2002420@ds.study.iitm.ac.in</t>
  </si>
  <si>
    <t>1.Work on basic concepts.
2.Candidate failed to explain the process what he had done.
3.Work on communication part.
4.Plot/Visualization is missing</t>
  </si>
  <si>
    <t>22f3000585@ds.study.iitm.ac.in</t>
  </si>
  <si>
    <t>1.Data Validation of Ticket booking summation need to revalidate.
2.Work on visualization.
3.Do the trend analysis if you are adding any new variables and removing columns.</t>
  </si>
  <si>
    <t>24f2006061@ds.study.iitm.ac.in</t>
  </si>
  <si>
    <t>Candidate has a strong grasp of the core time series and machine learning concepts discussed. Explained the EDA  and the assumptions underpinning the models clearly.Focus on refining the level of detail in your explanations. Ensure you lead with the key technical pointers when describing methods or model specifics.</t>
  </si>
  <si>
    <t>Candidate has good understanding on basics,  should  foucs more to understand the core concepts in details and cover more technical pointers while explaining</t>
  </si>
  <si>
    <t>23f1002973@ds.study.iitm.ac.in</t>
  </si>
  <si>
    <t>Candidate has a strong understanding in concepts, EDA, Vizualizations used and data distribution .Very  well explained  with  real  time examples for PCA and concepts. Keep enhancing the presentation skills to keep growing</t>
  </si>
  <si>
    <t>23f3004072@ds.study.iitm.ac.in</t>
  </si>
  <si>
    <t>Need little more clear understanding on the target variable
good amount of scaling done
Models used: Gradient boosting , SVC , RF
Model scores printed and visualized in bar chart
F1 score: 81% from voting classifier</t>
  </si>
  <si>
    <t>21f1006604@ds.study.iitm.ac.in</t>
  </si>
  <si>
    <t xml:space="preserve">Good understanding of data / problem statement
new features created and corr matrix heat map plotted
common words removed and find repetition of words 
Models used: LR, SGD, SVM, Naive Bayes, KNN, RF 
F1 Score: 81%
</t>
  </si>
  <si>
    <t>24f2008014@ds.study.iitm.ac.in</t>
  </si>
  <si>
    <t xml:space="preserve">clear understanding of problem statement 
detailed explanation of how the NLP is substituted in classic ML
Only sklearn library used
Pseudo labelling used
EDA: Unique post ids compared ; bar plot for class distribution , value counts colored by labels, stacked bar plots , box plots and corr matrix heat map
Misclassified information analyzed , very good thought process.
Logistic Regression, Multi Layer Perceptron , XG Boost, Light GBM (Best Model), SVM
Metrics : confusion matrix , F1 score, accuracy
</t>
  </si>
  <si>
    <t>23f1000470@ds.study.iitm.ac.in</t>
  </si>
  <si>
    <t>pareto principle explained very nicely with 80% comments ignored by everyone
Very good visual ; corr matrix explained
Vectorizer / ngram details are good
lot of models tried and clearly documented in the form of table
Metrics and model comparison visualized
Comments / observations nicely documented</t>
  </si>
  <si>
    <t>23f2000990@ds.study.iitm.ac.in</t>
  </si>
  <si>
    <t xml:space="preserve">Very good visual bar chart on frequency of Level toxicity
lot of models tried and comparison done 
SVC Model - Caliberate classified CV
TFIDF vectorizer -- character level 
Classification report printed
F1score ; 83%
</t>
  </si>
  <si>
    <t>22f1000094@ds.study.iitm.ac.in</t>
  </si>
  <si>
    <t>Moderate understanding of the problem statement
repetitive words are considered for sentimental analysis
Models used : LR, SGD Classifier, multinomial NVB, Linear SVM, Light GBM
model score printed and comparison plotted in barchart
Metrics : F1 Score, accuracy
F1 Score: 81%</t>
  </si>
  <si>
    <t>24f2007979@ds.study.iitm.ac.in</t>
  </si>
  <si>
    <t>Candidate demonstrates a good understanding of the problem and has delivered a well-executed solution with clarity in approach. His work reflects a structured way of thinking and the ability to apply concepts effectively. To further enhance his performance, he should focus on strengthening the explanation of his decision-making process and clearly linking his work to measurable outcomes or impact. From an interview perspective, presenting ideas more concisely and confidently, while maintaining a logical flow, will create a stronger impression. With continued practice in articulation and real-world application, his overall effectiveness will improve further</t>
  </si>
  <si>
    <t>23f1000744@ds.study.iitm.ac.in</t>
  </si>
  <si>
    <t>The candidate shows a solid grasp of the concepts and presents the approach in a clear and organized manner. The rationale behind selecting techniques is explained well, and the visualizations are used effectively to convey important insights. The work reflects a logical and structured thought process. To enhance the overall impact, the candidate can focus on deepening the analysis and more explicitly connecting insights to outcomes. Overall, it is a strong performance demonstrating good analytical skills.</t>
  </si>
  <si>
    <t>21f3001093@ds.study.iitm.ac.in</t>
  </si>
  <si>
    <t>Saravanan demonstrates strong technical depth, covering a good level of detail in his approach and showcasing a clear understanding of echniques such as LightGBM and XGBoost. His explanations reflect clarity and confidence in handling modelrelated concepts. His work indicates a structured and thorough approach to the problem. To further enhance impact, he can focus on linking these insights more explicitly to outcomes and real world relevance.</t>
  </si>
  <si>
    <t>22f3001070@ds.study.iitm.ac.in</t>
  </si>
  <si>
    <t>Shreyash demonstrates a strong level of detail in his work, with a thorough approach to data analysis and thoughtful selection of techniques. His work reflects a clear understanding of the problem and a structured way of approaching it. He effectively explores the data and applies appropriate methods to derive meaningful insights. To further enhance his impact, he can focus on communicating his findings more concisely and linking them clearly to outcomes. Overall, his performance is solid and shows good analytical capability.</t>
  </si>
  <si>
    <t>23f1001376@ds.study.iitm.ac.in</t>
  </si>
  <si>
    <t>*Limited understanding of models &amp; core ML concepts.
*Needs strong improvement in fundamentals, confidence, and structured explanation to be industry ready</t>
  </si>
  <si>
    <t>23f2001548@ds.study.iitm.ac.in</t>
  </si>
  <si>
    <t>*Able to explain overall workflow
*Major gaps in core ML fundamentals
*Struggled to derive meaningful insights from graphs and justify decisions</t>
  </si>
  <si>
    <t>22f2001617@ds.study.iitm.ac.in</t>
  </si>
  <si>
    <t>*Many answers were surface level or incorrect.
*Struggled with core concepts like scaling, TF-IDF intuition, VIF meaning, class imbalance handling, regularization, and model working.</t>
  </si>
  <si>
    <t>24f2000062@ds.study.iitm.ac.in</t>
  </si>
  <si>
    <t>*Good practical exposure, has tried multiple models like Logistic Regression, SGD, LightGBM and techniques like TF-IDF including character level.
*Weak fundamentals, struggles with core concepts like scaling formulas, encoding methods, bias variance, regularization, and model internals.
*EDA is superficial, lacks depth in extracting meaningful</t>
  </si>
  <si>
    <t>23f2004563@ds.study.iitm.ac.in</t>
  </si>
  <si>
    <t>*The candidate has basic exposure to machine learning workflows and tools, but lacks strong conceptual clarity and depth. There is a clear gap between implementation familiarity and fundamental understanding.</t>
  </si>
  <si>
    <t>23f2001633@ds.study.iitm.ac.in</t>
  </si>
  <si>
    <t>*Good project flow and use of preprocessing techniques, but explanations lacked depth.
*Weak understanding of core ML concepts like scaling, logistic regression, and encoding
*Needs stronger fundamentals and clearer reasoning behind model and feature choices</t>
  </si>
  <si>
    <t>Need to check as portal on hold</t>
  </si>
  <si>
    <t>* Good practical approach with multiple models and ensembling, but concepts are not deeply understood, especially scaling, TF IDF, and bias variance
* Communication is weak, ideas are there but not expressed clearly or confidently
* Coding needs improvement, too much dependency on hints, basic sklearn workflow should be smooth and independent</t>
  </si>
  <si>
    <t>23f1000129@ds.study.iitm.ac.in</t>
  </si>
  <si>
    <t>* Basic understanding of the problem and some intuition like class imbalance and TF IDF usage, but overall approach lacks depth
* Very weak fundamentals, struggled with scaling, models, bagging vs boosting, and core ML concepts
* Coding skills are poor, unable to perform even simple tasks like loading data and training a basic model independently</t>
  </si>
  <si>
    <t>24f1000556@ds.study.iitm.ac.in</t>
  </si>
  <si>
    <t>overall satisfied with the candidate.</t>
  </si>
  <si>
    <t>23f2005332@ds.study.iitm.ac.in</t>
  </si>
  <si>
    <t>*Candidate had end to end pipeline understanding, from EDA to preprocessing and modeling.
* Completed the coding task.
* Was not able to explain topics like Gini impurity, Information Gain, and some core ML concepts clearly</t>
  </si>
  <si>
    <t>22f1001786@ds.study.iitm.ac.in</t>
  </si>
  <si>
    <t>1.Work on feature enginnering.
2.EDA and visualization is missing work on it.
3.Work on clearing basic concepts.
4.Statistical analysis is missing.</t>
  </si>
  <si>
    <t>23f2005100@ds.study.iitm.ac.in</t>
  </si>
  <si>
    <t>1.Feature engineering column visualization
2.Focus on Statistical analysis 
3.Overall it went well.</t>
  </si>
  <si>
    <t>23f2000499@ds.study.iitm.ac.in</t>
  </si>
  <si>
    <t>1.Work on visualizations.
2.Focus on Statistical analysis 
3.Work on feature engineering.</t>
  </si>
  <si>
    <t>24f3004935@ds.study.iitm.ac.in</t>
  </si>
  <si>
    <t>1.Work on visualizations and EDA.
2.Statistical method needs to be implemented.
3.Multivariate analysis need to be implemented</t>
  </si>
  <si>
    <t>23f3001375@ds.study.iitm.ac.in</t>
  </si>
  <si>
    <t>1.Visualization need to work on.
2.Statistical analysis need to be implemented.
3.Feature engineering needs to  work out.</t>
  </si>
  <si>
    <t>23f2005639@ds.study.iitm.ac.in</t>
  </si>
  <si>
    <t>Add more analysis for the second half of the notebook, tracking the results of experiments and understanding them. Brush up a bit more on general ML theory so that the answers can be a bit more specific.</t>
  </si>
  <si>
    <t>21f3000433@ds.study.iitm.ac.in</t>
  </si>
  <si>
    <t>The notebook is not very structured and the explanation for use of many methods is missing from the notebook. A lot more work can be done towards this project itself.
The student has also struggled with basic ML theory and attempts to answer based on memory rather than understanding. Start by understanding the working of things that have been implemented as a part of the project.</t>
  </si>
  <si>
    <t>23f3001252@ds.study.iitm.ac.in</t>
  </si>
  <si>
    <t>The student has done good EDA but model analysis is missing in the notebook towards the end. The student appears to be facing difficulty in communicating. This could be from a lack of preparation of theory and understanding of models used. It is strongly recommended to understand each method used in detail and also learn it's working.</t>
  </si>
  <si>
    <t>23f1002896@ds.study.iitm.ac.in</t>
  </si>
  <si>
    <t>24f2006005@ds.study.iitm.ac.in</t>
  </si>
  <si>
    <t>23ds3000082@ds.study.iitm.ac.in</t>
  </si>
  <si>
    <t>23f3003974@ds.study.iitm.ac.in</t>
  </si>
  <si>
    <t>The student has done a very good job with EDA and then used the findings in feature engineering. The work is presented very clearly. The student has also answered questions well. 
It would be better if the analysis of results is also showcased in the work to identify &amp; understand the misclassifications. Additionaly, details on some more experiments with HPT can be presented</t>
  </si>
  <si>
    <t>23f2000839@ds.study.iitm.ac.in</t>
  </si>
  <si>
    <t>The student has started off well with the notebook by providing insights regarding the output but it is not present after the initial code snippets. The student is strongly encouraged to be very mindful of what a code snippet does and how the output can be analysed for further decisions. Should also practice understanding code and coming up with solutions.</t>
  </si>
  <si>
    <t>24f1002444@ds.study.iitm.ac.in</t>
  </si>
  <si>
    <t>The application of concepts lacks clarity.
Data preprocessing and feature engineering are not sufficiently justified.</t>
  </si>
  <si>
    <t>23f2000797@ds.study.iitm.ac.in</t>
  </si>
  <si>
    <t>EDA is not sufficiently thorough, and its application lacks depth.
Model building is inefficient, leading to overfitting.
Feature engineering is well done; however, feature selection can be more thoughtful.</t>
  </si>
  <si>
    <t>23f2003771@ds.study.iitm.ac.in</t>
  </si>
  <si>
    <t>EDA is limited and lacks depth.
Feature extraction is well done; however, better pattern identification would help in building a more effective model.</t>
  </si>
  <si>
    <t>24f2006167@ds.study.iitm.ac.in</t>
  </si>
  <si>
    <t>The candidate has performed well and demonstrates a good understanding of the concepts and overall approach.  To further elevate their performance, they should focus on strengthening communication by presenting ideas more clearly and confidently. Additionally, incorporating a deeper level of detail in explanations and analysis will enhance the overall impact. With improved articulation and more comprehensive coverage, their performance can become even stronger.</t>
  </si>
  <si>
    <t>21f1000982@ds.study.iitm.ac.in</t>
  </si>
  <si>
    <t>* Good understanding of NLP workflow, EDA, and model selection, explanations were mostly clear.
* Decent grasp of ML concepts, but gaps in fundamentals like bias variance and deeper intuition.
* Weak in coding execution, struggled with RFE and basic sklearn usage under pressure.</t>
  </si>
  <si>
    <t>23f2005039@ds.study.iitm.ac.in</t>
  </si>
  <si>
    <t>* Basic understanding of workflow and preprocessing, but explanations were often unclear and lacked depth, especially in EDA and insights.
* Significant gaps in core ML fundamentals like logistic regression, sigmoid function, SVM concepts, and regularization intuition.
* Struggled heavily in coding and implementation, required guidance for simple tasks like RFE and dataset handling.</t>
  </si>
  <si>
    <t>23f3003642@ds.study.iitm.ac.in</t>
  </si>
  <si>
    <t>* Basic ML understanding is present, but lacks depth and clarity in explanations.
* Weak fundamentals in key concepts like logistic regression, scaling, and regularization.
* Moderate coding skills, needs support and struggles with confident implementation.</t>
  </si>
  <si>
    <t>24f2005252@ds.study.iitm.ac.in</t>
  </si>
  <si>
    <t>* Basic ML understanding is present, but lacks depth and clarity in explanations.</t>
  </si>
  <si>
    <t>24f2001360@ds.study.iitm.ac.in</t>
  </si>
  <si>
    <t>*Basic ML understanding is present, but lacks depth and clarity in explanations.</t>
  </si>
  <si>
    <t>24f2000604@ds.study.iitm.ac.in</t>
  </si>
  <si>
    <t>24f2004223@ds.study.iitm.ac.in</t>
  </si>
  <si>
    <t>24f1002699@ds.study.iitm.ac.in</t>
  </si>
  <si>
    <t>23f3001092@ds.study.iitm.ac.in</t>
  </si>
  <si>
    <t>1.Multivariate analysis needs to be implemented.
2.Pronunciation and communication need to be improved.
3.Statistical analysis on feature importance need to be implemented.</t>
  </si>
  <si>
    <t>Manojkumar</t>
  </si>
  <si>
    <t>24f1001329@ds.study.iitm.ac.in</t>
  </si>
  <si>
    <t>1.Visualization and EDA missing.
2.No proper feature engineering.
3.Logical flow is missing.
4.Statistical analysis also missing and its incomplete work.
5.Need to work once on this assignment and code needs to be divided in each and every cell.
6.basic concept needs to learn.</t>
  </si>
  <si>
    <t>22f2000902@ds.study.iitm.ac.in</t>
  </si>
  <si>
    <t>1.Multivariate analysis and EDA work on it.
2.statistical analysis is missing.
3.overall it went well</t>
  </si>
  <si>
    <t>https://drive.google.com/file/d/1pce4P_ojedpsX0H8TEty2ZhCKe5-AAIT/view?usp=drive_link</t>
  </si>
  <si>
    <t>24f1000451@ds.study.iitm.ac.in</t>
  </si>
  <si>
    <t xml:space="preserve">1.Multivariate analysis need to be implemented and after feature engineering show visualization and feature importance.
2.statistical analysis you can focus.
</t>
  </si>
  <si>
    <t>24f2002444@ds.study.iitm.ac.in</t>
  </si>
  <si>
    <t xml:space="preserve">1.Visualization and EDA missing.
2.No proper feature engineering.
3.Statistical analysis also missing.
</t>
  </si>
  <si>
    <t>21f3002244@ds.study.iitm.ac.in</t>
  </si>
  <si>
    <t xml:space="preserve">*Very weak understanding of core ML concepts like TF-IDF, scaling, logistic regression, and encoding.
* Could not explain basic EDA insights or interpret graphs and labels.
* Struggled with coding basics and dataset handling even with guidance.
</t>
  </si>
  <si>
    <t xml:space="preserve">
* Good overall structure and confidence, clear explanation of EDA, class imbalance, and preprocessing choices.
* Strong practical understanding of TF-IDF, encoding, and basic ML workflow; coding ability is decent.
*Gaps in deeper concepts like logistic regression intuition, scaling details, and XGBoost vs LGBM architecture.
* struggled in coding task.</t>
  </si>
  <si>
    <t>24f2004956@ds.study.iitm.ac.in</t>
  </si>
  <si>
    <t xml:space="preserve">* The candidate was able to explain most concepts,but explanations lack clarity and depth.
* It would be good if he works on communication.
* Was able to complete the coding task with guidance.
</t>
  </si>
  <si>
    <t>21f3002441@ds.study.iitm.ac.in</t>
  </si>
  <si>
    <t>https://drive.google.com/file/d/1YIcpMLyw6erUI--bax-v_KExD4MKF2jg/view?usp=sharing</t>
  </si>
  <si>
    <t>*Good coverage of EDA and feature observations, but struggled to clearly articulate key insights when asked directly.
*Decent understanding of ML concepts.Answered most of the questions clearly.
*Overall satsified with the performance.</t>
  </si>
  <si>
    <t>23f2005524@ds.study.iitm.ac.in</t>
  </si>
  <si>
    <t>*Decent understanding of EDA and preprocessing
*undamentals are partially correct. Answered most questions, with a few gaps.
*Coding ability is below average.Struggled in coding task</t>
  </si>
  <si>
    <t>23f1001050@ds.study.iitm.ac.in</t>
  </si>
  <si>
    <t xml:space="preserve">*Most of the code appears to be LLM generated.
*Weak understanding of core ML fundamentals.
*Needs to put in significant effort to improve.
*Likely relied on an AI assistant during the viva as well
</t>
  </si>
  <si>
    <t>23f3003877@ds.study.iitm.ac.in</t>
  </si>
  <si>
    <t xml:space="preserve">- His ML basics are mostly clear, except unsupervised ML, he was able to answer most questions.
- Was able to explain Kaggle code well.
</t>
  </si>
  <si>
    <t>23f2002666@ds.study.iitm.ac.in</t>
  </si>
  <si>
    <t>Clarity on key terminologies needs improvement.
Basic analysis has been performed, but lacks depth and advanced insights.</t>
  </si>
  <si>
    <t>23f3003674@ds.study.iitm.ac.in</t>
  </si>
  <si>
    <t>EDA has been performed effectively.
However, key machine learning terminologies are not adequately used or demonstrated.</t>
  </si>
  <si>
    <t>23f1002264@ds.study.iitm.ac.in</t>
  </si>
  <si>
    <t>Feature engineering and EDA have been carried out satisfactorily.
The student demonstrates a good understanding of the analysis.
However, a more thoughtful and detailed approach is needed during model implementation.</t>
  </si>
  <si>
    <t>21f3002035@ds.study.iitm.ac.in</t>
  </si>
  <si>
    <t>Strong points of the candidate - Able to explain the dataset, categorical data handling was sound. Rationalized model selection. 
Weak points of the candidate - Can improve on feature engineering, model parameter understanding, and alternate approaches
Overall suggestions for improvement - Data readiness is as important as model selection, model selection can be improved</t>
  </si>
  <si>
    <t>24f1000806@ds.study.iitm.ac.in</t>
  </si>
  <si>
    <t>Strong points of the candidate - Did a good explanation of the project, strong comprehension and understanding of underlying parameters and concepts. 
Weak points of the candidate - NA
Overall suggestions for improvement - Code Quality can be improved further.</t>
  </si>
  <si>
    <t>21f2000157@ds.study.iitm.ac.in</t>
  </si>
  <si>
    <t>Adithya demonstrates good technical depth, covering a good level of detail in his approach and showcasing a clear understanding of advanced techniques such as LightGBM and XGBoost. His explanations reflect clarity and confidence in handling model related concepts. The use of rich visualizations further strengthens his analysis by highlighting key patterns and insights. To further enhance impact, he can focus on linking these insights more explicitly to outcomes and real world relevance.</t>
  </si>
  <si>
    <t>21f1003539@ds.study.iitm.ac.in</t>
  </si>
  <si>
    <t>Fundmental knowledge of the candidate is weak</t>
  </si>
  <si>
    <t>23f2005072@ds.study.iitm.ac.in</t>
  </si>
  <si>
    <t>23f1000041@ds.study.iitm.ac.in</t>
  </si>
  <si>
    <t>23f3003847@ds.study.iitm.ac.in</t>
  </si>
  <si>
    <t>Good work has been done so far. More time can be spent on analysis of both data and results. Should be thorough with the basics and know the algorithm for the models that have been used. Pratice presenting work in fixed timeframes.</t>
  </si>
  <si>
    <t>21f3000553@ds.study.iitm.ac.in</t>
  </si>
  <si>
    <t>The notebook meets all the minimum requirements. The student can add more explanation to why each code snippet was used and what was learnt from the output. Needs to brush up and be clear on theory for the techniques that have been used.</t>
  </si>
  <si>
    <t>22f3001877@ds.study.iitm.ac.in</t>
  </si>
  <si>
    <t>The student answered the initial questions well but has not spend sufficient time working on the project. The work is currently very minimal and it is important to try out various techniques. This could be relevant visualizations, feature engineering (creation) and analysis of results.</t>
  </si>
  <si>
    <t>22f1000862@ds.study.iitm.ac.in</t>
  </si>
  <si>
    <t>The student has done good work but needs to work on presentation of the notebook. It should be neatly structured and redundant code can be removed. Some more clarity can be built on decision choices like why scale, which plots to use, how to interpret resutls.</t>
  </si>
  <si>
    <t>22f3002842@ds.study.iitm.ac.in</t>
  </si>
  <si>
    <t>- He was able to explain the Kaggle notebook well; was able to answer follow-up questions.
- Good with technical viva
- Was able to do live coding without the help of documentation.</t>
  </si>
  <si>
    <t>23f2004938@ds.study.iitm.ac.in</t>
  </si>
  <si>
    <t>Strong points of the candidate - Able to explain the dataset, did assume certain actions and proceeded. Rationalized model selection
Weak points of the candidate - Can improve on feature engineering, problem to solution Narrative
Overall suggestions for improvement - Focus on relating the data to real world application</t>
  </si>
  <si>
    <t>24f3003244@ds.study.iitm.ac.in</t>
  </si>
  <si>
    <t>Strong points of the candidate - Able to explain the dataset, categorical data handling was sound. Rationalized model selection
Weak points of the candidate - Can improve on feature engineering, problem to solution Narrative
Overall suggestions for improvement - Data readiness is as important as model selection</t>
  </si>
  <si>
    <t>23f1001663@ds.study.iitm.ac.in</t>
  </si>
  <si>
    <t>1.Multivariate analysis needs to be implemented.
2.Correlation and statistics need to be implemented.
3.Hyperparameter tuning is missing.</t>
  </si>
  <si>
    <t>23f1000426@ds.study.iitm.ac.in</t>
  </si>
  <si>
    <t>Candidate has sound knowledge of fundamentals and explained everything very well</t>
  </si>
  <si>
    <t>24f2007655@ds.study.iitm.ac.in</t>
  </si>
  <si>
    <t>23f3004504@ds.study.iitm.ac.in</t>
  </si>
  <si>
    <t>22f2000145@ds.study.iitm.ac.in</t>
  </si>
  <si>
    <t>1.Work on proper visualization and scaling.
2.work on communication and story telling.
3.Basic concepts needs to be cleared.
4.Heatmap and statistical analysis need to be implemented</t>
  </si>
  <si>
    <t>23f1001465@ds.study.iitm.ac.in</t>
  </si>
  <si>
    <t>1.Work on proper visualization and scaling.
2.Overall good and detailed analysis.
3.Work on clearing some basic concepts.</t>
  </si>
  <si>
    <t>24f1001016@ds.study.iitm.ac.in</t>
  </si>
  <si>
    <t>1.Work on communication and story telling.
2.Take action based on the insights of the data and logical flow is missing.
3.work on visualization techniques.
4.Work on multivariate analysis and statistical analysis.
5.Work on basic concepts</t>
  </si>
  <si>
    <t>24f3001062@ds.study.iitm.ac.in</t>
  </si>
  <si>
    <t>1.Work on the EDA which  is missing.
2. Study the basic concepts.
3.Statistics need to be implemented.</t>
  </si>
  <si>
    <t>24f2002015@ds.study.iitm.ac.in</t>
  </si>
  <si>
    <t xml:space="preserve">1.Work on the EDA which  is missing.
2. Study the basic concepts.
3.work on communication. 
4.Work on statistical techniques
</t>
  </si>
  <si>
    <t>21f3002164@ds.study.iitm.ac.in</t>
  </si>
  <si>
    <t>1.Work on visualization technique.
2.Custom feature creation need to be implemented in feature engineering.
3.Statistical technique need to be implemented.
4.Work on clearing basic concept.</t>
  </si>
  <si>
    <t>23f1002405@ds.study.iitm.ac.in</t>
  </si>
  <si>
    <t>The student demonstrates an average level of performance.
Clarity in feature engineering is limited and needs improvement.
Model outputs were not clearly presented or visualized.
Results were mostly explained through comments rather than supported by proper outputs.</t>
  </si>
  <si>
    <t>23f2002036@ds.study.iitm.ac.in</t>
  </si>
  <si>
    <t>The student has performed EDA effectively with good exploration of the dataset.
However, explanations of key terminologies can be more clear and precise.</t>
  </si>
  <si>
    <t>23f3001800@ds.study.iitm.ac.in</t>
  </si>
  <si>
    <t>The student shows limited understanding of basic terminologies.
The overall application of concepts is average, with a lack of clarity in implementation.
Feature engineering needs improvement to make EDA and model building more effective.</t>
  </si>
  <si>
    <t>23f2005661@ds.study.iitm.ac.in</t>
  </si>
  <si>
    <t>The student demonstrates limited clarity in understanding fundamental terminologies.
The application of concepts is average, with noticeable gaps in implementation clarity.
Feature engineering requires improvement to enhance the effectiveness of EDA and model building.</t>
  </si>
  <si>
    <t>21f1004349@ds.study.iitm.ac.in</t>
  </si>
  <si>
    <t>*Struggled with deeper EDA insights, very limited interpretation of visualizations
* Good understanding of project pipeline and strong implementation skills
* Basic concepts are clear, but struggles with deeper insights and reasoning
* Gaps in core ML fundamentals like scaling, cost function, and model theory
* Needs improvement in applying concepts during discussion and problem solving.</t>
  </si>
  <si>
    <t>23f2000134@ds.study.iitm.ac.in</t>
  </si>
  <si>
    <t>*Basic exposure is there, but lacks depth &amp; clarity.
*Needs strong practice in coding and core ML concepts.
*Yet to study topics like ensemble based models.</t>
  </si>
  <si>
    <t>21f3001775@ds.study.iitm.ac.in</t>
  </si>
  <si>
    <t>* Gave decent explanation of most of the concepets that was asked.
*Struggled in live coding task.
*Overall good but he  can work on improving theory gaps &amp; more coding practice is needed.</t>
  </si>
  <si>
    <t>22f1001142@ds.study.iitm.ac.in</t>
  </si>
  <si>
    <t xml:space="preserve">* Gaps in core ML fundamentals such as scaling, loss functions, and model theory.
* Significant scope for improvement in live coding and fundamental understanding.
</t>
  </si>
  <si>
    <t>23f1001421@ds.study.iitm.ac.in</t>
  </si>
  <si>
    <t>Annapoorni shows a solid grasp of the concepts and presents the approach in a clear and organized manner. The rationale behind selecting techniques is explained well, and the visualizations are used effectively to convey important insights. The work reflects a logical and structured thought process. To enhance the overall impact, the candidate can focus on deepening the analysis and more explicitly connecting insights to outcomes. Overall, it is a strong performance demonstrating good analytical skills.</t>
  </si>
  <si>
    <t>24f2000010@ds.study.iitm.ac.in</t>
  </si>
  <si>
    <t>23f3001843@ds.study.iitm.ac.in</t>
  </si>
  <si>
    <t>24f1002255@ds.study.iitm.ac.in</t>
  </si>
  <si>
    <t>22f3002579@ds.study.iitm.ac.in</t>
  </si>
  <si>
    <t>Siddharth has performed well and demonstrates a good understanding of the concepts involved in his work. His approach and execution reflect clarity and capability in handling the problem effectively. To further elevate his performance, he should focus on presenting his ideas with more confidence and clarity during discussions and interviews. Strengthening his delivery, maintaining a steady pace, and articulating key points more assertively will make a noticeable difference.</t>
  </si>
  <si>
    <t>23f2004391@ds.study.iitm.ac.in</t>
  </si>
  <si>
    <t>Varad demonstrates a good understanding of the concepts and has explained his approach clearly. He does a commendable job in detailing his model selection process and presenting visualizations effectively, which adds clarity to his analysis. His work reflects a structured approach and the ability to convey key insights from the data. To further strengthen his performance, he can focus on adding more depth to his analysis and connecting insights more clearly to outcomes. Overall, his performance is solid and shows good analytical capability.</t>
  </si>
  <si>
    <t>21f2000854@ds.study.iitm.ac.in</t>
  </si>
  <si>
    <t>Malvika shows a strong understanding of the concepts and communicates her ideas with clarity. Her approach reflects good comprehension and a thoughtful way of working through problems. To further enhance her impact, she should focus on building more confidence in her presentation and delivering her responses more assertively. A more confident and engaging communication style will make her explanations stand out. With this improvement, her overall performance can become even more impressive.</t>
  </si>
  <si>
    <t>23f1001690@ds.study.iitm.ac.in</t>
  </si>
  <si>
    <t>Mohane Yashwant demonstrates a good level of detail in his work, with a thorough approach to data analysis and thoughtful selection of techniques. His work reflects a clear understanding of the problem and a structured way of approaching it. He effectively explores the data and applies appropriate methods to derive meaningful insights. To further enhance his impact, he can focus on communicating his findings more concisely and linking them clearly to outcomes. Overall, his performance is solid and shows good analytical capability.</t>
  </si>
  <si>
    <t>22f2000974@ds.study.iitm.ac.in</t>
  </si>
  <si>
    <t>Harshitha has good grasp of the concepts and is able to work through the problem with some level of understanding. Her approach indicates familiarity with the basics, but there is room to build greater depth and clarity in execution. Strengthening her analytical thinking and providing more structured, to improve overall effectiveness. From an interview standpoint, focusing on clearer articulation and confidence while presenting ideas will make a positive difference. With continued practice and deeper engagement with the concepts, her performance can steadily improve.</t>
  </si>
  <si>
    <t>24f2002054@ds.study.iitm.ac.in</t>
  </si>
  <si>
    <t>The candidate shows a solid grasp of the concepts and presents the approach in a clear and organized manner. The rationale behind selecting techniques is explained well, and the visualizations are used effectively to convey important insights. The work reflects a logical and structured thought process. To enhance the overall impact, the candidate can focus on deepening the analysis and more explicitly connecting insights to outcomes. Overall, it is a good  performance demonstrating good analytical skills.</t>
  </si>
  <si>
    <t>24ds3000108@ds.study.iitm.ac.in</t>
  </si>
  <si>
    <t>Amritha shows a fair understanding of the concepts and is able to provide detailed explanations once she organizes her thoughts. To further strengthen her performance, she should focus on improving the level of detail in her initial responses, especially by clearly justifying her approach and choices. At times, taking longer pauses before answering can affect the overall flow of the discussion, so practicing quicker structuring of thoughts will be beneficial. From an interview perspective, aiming for more immediate, well structured responses while maintaining clarity and depth will create a stronger impression. With consistent practice, she can enhance both confidence and effectiveness in communication.</t>
  </si>
  <si>
    <t>24f2008128@ds.study.iitm.ac.in</t>
  </si>
  <si>
    <t>Candidate demonstrates a good understanding of the problem and has delivered a well executed solution with clarity in approach. His work reflects a structured way of thinking and the ability to apply concepts effectively. To further enhance his performance, he should focus on strengthening the explanation of his decision-making process and clearly linking his work to measurable outcomes or impact. From an interview perspective, presenting ideas more concisely and confidently, while maintaining a logical flow, will create a stronger impression. With continued practice in articulation and real-world application, his overall effectiveness will improve further</t>
  </si>
  <si>
    <t>23f2002790@ds.study.iitm.ac.in</t>
  </si>
  <si>
    <t>Sinchana demonstrates strong proficiency in data preprocessing and feature engineering, with a clear and thoughtful approach to handling the dataset. The use of rich visualizations effectively enhances understanding and showcases key insights in a compelling manner. She exhibits a solid grasp of both the data and underlying concepts, reflecting analytical depth and attention to detail. To further elevate her impact, she can focus on articulating the narrative behind her analysis more succinctly, especially linking insights to practical outcomes. With continued emphasis on structured communication, her overall performance will become even more impactful</t>
  </si>
  <si>
    <t>22f3002500@ds.study.iitm.ac.in</t>
  </si>
  <si>
    <t>Arya demonstrates a clear understanding of the concepts and is able to explain ideas with good clarity. Her approach reflects a solid grasp of the subject and thoughtful execution. To further enhance her overall impact, she should focus on presenting her ideas with more confidence and assertiveness. Strengthening her delivery and maintaining a steady, engaging communication style will make her responses more impactful. With improved confidence in presentation, she can elevate her performance significantly.</t>
  </si>
  <si>
    <t>23f3001987@ds.study.iitm.ac.in</t>
  </si>
  <si>
    <t>The candidate demonstrates a good understanding of core concepts and has effectively applied models such as LightGBM in the project. To further enhance impact, he should focus on clearly explaining why LightGBM was selected over other models and how the approach contributes to meaningful insights. Greater emphasis on connecting the model output to real world or business relevance would strengthen the project narrative. From an interview perspective, presenting the workflow in a structured manner and confidently justifying model choices will further improve overall performance</t>
  </si>
  <si>
    <t>24f1001342@ds.study.iitm.ac.in</t>
  </si>
  <si>
    <t>The candidate exhibits a solid grasp of fundamental concepts and has implemented effective ways for sentiment analysis using word count features. The project reflects a good understanding of feature engineering and model application; however, there is scope to deepen the technical narrative by discussing aspects such as feature selection techniques, handling class imbalance, hyperparameter tuning, and evaluation metrics beyond accuracy. It would be beneficial to clearly articulate why best model was preferred over alternative algorithms and how it improves performance or efficiency in this context. Additionally, incorporating insights on model interpretability and limitations of the approach would strengthen the analysis.</t>
  </si>
  <si>
    <t>23f2004224@ds.study.iitm.ac.in</t>
  </si>
  <si>
    <t>The candidate demonstrated a good understanding of core concepts, and possesses a clear way of explaining technical details. To enhance professional impact, the focus should shift to refining strategic communication and narrative structure, ensuring project defenses clearly articulate the value chain. This involves going beyond how the model works to emphasizing why specific methods were chosen and the measurable business outcome. I strongly advise applying this refined theoretical and methodological learning directly to current work projects, translating knowledge into actionable insights.</t>
  </si>
  <si>
    <t>23f3001763@ds.study.iitm.ac.in</t>
  </si>
  <si>
    <t>Parvathy demonstrates a strong understanding of core concepts and explains technical details clearly. To enhance professional impact, they should focus on structuring responses more strategically, clearly articulating the “why” behind chosen approaches and the resulting business value. Emphasis should be placed on linking technical work to measurable outcomes and real world impact. From an interview standpoint, using structured frameworks , starting with a concise summary, and communicating in simple, business friendly language will improve clarity. Additionally, confidently justifying decisions and highlighting key achievements will further strengthen overall performance</t>
  </si>
  <si>
    <t>24f2006225@ds.study.iitm.ac.in</t>
  </si>
  <si>
    <t>Riya demonstrates a strong understanding of core concepts and has effectively applied an AdaBoost based approach in her project, achieving good performance. The implementation reflects clarity in model usage and grasp of the problem. To further strengthen the technical depth, she could elaborate on aspects such as evaluation metrics beyond accuracy to provide a more comprehensive view of model performance. It would also be valuable to clearly explain why AdaBoost was chosen over other algorithms and how it contributes to improved results in this context. From an interview perspective, presenting the solution in a structured manner and confidently articulating design choices and trade offs will enhance her overall impact</t>
  </si>
  <si>
    <t>22f3002987@ds.study.iitm.ac.in</t>
  </si>
  <si>
    <t>Yuvaraj has performed well and demonstrates a good understanding of the concepts involved in his work. His approach and execution reflect clarity and capability in handling the problem effectively. To further elevate his performance, he should focus on presenting his ideas with more confidence and clarity during discussions and interviews. Strengthening his delivery, maintaining a steady pace, and articulating key points more assertively will enhance more</t>
  </si>
  <si>
    <t>22f2000500@ds.study.iitm.ac.in</t>
  </si>
  <si>
    <t>Manu Bajpai demonstrates a good understanding of the problem and has delivered a good executed solution with clarity in approach. His work reflects a structured way of thinking and the ability to apply concepts effectively. To further enhance his performance, he should focus on strengthening the explanation of his decision making process and clearly linking his work to measurable outcomes or impact. From an interview perspective, presenting ideas more concisely and confidently, while maintaining a logical flow, will create a stronger impression. With continued practice in articulation and real world application, his overall effectiveness will improve further</t>
  </si>
  <si>
    <t>23f2001838@ds.study.iitm.ac.in</t>
  </si>
  <si>
    <t xml:space="preserve">1.Work on Feature engineering and EDA.
2.Statistical analysis need to be implemented.
3.Story telling and presentation need to be worked out.
4.Work on clearing basic concepts
</t>
  </si>
  <si>
    <t>24ds3000094@ds.study.iitm.ac.in</t>
  </si>
  <si>
    <t xml:space="preserve">1.Work on proper visualization and scaling.
2.Presentation and story telling need to improved.
3.Use statistical method 
</t>
  </si>
  <si>
    <t>23f1001348@ds.study.iitm.ac.in</t>
  </si>
  <si>
    <t>* Explained the work well, but should focus more on deeper insights and reasoning behind the choices.
* Need to work on conceptual clarity.
* Would be good if you do more coding practice.</t>
  </si>
  <si>
    <t>23f3004186@ds.study.iitm.ac.in</t>
  </si>
  <si>
    <t>*Visuals are relevant but mostly standard and limited in depth
*Structure is okay but could improve with better comments and organization.
*There is scope to improve conceptual clarity and reasoning behind decisions
* Need to work on coding skill.</t>
  </si>
  <si>
    <t>24f1000348@ds.study.iitm.ac.in</t>
  </si>
  <si>
    <t xml:space="preserve">*Basic exposure is there, but lacks depth &amp; clarity.
*Needs strong practice in coding and core ML concepts.
</t>
  </si>
  <si>
    <t>21f2000753@ds.study.iitm.ac.in</t>
  </si>
  <si>
    <t>- An average student
- Not good with fundamentals
- The Kaggle code seemingly was written using help from external sources, some aspects of the code were not satisfactorily explained
- Was not clear with ensemble learning
- Could not say a word about gradient descent.
- Completely incorrect answer for unsupervised ML 
- Not ready for any ML interview unless she clears her basics</t>
  </si>
  <si>
    <t>24f2000828@ds.study.iitm.ac.in</t>
  </si>
  <si>
    <t>- Not good with even the basic questions on ML techniques
- Was not very happy with the way he explained his Kaggle notebook also
- Was not clear with unsupervised ML
- Mentioned KNN to be unsupervised
- Could not answer well on regularization
- In live coding, he was struggling to fix errors.</t>
  </si>
  <si>
    <t>22f3000313@ds.study.iitm.ac.in</t>
  </si>
  <si>
    <t>- Explained Kaggle notebook decently, however, the viva was not satsifactory
- Was mixing things while answering technical questions. Seems to have only surface level knowledge of ML Techniques
- Not great during live code</t>
  </si>
  <si>
    <t>24f1001431@ds.study.iitm.ac.in</t>
  </si>
  <si>
    <t>Multiple models were explored, but with limited understanding of their underlying techniques.
Feature engineering needs to be more meaningful and aligned with the problem context.
Greater focus is required on identifying patterns in the data to support better model selection and building</t>
  </si>
  <si>
    <t>23f1000029@ds.study.iitm.ac.in</t>
  </si>
  <si>
    <t>Data preprocessing and handling can be more focused to improve overall results.
The student has provided satisfactory justification for the feature engineering performed; however, some additional aspects could be explored for better pattern recognition.
Techniques such as dimensionality reduction and cross-validation should be considered to enhance model performance and robustness.</t>
  </si>
  <si>
    <t>23f3004446@ds.study.iitm.ac.in</t>
  </si>
  <si>
    <t>Good clarity on the model building and implementation of the models. 
Can focus more on terminologies. 
Greater focus is required on identifying patterns in the data to support better model selection and building</t>
  </si>
  <si>
    <t>24f2006126@ds.study.iitm.ac.in</t>
  </si>
  <si>
    <t>Bhaskar need to improve a lot on his communication skill and represent the work more with data insights, in some cases he missed the reasoning about machine learning model selection and demonstration</t>
  </si>
  <si>
    <t>21f3000581@ds.study.iitm.ac.in</t>
  </si>
  <si>
    <t>Need to improve the data representation of machine learning workflow results.. also need to practise important libraries like pandas, numpy, matplot</t>
  </si>
  <si>
    <t>24f3004473@ds.study.iitm.ac.in</t>
  </si>
  <si>
    <t>23f3002311@ds.study.iitm.ac.in</t>
  </si>
  <si>
    <t>candidate has sound knowledge of fundamentals</t>
  </si>
  <si>
    <t>Explained the project clearly</t>
  </si>
  <si>
    <t>23f1001029@ds.study.iitm.ac.in</t>
  </si>
  <si>
    <t>24f2006816@ds.study.iitm.ac.in</t>
  </si>
  <si>
    <t>Candidate needs to brush up the fundamentals a little</t>
  </si>
  <si>
    <t>23f2003717@ds.study.iitm.ac.in</t>
  </si>
  <si>
    <t>The student has good commmunication skills and have conviction on the model he has built and interprets the results in a professional way as well. He must improve his python coding and basic model buliding skill to do a model building activlty from scratch generating a dataset and then building a model and make adjust some parameters</t>
  </si>
  <si>
    <t>22f3001688@ds.study.iitm.ac.in</t>
  </si>
  <si>
    <t>21f1000837@ds.study.iitm.ac.in</t>
  </si>
  <si>
    <t>He should focus on improving his understanding of machine learning fundamentals. Reading more books and articles would help him further develop and refine his skills.</t>
  </si>
  <si>
    <t>25ds1000231@ds.study.iitm.ac.in</t>
  </si>
  <si>
    <t>Validation set never created - missing 
No hyper parameter tuning
EDA can be improved - EDA performed without objective/end goal
Theoretical understanding of models - need to be worked on 
Used test set as validation set  - not ideal
Python handson needs major improvements</t>
  </si>
  <si>
    <t>23f3002156@ds.study.iitm.ac.in</t>
  </si>
  <si>
    <t xml:space="preserve">1.Work on basic concepts.
2.Statistical analysis need to be implemented.
3.Multivariate analysis study need to explored.
</t>
  </si>
  <si>
    <t>23f2001705@ds.study.iitm.ac.in</t>
  </si>
  <si>
    <t xml:space="preserve">1.Work on EDA.
2.Statistical analysis need to be implemented.
3.Multivariate analysis study need to explored.
4.Find the relation with target variable.
</t>
  </si>
  <si>
    <t>23f2004793@ds.study.iitm.ac.in</t>
  </si>
  <si>
    <t xml:space="preserve">1.Work on Feature engineering and EDA.
2.Statistical analysis need to be implemented.
3.Multivariate analysis study need to explored.
</t>
  </si>
  <si>
    <t>23f3000705@ds.study.iitm.ac.in</t>
  </si>
  <si>
    <t>Overall Performance: 
The student has good technical knowledge and understanding of core concepts. However, the practical application of these concepts needs improvement.
Areas of Improvement: 
- Improve missing value imputation and data preprocessing.
- Explore feature engineering (e.g., sentiment score analysis).
- Focus on hyperparameter tuning and data balancing.
Use evaluation metrics beyond accuracy (precision, recall, F1).
- Validate model generalization on unseen data.
Suggestions for Industry Readiness: 
- Develop a deeper understanding of the dataset and individual features.
- Perform more thorough EDA to identify patterns and insights.
- Apply feature engineering aligned with the business problem.</t>
  </si>
  <si>
    <t>24f2002568@ds.study.iitm.ac.in</t>
  </si>
  <si>
    <t>Logical knowledge is a little weak</t>
  </si>
  <si>
    <t>23f3004301@ds.study.iitm.ac.in</t>
  </si>
  <si>
    <t>22f3002004@ds.study.iitm.ac.in</t>
  </si>
  <si>
    <t>22f3001062@ds.study.iitm.ac.in</t>
  </si>
  <si>
    <t>23f1001445@ds.study.iitm.ac.in</t>
  </si>
  <si>
    <t>23f3000120@ds.study.iitm.ac.in</t>
  </si>
  <si>
    <t>21f3002428@ds.study.iitm.ac.in</t>
  </si>
  <si>
    <t>23f2001844@ds.study.iitm.ac.in</t>
  </si>
  <si>
    <t>She has a good understanding of machine learning fundamentals and did a nice job with data preprocessing and model training. She can further improve her data science skills by reading more articles and also work on her communication to present ideas more clearly.</t>
  </si>
  <si>
    <t>23f3000822@ds.study.iitm.ac.in</t>
  </si>
  <si>
    <t xml:space="preserve">----23f3000822 vedant patel
Good Job on explaining the concepts and the code.Explore more on advance tool.. Overall Good </t>
  </si>
  <si>
    <t>24f2008708@ds.study.iitm.ac.in</t>
  </si>
  <si>
    <t>----23f3000822 Harshit Abbi
Explained  the code effectively with good clarity
Explore advanced analytics for industry readiness 
Overall Good</t>
  </si>
  <si>
    <t>23f2001126@ds.study.iitm.ac.in</t>
  </si>
  <si>
    <t>Anshuman has good potential to excel in the field of data science. We the right job, he can sharpen his skills and gain practical insights in the subject</t>
  </si>
  <si>
    <t>21f2000792@ds.study.iitm.ac.in</t>
  </si>
  <si>
    <t>Harsh has good conceptual understand but has to work on the basic python programming and build simple models from scratch</t>
  </si>
  <si>
    <t>24f2000681@ds.study.iitm.ac.in</t>
  </si>
  <si>
    <t>---KAUSHAL VAID
Good work on feature engineering, and the code was explained well. Can further enhance impact by exploring current industry trends. Overall good.</t>
  </si>
  <si>
    <t>24f1000784@ds.study.iitm.ac.in</t>
  </si>
  <si>
    <t>---Parthvi Manoj
Clear explanation. Moving forward, focusing more on core NLP concepts will help round out your expertise. Good job overall</t>
  </si>
  <si>
    <t>21f1006266@ds.study.iitm.ac.in</t>
  </si>
  <si>
    <t>Knowledge is fine but wasn't able to clearly explain the problem statement</t>
  </si>
  <si>
    <t>24f2007157@ds.study.iitm.ac.in</t>
  </si>
  <si>
    <t>* EDA was basic, some plots were standard, adding deeper insights and more advanced visualizations would strengthen it
* Code was clear, readable, and logically structured
* He was able to explain most concepts well, struggled with a few questions but overall understanding is good</t>
  </si>
  <si>
    <t>25ds1000058@ds.study.iitm.ac.in</t>
  </si>
  <si>
    <t>* Covers basic EDA like distributions and feature analysis
*Limited depth in insights and interpretation
*Code is readable and follows a logical flow
*Explained  most of the questions correctly.</t>
  </si>
  <si>
    <t>24f1001849@ds.study.iitm.ac.in</t>
  </si>
  <si>
    <t>- Above average
- Was able to explain the Kaggle notebook clearly, was able to answer most question from Kaggle notebook
- Was good in live coding also
- During viva, however, I would say soem 60% ques he could answer. For example, could not answer about unsupervised learning, a some ques on SVM
- Would be good to revise fundamentals</t>
  </si>
  <si>
    <t>Marks</t>
  </si>
  <si>
    <t>21f3002278@ds.study.iitm.ac.in</t>
  </si>
  <si>
    <t xml:space="preserve">The student was unable to explain any part of the NPPE1 and NPPE2 notebooks and could not answer any questions. The student needs to revisit and repeat the entire course to build a solid understanding.
</t>
  </si>
  <si>
    <t>21f1004172@ds.study.iitm.ac.in</t>
  </si>
  <si>
    <t>The student did not participate in the NPPE 1 and NPPE 2 challenges, and therefore this component of the viva could not be evaluated. During the general Q&amp;A on deep learning fundamentals in NLP and vision, the student was able to respond to basic questions; however, this often required significant prompting and cues, indicating limited conceptual clarity and recall.
The student was unable to effectively address moderately complex questions, which suggests gaps in depth of understanding and application. Additionally, the student acknowledged a lack of familiarity with speech processing fundamentals, and as a result, this area could not be assessed during the viva. Overall, the performance indicates a need for more consistent engagement and stronger foundational preparation across all core areas.</t>
  </si>
  <si>
    <t>The presentation of the NPPE notebooks lacked clarity, making it difficult to follow the approach and reasoning. It became evident that the student was underprepared, with gaps in basic understanding of Hugging Face workflows and general deep learning concepts. Many responses were poorly articulated, and explanations often lacked structure and precision.
During the Q&amp;A, the student at times struggled to comprehend the questions and provided answers that were out of context. Overall, there were significant gaps across NLP, speech, and vision domains, indicating insufficient conceptual grounding and preparation. The performance was well below the expected level for this stage of the course and requires substantial improvement across all areas.</t>
  </si>
  <si>
    <t>23f1002687@ds.study.iitm.ac.in</t>
  </si>
  <si>
    <t>Cant able to explain things . Basics are also not clear , dont know what is parameters . Need to work a lot .</t>
  </si>
  <si>
    <t>21f1005544@ds.study.iitm.ac.in</t>
  </si>
  <si>
    <t>The student was unable to explain the NPPE1 and NPPE2 notebooks and could only answer a few basic questions. The student needs to thoroughly review and build understanding across all three components of the course: text, speech, and image.</t>
  </si>
  <si>
    <t>21f2001271@ds.study.iitm.ac.in</t>
  </si>
  <si>
    <t>The presentation of the NPPE notebooks was rushed and lacked clarity, making it difficult to follow the approach and reasoning. It became evident that the student was underprepared, with gaps in basic understanding of Hugging Face workflows and general deep learning concepts. Many responses were poorly articulated, and explanations often lacked structure and precision.
During the Q&amp;A, the student at times struggled to comprehend the questions and provided answers that were out of context. Overall, there were significant gaps across NLP, speech, and vision domains, indicating insufficient conceptual grounding and preparation. The performance was well below the expected level for this stage of the course and requires substantial improvement across all areas.</t>
  </si>
  <si>
    <t>22f1001274@ds.study.iitm.ac.in</t>
  </si>
  <si>
    <t>The student presented the NPPE 1 notebook reasonably well; however, it had been submitted after the deadline and therefore did not receive a score. Despite this, the notebook was reviewed during the viva to provide the student an opportunity to demonstrate their understanding. The NPPE 2 notebook was not submitted, and consequently does not merit any score.
During the Q&amp;A, the student was unable to respond with the expected depth of understanding, and many answers were superficial. There were noticeable gaps in speech and vision fundamentals, and even responses to basic questions required significant prompting and cues. Overall, the performance indicates limited conceptual clarity and insufficient preparation across key areas.</t>
  </si>
  <si>
    <t>The student presented overly complex notebooks for NPPE 1 and NPPE 2, which appeared to be LLM-generated. This made it difficult for the student to clearly explain the implementation and equally challenging for reviewers to follow and assess the work. The situation pointed to a lack of ownership and insufficient understanding of the code and underlying concepts.
Overall, there were significant gaps across NLP, speech, and vision domains, indicating weak conceptual grounding and inadequate preparation. The student needs to focus on building a clearer understanding of core principles and ensure they can confidently explain and justify their own implementation choices.</t>
  </si>
  <si>
    <t>21f2001185@ds.study.iitm.ac.in</t>
  </si>
  <si>
    <t>Gave a walkthrough of NPPEs asked him some questions on the code later but he said he did not understand he just took online documentation and copied code, could not answer most of the questions asked across all 3 modules. Needs to revise and study DLP once again and understand the topics deeply.</t>
  </si>
  <si>
    <t>21f3002319@ds.study.iitm.ac.in</t>
  </si>
  <si>
    <t>The student presented the NPPE 1 and NPPE 2 notebooks with limited clarity and depth, making it difficult to follow the reasoning behind their approach. During the discussion, frequent prompting was required to elicit relevant responses, indicating challenges with recall and articulation of key concepts. The student was also noticeably slow to respond at times, which further affected the flow of the interaction.
During the Q&amp;A, the student lacked clarity in answering questions across NLP, speech, and vision, suggesting gaps in both preparation and conceptual understanding. Overall, the performance indicates a need for stronger preparation, improved responsiveness, and better command over fundamental concepts across domains.</t>
  </si>
  <si>
    <t>21f1004379@ds.study.iitm.ac.in</t>
  </si>
  <si>
    <t>could not explain certain codes he has coded in his NPPE notebooks, was bad across all modules, needs to revise hard before showing up for viva</t>
  </si>
  <si>
    <t>explained whatever he has coded in NPPE notebooks but needs to work on his communication skills. cannot answer how LoRa works, what is positional encoding. can answer only on surface level cannot go deeper than that, needs to revise more on all 3 modules. could not explain ASR pipeline, TTS pipeline. could not answer any questions from image module.</t>
  </si>
  <si>
    <t>21f3001428@ds.study.iitm.ac.in</t>
  </si>
  <si>
    <t>The NPPE 1 notebook was submitted after the deadline, and the NPPE 2 notebook did not meet the minimum threshold requirement. The presentation of both notebooks was superficial, with limited depth in explanations and in responses to questions or clarifications. The student appeared underprepared for the viva, which was reflected in their overall performance.
During the Q&amp;A, the student struggled to respond effectively to several questions, including those of a basic and conceptual nature. There was a noticeable lack of clarity in responses across NLP, speech, and vision domains, indicating gaps in both preparation and conceptual understanding. Overall, the performance highlights the need for stronger preparation, improved responsiveness, and a more solid grasp of fundamental concepts across all areas.</t>
  </si>
  <si>
    <t>NOTEBOOKS: NPPE 1 not submitted, NPPE 2 - had difficulty in explaining
TEXT: below avg, need to go through theory
AUDIO:  below avg, need to go through theory
IMAGE:  below avg, need to go through theory
CODING:  not at all tried
Candidate was not prepared, and had difficulty in explaining basics, and did not even try coding part. Needs to be serious for such viva voce and prepare well.</t>
  </si>
  <si>
    <t>gave walkthrough for NPPE 1 and NPPE 2. Could not answer most questions like LoRa, quantization, hyper params in training arguments, TTS pipeline, CTC Loss. was completely not prepared for image module. needs to revise concepts again to deeply understand them</t>
  </si>
  <si>
    <t>"The student presented the NPPE 1 and NPPE 2 notebooks with limited clarity and depth, making it difficult to follow the reasoning behind their approach. During the discussion, frequent prompting was required to elicit relevant responses, indicating challenges with recall and articulation of key concepts. The student was also noticeably slow to respond at times, which further affected the flow of the interaction.
During the Q&amp;A, the student lacked clarity in answering questions across NLP, speech, and vision, suggesting gaps in both preparation and conceptual understanding. Overall, the performance indicates a need for stronger preparation, improved responsiveness, and better command over fundamental concepts across domains."</t>
  </si>
  <si>
    <t>22f3003228@ds.study.iitm.ac.in</t>
  </si>
  <si>
    <t>23f1001753@ds.study.iitm.ac.in</t>
  </si>
  <si>
    <t>was not able to answer BPE, instruction tuning/preference tuning, Speaker Diarization pipeline, ASR pipeline, AlexNet, VGGNet etc. was completely unprepared for week 9 and week 10</t>
  </si>
  <si>
    <t>The student presented the NPPE 1 and NPPE 2 notebooks in a superficial and casual manner, with limited clarity and depth in the explanations. During the discussion, frequent prompting was required to elicit relevant responses, indicating difficulty in recall and articulation of key concepts.
While the student demonstrated a basic understanding of Hugging Face workflows and core deep learning principles, the practical implementation was lacking, possibly due to limited hands-on experience or insufficient attention to detail. This restricted the ability to explore their understanding in greater depth during the viva.
Overall, there is considerable scope for improvement across NLP, speech, and vision domains, particularly in strengthening practical application and developing the ability to clearly and confidently explain their work.</t>
  </si>
  <si>
    <t>21f2000041@ds.study.iitm.ac.in</t>
  </si>
  <si>
    <t>The student need to work on all the three components . Knows a very few things and that to not in details , just a gist of that . Need to work hard on the basics more.</t>
  </si>
  <si>
    <t>22f3001202@ds.study.iitm.ac.in</t>
  </si>
  <si>
    <t>had good understanding of coding hes done but needs to revise all concepts across all modules</t>
  </si>
  <si>
    <t>21f2000795@ds.study.iitm.ac.in</t>
  </si>
  <si>
    <t>The student presented the notebooks reasonably well; however, they struggled to respond with clarity during the Q&amp;A on related topics. The discussion could not progress beyond basic deep learning fundamentals, as the student was unable to provide in-depth explanations or articulate their understanding effectively. While NLP fundamentals were demonstrated to a reasonable extent, the student showed weaker understanding in speech and vision domains, indicating a need for stronger conceptual grounding and improved ability to express technical ideas clearly.</t>
  </si>
  <si>
    <t>23f1003171@ds.study.iitm.ac.in</t>
  </si>
  <si>
    <t>21f3003204@ds.study.iitm.ac.in</t>
  </si>
  <si>
    <t>not submitted NPPE 1. could not answer what evaluation metric she used in NPPE 2 but has coded it. could not answer questions around ASR pipeline, Speaker Diarization, TTS, Quantization, Whisper Model Architecture, IoU, some Object Detection concepts. Needs to revise more</t>
  </si>
  <si>
    <t xml:space="preserve">gave code by code walkthrough of NPPEs she has coded.
was not able to answer special tokens in BERT tokenizer, mathematically how LoRa works, TTS pipeline/vocoders, could not answer why CNNs are used for images, parameter sharing, AlexNet vs VGGNet, how YOLO works. </t>
  </si>
  <si>
    <t>can explain well with respect to whatever he has coded, was good with text module of the syllabus but was not able to answer most of the questions in audio module and no questions from image module.</t>
  </si>
  <si>
    <t>23f1002315@ds.study.iitm.ac.in</t>
  </si>
  <si>
    <t>The student has a basic understanding of all components but was unable to explain the NPPE1 notebook, as it was not available, and have used external data (strictly prohibited) for training. The student also did not submit or run the NPPE2 notebook in Kaggle.</t>
  </si>
  <si>
    <t>22f2001483@ds.study.iitm.ac.in</t>
  </si>
  <si>
    <t>22f1000386@ds.study.iitm.ac.in</t>
  </si>
  <si>
    <t>22f3000398@ds.study.iitm.ac.in</t>
  </si>
  <si>
    <t>was able to explain all the code he has coded for NPPE 1 correctly 15 but notebook had some errors, not submitted NPPE 2, was able to answer most questions from text and speech module correctly, did not prepare for image module/week 9 and week 10</t>
  </si>
  <si>
    <t>22f2001011@ds.study.iitm.ac.in</t>
  </si>
  <si>
    <t>The NPPE 1 and NPPE 2 notebooks were presented reasonably well, and the student was able to address gaps and respond to related questions with reasonable clarity. 
During the Q&amp;A, the student handled basic and conceptual questions well but struggled with moderately complex questions, indicating limitations in deeper understanding. The student’s grasp of speech and vision fundamentals was relatively weak, with the vision domain showing more significant gaps. Overall, while the presentation and basic understanding were adequate, there is a clear need for stronger conceptual depth and better adherence to implementation requirements, particularly in speech and computer vision.</t>
  </si>
  <si>
    <t>22f1001680@ds.study.iitm.ac.in</t>
  </si>
  <si>
    <t>The NPPE 1 and NPPE 2 notebooks were presented clearly and with adequate detail, reflecting solid preparation. The student was able to address queries and provide clarifications where required. During the Q&amp;A, they demonstrated an average understanding of basic to moderately complex concepts in Hugging Face and deep learning, indicating scope for deeper conceptual development.
The student’s grasp of speech and vision fundamentals could be stronger, with more noticeable gaps in the vision domain. Overall, while the presentation and baseline understanding were satisfactory, there is a clear need to build greater conceptual depth and strengthen implementation rigor, particularly in speech and computer vision.</t>
  </si>
  <si>
    <t>23f3001764@ds.study.iitm.ac.in</t>
  </si>
  <si>
    <t>22f1000339@ds.study.iitm.ac.in</t>
  </si>
  <si>
    <t>The student was able to explain the NPPE 1 and NPPE 2 notebooks reasonably well and demonstrated a good understanding of the problem statement, requirements, and overall challenge objectives. Their grasp of NLP fundamentals was solid, and they were able to respond to related questions with clarity.
However, in the speech processing component, the implementation was carried out without training a dedicated model, which contributed to a lower performance score. While the basic approach was understood, there is scope for strengthening both conceptual depth and practical application in this area.
The vision component requires significant improvement. The student was not able to clearly explain how images are processed within deep neural networks and could not recall key architectures that have performed well on benchmarks such as the ImageNet challenge. Overall, while the student shows a good foundation in NLP, further effort is needed to build stronger understanding and competence in speech and computer vision domains.</t>
  </si>
  <si>
    <t>23f1002684@ds.study.iitm.ac.in</t>
  </si>
  <si>
    <t>21f1004275@ds.study.iitm.ac.in</t>
  </si>
  <si>
    <t>The NPPE 1 and NPPE 2 notebooks were presented clearly, and the student was able to address gaps and respond to related questions with reasonable clarity. However, in the speech component, the model was not fine-tuned using the provided training dataset. Instead, a pre-trained Whisper model was used directly in the inference pipeline, which does not align with the stated requirements of the task.
During the Q&amp;A, the student handled basic and conceptual questions well but struggled with moderately complex questions, indicating limitations in deeper understanding. The student’s grasp of speech and vision fundamentals was relatively weak, with the vision domain showing more significant gaps. Overall, while the presentation and basic understanding were adequate, there is a clear need for stronger conceptual depth and better adherence to implementation requirements, particularly in speech and computer vision.</t>
  </si>
  <si>
    <t>For the text student have a very basic knowledge of thing , for the speech not that much and basics are also not of that level. For the vision know a few thing and a basic understanding was their , know what is yolo and its working . Need to work a lot .The student need to work on communication and presentation part.</t>
  </si>
  <si>
    <t>21f1003192@ds.study.iitm.ac.in</t>
  </si>
  <si>
    <t>gave a good walkthrough of what he has coded in NPPEs, was able to explain the code. took some help to reach the correct answers for some questions. had good intuitive thinking and good communication skills to articulate his answers. but needs to revise and strengthen his concepts in both audio and image module. has not prepared for image module at all, was not able to answer any questions.</t>
  </si>
  <si>
    <t>had good communication skills, gave a good walkthrough of what he has coded but needs to revise a lot of concepts in and around speech and image module. could not explain speaker diarization pipeline, ASR pipeline accurately, was completely not prepared for image module. some answers around instruction tuning and preference tuning were not clear.</t>
  </si>
  <si>
    <t>21f1006140@ds.study.iitm.ac.in</t>
  </si>
  <si>
    <t>The NPPE 1 and NPPE 2 notebooks were presented well, with adequate detail and a clear structure. The student was able to address queries and provide clarifications where required. During the Q&amp;A, they demonstrated a good understanding of basic concepts in Hugging Face and deep learning, but faced difficulty when responding to moderately complex questions, indicating room for deeper conceptual development.
In the speech challenge, the student did not meet the minimum scoring threshold and therefore could not be awarded marks. However, the notebook itself was well organized, with appropriate data preprocessing steps and a coherent training workflow. Overall, while the effort and structure are commendable, there remains significant scope for strengthening conceptual depth to perform consistently well across all components of the course.</t>
  </si>
  <si>
    <t>The NPPE 1 and NPPE 2 notebooks were presented well, with adequate detail and a clear structure. The student was able to address queries and provide clarifications where required. During the Q&amp;A, they demonstrated a good understanding of basic concepts in Hugging Face and deep learning, but faced difficulty when responding to moderately complex questions, indicating room for deeper conceptual development.
Overall, while the effort and structure are commendable, there remains significant scope for strengthening conceptual depth to perform consistently well across all components of the course.</t>
  </si>
  <si>
    <t>22f3002293@ds.study.iitm.ac.in</t>
  </si>
  <si>
    <t>The student needs to explore all three components, text, speech, and image, in greater depth to build a more comprehensive understanding.</t>
  </si>
  <si>
    <t>NOTEBOOKS: fair enough
TEXT: avg explanation, not well prepared
AUDIO: below avg, needs theory revision
IMAGE: needs theory revision, could not answer
CODING: not at all upto degree level mark.
In general candidate felt unserious and under prepared.</t>
  </si>
  <si>
    <t>22f1001390@ds.study.iitm.ac.in</t>
  </si>
  <si>
    <t>The student has a very basic understanding of all the components and needs greater clarity across all areas. The student did not submit NPPE1, and the marks were assigned based on the student’s demonstrated knowledge.</t>
  </si>
  <si>
    <t>22f2000703@ds.study.iitm.ac.in</t>
  </si>
  <si>
    <t>The student has a basic understanding of the text and speech components but needs to cover the entire image component and clarify concepts such as tokenization, TTS, CLM, MLM etc.</t>
  </si>
  <si>
    <t>was able to explain each line of the code he has written.
has good understanding of concepts, was able to answer all text module questions
needs to revise concepts in speech module and image module, could not answer what CTC Loss is, could not talk about ASR/TTS pipelines, AlexNet, VGGNet, Resnet
needs to work on his communication skills a little bit to articulate answers even more confidently</t>
  </si>
  <si>
    <t>gave a line by line walkthrough of what he has coded. answered questions from text module but could not answer many questions from speech or image module like TTS pipeline, ASR pipeline, YOLO, Faster RCNN etc. needs to revise more on concepts from week 5</t>
  </si>
  <si>
    <t>The student explain the notebook and know things but not in very depth . Need to focous more on the basics</t>
  </si>
  <si>
    <t>22f2000629@ds.study.iitm.ac.in</t>
  </si>
  <si>
    <t>The student has a very basic understanding of all the components, and it is strongly recommended to explore each of them in greater depth. The student also needs to improve communication skills.</t>
  </si>
  <si>
    <t>21f2001128@ds.study.iitm.ac.in</t>
  </si>
  <si>
    <t>was able to explain his notebook alright but needs to work a bit more on communication skills. needs to revise the concepts from speech and image modules more before viva eval</t>
  </si>
  <si>
    <t>21f1001662@ds.study.iitm.ac.in</t>
  </si>
  <si>
    <t>The student expalins the thing that was in the notebook and asnwers the questions related to that and some other basic stuff as well . For the vision part havent done anything but have a basic idea and understanding about the model arch and stuffs . Need to work on presentation and lack of confidence that what i find.</t>
  </si>
  <si>
    <t>22f3002815@ds.study.iitm.ac.in</t>
  </si>
  <si>
    <t>The student has a good understanding of the text and speech components but needs to further explore the image domain, as well as strengthen understanding of concepts such as tokenization.</t>
  </si>
  <si>
    <t>22f3001660@ds.study.iitm.ac.in</t>
  </si>
  <si>
    <t>The student was able to explain NPPE 1 and NPPE 2 to a good extent, but struggled with theoretical concepts across all three modules. Have a broad understanding of the overall ideas, but find it difficult to explain them clearly and concisely.</t>
  </si>
  <si>
    <t>the student was reading a note on each code he had implemented but when asked he denied it? notebook was completely ai coded, it had cell outputs like expected answer. pretty strong suspicion he is reading answers of some ai tool for questions asked on dlp course across all modules, answer were precise down to the numbers, like how llms answer, kindly check once.</t>
  </si>
  <si>
    <t>22f3001023@ds.study.iitm.ac.in</t>
  </si>
  <si>
    <t>Student was able to walk through NPPE 1, but struggled to clearly explain the underlying concepts, terminology and overall approach. There were significant difficulties with theoretical questions, with only 2-3 out of 9-10 answered confidently. The NPPE 2 code walkthrough was underwhelming, as the student lacked clarity on key nuances of their own implementation, including the use of basic libraries and the broader functional design. Performance in the Speech and Image modules was below average, with considerable room for improvement. In the Image module, the student could explain basic CNN architectures but lacked confidence in other related concepts.</t>
  </si>
  <si>
    <t>21f3002750@ds.study.iitm.ac.in</t>
  </si>
  <si>
    <t>The student performs decent . Knows things but not in too deep . Need to buush up on the basics and work a bit more on things.</t>
  </si>
  <si>
    <t>22f3001500@ds.study.iitm.ac.in</t>
  </si>
  <si>
    <t xml:space="preserve">The student explained the NPPE2 notebook well but did not participate in NPPE1. The student has strong concepts across all three components; text, speech, and image, but would benefit from further exploration of the image component.
</t>
  </si>
  <si>
    <t>21f1006919@ds.study.iitm.ac.in</t>
  </si>
  <si>
    <t>coding: needs practice, was not satisfactory
IMAGE:  was not satisfactory, needs to know theory better, could not answer yolo, rcnn etc
TEXT: Okayish, however a revision before viva would have helped
AUDIO: Above avg, however a revision before viva would have helped</t>
  </si>
  <si>
    <t>The student has a good understanding of all the components but needs to explore each of them more deeply.</t>
  </si>
  <si>
    <t>21f3002041@ds.study.iitm.ac.in</t>
  </si>
  <si>
    <t>The student explained NPPE 1 well, but was unable to complete NPPE 2 and could only discuss its broader aspects. Overall understanding across all three modules was average and below expectations, and requires thorough revision. Grasp of the Text and Speech modules was relatively better, while understanding of the Image module was very limited.</t>
  </si>
  <si>
    <t>21f1005414@ds.study.iitm.ac.in</t>
  </si>
  <si>
    <t>The student have a basic understanding about the concepts and able to explain the things . NLP is ok ,for the speech and Vision need to focous more .</t>
  </si>
  <si>
    <t>22f2001208@ds.study.iitm.ac.in</t>
  </si>
  <si>
    <t>above average performance, however the candidate was not able to recall correct jargons and word. Coding part needs to be improved and practice is needed. TEXT - AUDIO &amp; IMAGE -- Decent knowledge however revision could have helped. Please focus on articulation and communication as well. There were points where the candidate knew concepts but was not able to put forward the explanation.</t>
  </si>
  <si>
    <t>The student has a basic understanding of all components but needs greater clarity across all areas.</t>
  </si>
  <si>
    <t>22f3001662@ds.study.iitm.ac.in</t>
  </si>
  <si>
    <t>21f1000868@ds.study.iitm.ac.in</t>
  </si>
  <si>
    <t>The student understands the text and speech components well but needs to study the image component and learn more about text and speech for better understanding.</t>
  </si>
  <si>
    <t>NOTEBOOKS: fair enough
TEXT: good 
AUDIO: good , apart from few tricky question
IMAGE: needs theory revision, could not answer
CODING: below avg</t>
  </si>
  <si>
    <t>22f3001329@ds.study.iitm.ac.in</t>
  </si>
  <si>
    <t>The student perform well and try to answered most of the questions . Their is still scopr of improvement and need to work on things a bit more.</t>
  </si>
  <si>
    <t>The student provided good explanations and walkthroughs of the NPPE 1 and NPPE 2 code and answered the associated questions well. However, struggled to explain theoretical concepts across all three domains, and overall performance was average. Image module was not prepared at all, indicating significant scope for revision across all three modules.</t>
  </si>
  <si>
    <t>22f2000854@ds.study.iitm.ac.in</t>
  </si>
  <si>
    <t>gave good walkthrough of NPPE notebooks. needs to revise LoRa and Quantization. was not clear with many concepts in speech module, needs to revise. needs to study image module as well, could not answer few questions like AlexNet, VGGNet, YOLO etc. Overall the learner has a good understanding of concepts but needs to revise more before attending viva</t>
  </si>
  <si>
    <t>22f3002601@ds.study.iitm.ac.in</t>
  </si>
  <si>
    <t>The student performs really well on thje visison part and speech part . Need to focus on the NLP part more . The walkthrough of the notebooks was ok and answered questions related to that.</t>
  </si>
  <si>
    <t>21f1005856@ds.study.iitm.ac.in</t>
  </si>
  <si>
    <t>The student has a good understanding of the text and speech components but needs to explore the image component and strengthen understanding of concepts such as tokenization.</t>
  </si>
  <si>
    <t>21f3002851@ds.study.iitm.ac.in</t>
  </si>
  <si>
    <t>The student has a good understanding of all the components but needs deeper knowledge across all three areas.</t>
  </si>
  <si>
    <t>The student performed well , explains things well as well . For the Vision part need to brushup the basics and work a bit more.</t>
  </si>
  <si>
    <t>The student was thorough with the stuff done in the notebook but knew very less on speech and image.</t>
  </si>
  <si>
    <t>22f3002857@ds.study.iitm.ac.in</t>
  </si>
  <si>
    <t>gave a good walkthrough of the solution she has coded for NPPE. could not answer few questions like quantization, positional encodings, TTS pipeline. needs to revise week 9 and week 10. overall the learner was confident in whatever she has studied and had good communication skills</t>
  </si>
  <si>
    <t>NOTEBOOKS: Explained in clear n crisp manner, was able to defend the choices made
TEXT: above avg explanation
AUDIO:  fair, apart from few parts
IMAGE: revision would have helped, else it was satisfactory
CODING: below average, needs practise</t>
  </si>
  <si>
    <t>21f3002965@ds.study.iitm.ac.in</t>
  </si>
  <si>
    <t>The student was conceptually fine but could not answer in-depth questions. Had not gone through all the video lectures and could not answer specific questions.</t>
  </si>
  <si>
    <t>23f3003302@ds.study.iitm.ac.in</t>
  </si>
  <si>
    <t>The student has a strong understanding of the text component but needs greater clarity in the speech and image components.</t>
  </si>
  <si>
    <t>22f3000530@ds.study.iitm.ac.in</t>
  </si>
  <si>
    <t>21f1001393@ds.study.iitm.ac.in</t>
  </si>
  <si>
    <t xml:space="preserve">TEXT: Above average, a revision would have been bettter
AUDIO: Fair enough, needs much revision and candidate needs to understand theory as well
IMAGE: YOLO and Obj detection were not prepared.
Coding : Requires improvement and practice
Communication: Please work on loudness and tone. It shows how much confident and prepared you are. </t>
  </si>
  <si>
    <t>21f3002286@ds.study.iitm.ac.in</t>
  </si>
  <si>
    <t>very good explanations/answers for the coding he has done, excellent grasp of crucial concepts in text module but needs to put little bit more effort into other 2 modules.</t>
  </si>
  <si>
    <t>21f1006825@ds.study.iitm.ac.in</t>
  </si>
  <si>
    <t xml:space="preserve">The student presented the NPPE 1 and NPPE 2 notebooks clearly and confidently, with a well-structured explanation of design choices and the relevance of different syntactic elements used in the implementation. They demonstrated a strong grasp of the fundamental principles of deep learning and Hugging Face workflows across all domains—NLP, speech, and vision.
The preparation for the viva was focused and thorough. The student was able to respond effectively to questions ranging from basic to moderately complex, showing both clarity and depth in their understanding. While the articulation can be improved for an overall rounded presentation, the same reflects solid conceptual grounding, and a high level of preparedness. </t>
  </si>
  <si>
    <t>The student performs really well . have a good understanding of text and speech and need to focous more on the vision part . Explained the notebooks well and asnwered most of the questions as well. For the vision he want to explore further and brushup the text and speeh part.</t>
  </si>
  <si>
    <t>23f1002590@ds.study.iitm.ac.in</t>
  </si>
  <si>
    <t>The student has a basic understanding of all the components but needs greater clarity across each of them.</t>
  </si>
  <si>
    <t>22f3002188@ds.study.iitm.ac.in</t>
  </si>
  <si>
    <t>22f3002469@ds.study.iitm.ac.in</t>
  </si>
  <si>
    <t>The student gave a very good walkthrough of the NPPE's notebook and explained things well. Proper EDA and other stuf was present . Answered questions from text and speech part and some from the vision part.</t>
  </si>
  <si>
    <t>22f3000853@ds.study.iitm.ac.in</t>
  </si>
  <si>
    <t>The student has a good understanding of all components but needs greater clarity in areas such as tokenization, speech, and the image component.</t>
  </si>
  <si>
    <t>22f3000317@ds.study.iitm.ac.in</t>
  </si>
  <si>
    <t>21f1006130@ds.study.iitm.ac.in</t>
  </si>
  <si>
    <t xml:space="preserve">NOTEBOOKS: Explained well
TEXT: above avg explanation
AUDIO:  fair, apart from few parts
IMAGE: revision would have helped, else it was satisfactory
CODING: needs more practice however was able to catch hints and give results
Communication: Candidate was nervous at times or was not able to articulate to her best. Practice and revision are key. Always try to remember the techincal jargon and practice for interview / viva voce. </t>
  </si>
  <si>
    <t>23f1001542@ds.study.iitm.ac.in</t>
  </si>
  <si>
    <t>The student has a good understanding of all components but needs further clarity in the speech component and concepts such as tokenization and LoRA.</t>
  </si>
  <si>
    <t>21f1006381@ds.study.iitm.ac.in</t>
  </si>
  <si>
    <t>needs to work on communication skills and explaining answers with more context, answers are mostly correct but the learner confuses some concepts here and there. apart from that, the learner has a strong grasp on almost most topics taught in the course, needs to work on framing the answers with even better clarity</t>
  </si>
  <si>
    <t>The student has a good understanding of all three components but needs further clarification and deeper understanding across each of them.</t>
  </si>
  <si>
    <t>21f1006728@ds.study.iitm.ac.in</t>
  </si>
  <si>
    <t>22f3002401@ds.study.iitm.ac.in</t>
  </si>
  <si>
    <t>NOTEBOOKS: NPPE1 was good, NPPE 2 was direct prediction and lacked some explanability
TEXT: above avg explanation
AUDIO: above avg explanation
IMAGE: above avg explanation
CODING: Good, more practice suggested</t>
  </si>
  <si>
    <t>22f2000034@ds.study.iitm.ac.in</t>
  </si>
  <si>
    <t>The student has a good understanding of all the components but needs further exploration across all of them.</t>
  </si>
  <si>
    <t>21f2000775@ds.study.iitm.ac.in</t>
  </si>
  <si>
    <t>NOTEBOOKS: quite well explained
TEXT: above avg explanation
AUDIO: avg explanation
IMAGE: above avg explanation
CODING: Good, more practice suggested</t>
  </si>
  <si>
    <t>23f1002940@ds.study.iitm.ac.in</t>
  </si>
  <si>
    <t>The student has a good understanding of all the components, but it is recommended to further explore the text and image components.</t>
  </si>
  <si>
    <t>21f3000371@ds.study.iitm.ac.in</t>
  </si>
  <si>
    <t>21f1002807@ds.study.iitm.ac.in</t>
  </si>
  <si>
    <t>The student has a good understanding of the text and speech components but needs to cover the image component and further explore the text and speech areas</t>
  </si>
  <si>
    <t>22f3002835@ds.study.iitm.ac.in</t>
  </si>
  <si>
    <t>The student has a good understanding of all the components but needs further exploration to achieve a deeper understanding across all areas.</t>
  </si>
  <si>
    <t>23f1001901@ds.study.iitm.ac.in</t>
  </si>
  <si>
    <t>NOTEBOOKS: quite well explained
TEXT: good 
AUDIO: good , apart from few tricky question
IMAGE: good , needs theory revision
CODING: average, requires practice, took some time but was able to figure out via documentation</t>
  </si>
  <si>
    <t>22f1000152@ds.study.iitm.ac.in</t>
  </si>
  <si>
    <t>Overall candidate was above average. Apart from certain questions in Text and visual part in general,the learner was able to answer everything. 
TEXT: above avg, but revision would have helped
AUDIO: v good
IMAGE: average, needs revision
Coding: v good.</t>
  </si>
  <si>
    <t>22f3002229@ds.study.iitm.ac.in</t>
  </si>
  <si>
    <t>The student has a good understanding of all three components but needs to explore each of them in greater depth.</t>
  </si>
  <si>
    <t>23f1002330@ds.study.iitm.ac.in</t>
  </si>
  <si>
    <t>21f1005626@ds.study.iitm.ac.in</t>
  </si>
  <si>
    <t>The student has a strong understanding of the text component and a good understanding of the speech component but needs to further explore both the speech and image components.</t>
  </si>
  <si>
    <t>21f2000579@ds.study.iitm.ac.in</t>
  </si>
  <si>
    <t>21f3000028@ds.study.iitm.ac.in</t>
  </si>
  <si>
    <t>Explains the notebook well and answered most of the questions . The NLP and speech is fine and for vision need to work.</t>
  </si>
  <si>
    <t>23f1002165@ds.study.iitm.ac.in</t>
  </si>
  <si>
    <t>Student explain the notebooks well , the concepts are clear and answer most of the questions . For the vision part he explains the basics and answered the questions well.</t>
  </si>
  <si>
    <t>NOTEBOOKS: v good explanation
TEXT: above avg, a little revision suggested
AUDIO:  above avg, a little revision suggested
IMAGE: Good, usage of techical jargon must be adopted
CODING: a lil nudge was need, but above avg</t>
  </si>
  <si>
    <t>23f1001232@ds.study.iitm.ac.in</t>
  </si>
  <si>
    <t>NOTEBOOKS: good in explaining
TEXT: above avg explanation, apart from few parts
AUDIO:  fair, apart from few parts
IMAGE: was able to explain, but revision would have helped
CODING: Good, but keep practicing to improve and revise ML theory</t>
  </si>
  <si>
    <t>The student has a good understanding of all components; however, further exploration and depth across these areas are recommended.</t>
  </si>
  <si>
    <t>21f2000491@ds.study.iitm.ac.in</t>
  </si>
  <si>
    <t>21f1005818@ds.study.iitm.ac.in</t>
  </si>
  <si>
    <t>21f1002674@ds.study.iitm.ac.in</t>
  </si>
  <si>
    <t>22f3000680@ds.study.iitm.ac.in</t>
  </si>
  <si>
    <t>NPPE 1 and NPPE 2 explanations were good, but the student struggled to explain the reasoning behind theoretical concepts across all three domains. Further thorough revision is needed for better understanding.</t>
  </si>
  <si>
    <t>21f3000783@ds.study.iitm.ac.in</t>
  </si>
  <si>
    <t>The student performs well . Explains notebook and questions around it and have a good understanding of the concepts.</t>
  </si>
  <si>
    <t>21f3002676@ds.study.iitm.ac.in</t>
  </si>
  <si>
    <t>NOTEBOOKS: good work in explaining
TEXT: good explanation
AUDIO:  fair, apart from few parts
IMAGE: Above average
CODING: Good, but keep practicing to improve</t>
  </si>
  <si>
    <t>22f1001278@ds.study.iitm.ac.in</t>
  </si>
  <si>
    <t>NOTEBOOKS: quite well explained
TEXT: above avg explanation
AUDIO: above avg explanation
IMAGE: above avg explanation
CODING: Good, more practice suggested</t>
  </si>
  <si>
    <t>23f1001125@ds.study.iitm.ac.in</t>
  </si>
  <si>
    <t>The student perform very well in all three components and need to focous on the vision part more and brushup the things .</t>
  </si>
  <si>
    <t>22f3001914@ds.study.iitm.ac.in</t>
  </si>
  <si>
    <t>21f1006744@ds.study.iitm.ac.in</t>
  </si>
  <si>
    <t>The student was able to answer basic questions well conceptually. In-depth knowledge would have been better.</t>
  </si>
  <si>
    <t>The student has a good understanding of all the components, but further exploration is recommended across all areas.</t>
  </si>
  <si>
    <t>21f1002747@ds.study.iitm.ac.in</t>
  </si>
  <si>
    <t>23f1002698@ds.study.iitm.ac.in</t>
  </si>
  <si>
    <t>Explained both NPPE 1 and NPPE 2 notebooks in depth, demonstrating strong understanding and ownership of the work. Grasp of the Text module theory was solid, with some scope for further refinement. Speech-related concepts were handled very well, reflecting strong preparation. However, performance in the Image module was relatively weaker, indicating limited preparation; while basic CNN questions were answered, the student struggled with broader computer vision concepts. Live coding performance was above average.</t>
  </si>
  <si>
    <t>21f1003242@ds.study.iitm.ac.in</t>
  </si>
  <si>
    <t>The student explained the NPPE1 and NPPE2 notebooks excellently and has a strong understanding of the text and speech components, but needs to further explore the image component and text-to-speech (TTS).</t>
  </si>
  <si>
    <t>22f1000087@ds.study.iitm.ac.in</t>
  </si>
  <si>
    <t xml:space="preserve">The student has a strong understanding of the text and speech components but needs to further explore the image component.
</t>
  </si>
  <si>
    <t>24f1002064@ds.study.iitm.ac.in</t>
  </si>
  <si>
    <t>The student has a deep understanding of the text and speech components but needs to cover the image component.</t>
  </si>
  <si>
    <t>21f1003440@ds.study.iitm.ac.in</t>
  </si>
  <si>
    <t>21f1006833@ds.study.iitm.ac.in</t>
  </si>
  <si>
    <t>The student was able to answer most of the questions clearly and precisely. Hands on coding was also on point. She had issues with some tricky questions like eval vs evaluate function however overall she was good in communication and the subject matter expertise. She was calm throughout the interview and showed professionalism. Good potential.</t>
  </si>
  <si>
    <t>22f3001311@ds.study.iitm.ac.in</t>
  </si>
  <si>
    <t>The student has a good understanding of all components but would benefit from further exploration of the text and speech areas.</t>
  </si>
  <si>
    <t>23f2003511@ds.study.iitm.ac.in</t>
  </si>
  <si>
    <t>21f1004873@ds.study.iitm.ac.in</t>
  </si>
  <si>
    <t xml:space="preserve">The student could not explain the the nppe2 notebook properly - did not know how he trained, what is the use of datacollator,etc.  nppe1 was fine. The student could not answer high level pipeline based questions in detail but was able to recall and answer pin-pointed questions. 
high-level concepts were fine but in-depth questions like diff types of tokenisation techniques, etc were a bit fuzzy. </t>
  </si>
  <si>
    <t>22f1000288@ds.study.iitm.ac.in</t>
  </si>
  <si>
    <t>The student has a clear understanding of all the components but would benefit from further exploration to achieve deeper understanding across all areas.</t>
  </si>
  <si>
    <t>23f3001208@ds.study.iitm.ac.in</t>
  </si>
  <si>
    <t>had good intuitions and understanding of almost all concepts in and around the course. excellent notebooks for nppe 1 and nppe 2. answered questions from all modules. needs to study later weeks of image module</t>
  </si>
  <si>
    <t>21f1005678@ds.study.iitm.ac.in</t>
  </si>
  <si>
    <t>The student has a good understanding of all the components but would benefit from further exploration across all areas.</t>
  </si>
  <si>
    <t>21f2000371@ds.study.iitm.ac.in</t>
  </si>
  <si>
    <t>The student has a strong understanding of the text and speech components but needs to further explore the image component.</t>
  </si>
  <si>
    <t>22f1000493@ds.study.iitm.ac.in</t>
  </si>
  <si>
    <t>21f1000731@ds.study.iitm.ac.in</t>
  </si>
  <si>
    <t>The student explained NPPE 1 and NPPE 2 quite well, but struggled to answer related questions. Demonstrated a basic to average understanding across all three modules, with significant scope for improvement through thorough and dedicated revision.</t>
  </si>
  <si>
    <t xml:space="preserve">The student explained the NPPE1 and NPPE2 notebooks very well and has a very strong understanding of all the components and explains things very wel.
</t>
  </si>
  <si>
    <t>The student has a very strong undertsnading about the NLP and Speech part and for the vision part need to work a bit more . Answered most of the question and performed really well.</t>
  </si>
  <si>
    <t>23f1001749@ds.study.iitm.ac.in</t>
  </si>
  <si>
    <t>NOTEBOOKS: quite well explained
TEXT: v good 
AUDIO: v good 
IMAGE: v good 
CODING: average, requires practice</t>
  </si>
  <si>
    <t>22f1000781@ds.study.iitm.ac.in</t>
  </si>
  <si>
    <t>The student has a strong understanding of all the components but would benefit from further exploration across all areas.</t>
  </si>
  <si>
    <t>21f3001485@ds.study.iitm.ac.in</t>
  </si>
  <si>
    <t>21f3002975@ds.study.iitm.ac.in</t>
  </si>
  <si>
    <t>The student was thorough with the notebook and practical concepts. Conceptual theory based questions - he could not answer properly without a good hint.</t>
  </si>
  <si>
    <t>22f3001307@ds.study.iitm.ac.in</t>
  </si>
  <si>
    <t>NOTEBOOKS: quite well explained
TEXT: above average 
AUDIO: good , apart from few tricky question
IMAGE: good , needs theory revision
CODING: on point.
overall the candidate had good flow, knew the subject matter and apart from few hiccups was able to navigate well, has good potential and should look out to improve</t>
  </si>
  <si>
    <t>21f3000059@ds.study.iitm.ac.in</t>
  </si>
  <si>
    <t>The student has a strong understanding of the text and speech components but needs further exploration in the image component.</t>
  </si>
  <si>
    <t>22f1001418@ds.study.iitm.ac.in</t>
  </si>
  <si>
    <t>21f3001598@ds.study.iitm.ac.in</t>
  </si>
  <si>
    <t>The student had a very good understanding on image part (something which most of the students had not prepared much), struggled with some coding questions and theoretical in-depth questions, otherwise decent.</t>
  </si>
  <si>
    <t>22f3002986@ds.study.iitm.ac.in</t>
  </si>
  <si>
    <t>The student has a strong understanding of all three domains: text, speech, and image, but would benefit from further exploration of the text and speech components.</t>
  </si>
  <si>
    <t>22f3001530@ds.study.iitm.ac.in</t>
  </si>
  <si>
    <t>The student has a strong understanding of all the components but would benefit from further exploration to deepen that understanding and needs to improve communication skills.</t>
  </si>
  <si>
    <t>The student has strong knowledge of all the components but did not submit the NPPE1 notebook, so the score for NPPE1 was assigned based on the student’s demonstrated understanding.</t>
  </si>
  <si>
    <t>23f1001783@ds.study.iitm.ac.in</t>
  </si>
  <si>
    <t>The student performed well in NLP, speech, and vision, clearly explaining the NPPE1, NPPE2 and vision notebooks and answering all questions effectively.</t>
  </si>
  <si>
    <t>21f1004839@ds.study.iitm.ac.in</t>
  </si>
  <si>
    <t>The student performed very well having a very strong understanding in all 3 domains.</t>
  </si>
  <si>
    <t>21f3000376@ds.study.iitm.ac.in</t>
  </si>
  <si>
    <t>Student demonstrated strong command over the NPPE 1 and NPPE 2 codebases, providing detailed and nuanced explanations. Theoretical understanding across all three domains was well above average, though there remains scope to further refine reasoning and responses through deeper revision. While not all questions were answered immediately, the student was able to recall and respond effectively with minimal prompting.</t>
  </si>
  <si>
    <t>21f1004670@ds.study.iitm.ac.in</t>
  </si>
  <si>
    <t>The student has a strong understanding of all the components but needs further exploration in the image component.</t>
  </si>
  <si>
    <t>21f3002588@ds.study.iitm.ac.in</t>
  </si>
  <si>
    <t>22f1000589@ds.study.iitm.ac.in</t>
  </si>
  <si>
    <t>The student has a strong knowledge of the text and speech components but needs greater clarity in the image component.</t>
  </si>
  <si>
    <t>21f3001442@ds.study.iitm.ac.in</t>
  </si>
  <si>
    <t>The student explained both NPPE 1 and NPPE 2 in depth, in a clear and comprehensive manner. Performance in the live coding task was strong. Demonstrated a solid understanding of the Text and Speech modules, though with further revision the answers could be more concise and precise. Understanding of the Image module was average and would benefit from additional revision.</t>
  </si>
  <si>
    <t>21f1001676@ds.study.iitm.ac.in</t>
  </si>
  <si>
    <t>Slot</t>
  </si>
  <si>
    <t>Status</t>
  </si>
  <si>
    <t>13/03/2026</t>
  </si>
  <si>
    <t>19/03/2026</t>
  </si>
  <si>
    <t>20/03/2026</t>
  </si>
  <si>
    <t>25/03/2026</t>
  </si>
  <si>
    <t>23/03/2026</t>
  </si>
  <si>
    <t>24/03/2026</t>
  </si>
  <si>
    <t>26/03/2026</t>
  </si>
  <si>
    <t xml:space="preserve"> 04:30 PM - 05:00 PM</t>
  </si>
  <si>
    <t>27/03/2026</t>
  </si>
  <si>
    <t>11:00 AM - 11:15 AM</t>
  </si>
  <si>
    <t>11:30 AM - 11:45 AM</t>
  </si>
  <si>
    <t>11:45 AM - 12:00 PM</t>
  </si>
  <si>
    <t>12:00 PM - 12:15 PM</t>
  </si>
  <si>
    <t>12:30 PM - 12:45 PM</t>
  </si>
  <si>
    <t>12:45 PM - 01:00 PM</t>
  </si>
  <si>
    <t>28/03/2026</t>
  </si>
  <si>
    <t>30/03/2026</t>
  </si>
  <si>
    <t>11:15 AM - 11:30 AM</t>
  </si>
  <si>
    <t>12:15 PM - 12:30 PM</t>
  </si>
  <si>
    <t>31/03/2026</t>
  </si>
  <si>
    <t>11:00 – 11:30</t>
  </si>
  <si>
    <t>11:30 – 12:00</t>
  </si>
  <si>
    <t>12:00 – 12:30</t>
  </si>
  <si>
    <t>12:30 – 1:00</t>
  </si>
  <si>
    <t>4:00 - 4:30PM</t>
  </si>
  <si>
    <t>4:30 – 5:00</t>
  </si>
  <si>
    <t>5:00 - 5:30PM</t>
  </si>
  <si>
    <t>5:30 – 6:00</t>
  </si>
  <si>
    <t>20/04/2026</t>
  </si>
  <si>
    <t>21/04/2026</t>
  </si>
  <si>
    <t>23/04/2026</t>
  </si>
  <si>
    <t>27/04/2026</t>
  </si>
  <si>
    <t>28/04/2026</t>
  </si>
  <si>
    <t>04:15 PM - 04:30 PM</t>
  </si>
  <si>
    <t>https://drive.google.com/file/d/1g6kyGKHQK3Sf9zWKE2JNQsZF3zAh976I/view</t>
  </si>
  <si>
    <t>https://drive.google.com/file/d/1Ixg3ykaUUlY3hbc0InJCn7Rv52KQXsYG/view?usp=sharing</t>
  </si>
  <si>
    <t>30/04/2026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</si>
</sst>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numFmts>
  <fonts count="25">
    <font>
      <sz val="10.0"/>
      <color rgb="FF000000"/>
      <name val="Arial"/>
      <scheme val="minor"/>
    </font>
    <font>
      <b/>
      <color rgb="FFFFFFFF"/>
      <name val="Arial"/>
    </font>
    <font>
      <color theme="1"/>
      <name val="Arial"/>
      <scheme val="minor"/>
    </font>
    <font>
      <color theme="1"/>
      <name val="Arial"/>
    </font>
    <font>
      <u/>
      <color rgb="FF0000FF"/>
      <name val="Roboto"/>
    </font>
    <font>
      <u/>
      <color rgb="FF0000FF"/>
      <name val="Roboto"/>
    </font>
    <font>
      <u/>
      <color rgb="FF434343"/>
      <name val="Roboto"/>
    </font>
    <font>
      <b/>
      <color theme="1"/>
      <name val="Arial"/>
    </font>
    <font>
      <b/>
      <color theme="1"/>
      <name val="Arial"/>
      <scheme val="minor"/>
    </font>
    <font>
      <u/>
      <color rgb="FF0000FF"/>
    </font>
    <font>
      <i/>
      <sz val="11.0"/>
      <color rgb="FF1F1F1F"/>
      <name val="Roboto"/>
    </font>
    <font>
      <color rgb="FF000000"/>
      <name val="Arial"/>
    </font>
    <font>
      <b/>
      <sz val="11.0"/>
      <color theme="1"/>
      <name val="Calibri"/>
    </font>
    <font>
      <u/>
      <color rgb="FF0000FF"/>
    </font>
    <font>
      <u/>
      <color rgb="FF0000FF"/>
    </font>
    <font>
      <sz val="11.0"/>
      <color rgb="FF1F1F1F"/>
      <name val="&quot;Google Sans&quot;"/>
    </font>
    <font>
      <sz val="11.0"/>
      <color rgb="FF000000"/>
      <name val="&quot;Google Sans&quot;"/>
    </font>
    <font>
      <u/>
      <color rgb="FF0000FF"/>
    </font>
    <font>
      <u/>
      <color rgb="FF0000FF"/>
    </font>
    <font>
      <u/>
      <color rgb="FF0000FF"/>
    </font>
    <font>
      <u/>
      <color rgb="FF0000FF"/>
    </font>
    <font>
      <b/>
      <sz val="11.0"/>
      <color theme="1"/>
      <name val="Arial"/>
    </font>
    <font>
      <u/>
      <color theme="1"/>
      <name val="Arial"/>
      <scheme val="minor"/>
    </font>
    <font>
      <u/>
      <color rgb="FF0000FF"/>
    </font>
    <font>
      <u/>
      <color rgb="FF0000FF"/>
    </font>
  </fonts>
  <fills count="15">
    <fill>
      <patternFill patternType="none"/>
    </fill>
    <fill>
      <patternFill patternType="lightGray"/>
    </fill>
    <fill>
      <patternFill patternType="solid">
        <fgColor rgb="FF6C7687"/>
        <bgColor rgb="FF6C7687"/>
      </patternFill>
    </fill>
    <fill>
      <patternFill patternType="solid">
        <fgColor rgb="FFEBEFF1"/>
        <bgColor rgb="FFEBEFF1"/>
      </patternFill>
    </fill>
    <fill>
      <patternFill patternType="solid">
        <fgColor rgb="FFFFFFFF"/>
        <bgColor rgb="FFFFFFFF"/>
      </patternFill>
    </fill>
    <fill>
      <patternFill patternType="solid">
        <fgColor rgb="FFFF9900"/>
        <bgColor rgb="FFFF9900"/>
      </patternFill>
    </fill>
    <fill>
      <patternFill patternType="solid">
        <fgColor rgb="FFE6B8AF"/>
        <bgColor rgb="FFE6B8AF"/>
      </patternFill>
    </fill>
    <fill>
      <patternFill patternType="solid">
        <fgColor rgb="FFFCE5CD"/>
        <bgColor rgb="FFFCE5CD"/>
      </patternFill>
    </fill>
    <fill>
      <patternFill patternType="solid">
        <fgColor rgb="FFFFFF00"/>
        <bgColor rgb="FFFFFF00"/>
      </patternFill>
    </fill>
    <fill>
      <patternFill patternType="solid">
        <fgColor rgb="FFEA9999"/>
        <bgColor rgb="FFEA9999"/>
      </patternFill>
    </fill>
    <fill>
      <patternFill patternType="solid">
        <fgColor rgb="FFF0F4F9"/>
        <bgColor rgb="FFF0F4F9"/>
      </patternFill>
    </fill>
    <fill>
      <patternFill patternType="solid">
        <fgColor theme="0"/>
        <bgColor theme="0"/>
      </patternFill>
    </fill>
    <fill>
      <patternFill patternType="solid">
        <fgColor rgb="FFF4CCCC"/>
        <bgColor rgb="FFF4CCCC"/>
      </patternFill>
    </fill>
    <fill>
      <patternFill patternType="solid">
        <fgColor rgb="FFCFE2F3"/>
        <bgColor rgb="FFCFE2F3"/>
      </patternFill>
    </fill>
    <fill>
      <patternFill patternType="solid">
        <fgColor rgb="FFF8F9FA"/>
        <bgColor rgb="FFF8F9FA"/>
      </patternFill>
    </fill>
  </fills>
  <borders count="6">
    <border/>
    <border>
      <left style="thin">
        <color rgb="FFFFFFFF"/>
      </left>
      <right style="thin">
        <color rgb="FFFFFFFF"/>
      </right>
      <bottom style="thin">
        <color rgb="FFA3B2CC"/>
      </bottom>
    </border>
    <border>
      <left style="thin">
        <color rgb="FFFFFFFF"/>
      </left>
      <right style="thin">
        <color rgb="FFFFFFFF"/>
      </right>
      <top style="thin">
        <color rgb="FFA3B2CC"/>
      </top>
      <bottom style="thin">
        <color rgb="FFA3B2CC"/>
      </bottom>
    </border>
    <border>
      <right style="thin">
        <color rgb="FFFFFFFF"/>
      </right>
      <top style="thin">
        <color rgb="FFA3B2CC"/>
      </top>
      <bottom style="thin">
        <color rgb="FFA3B2CC"/>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0" fillId="0" fontId="2" numFmtId="0" xfId="0" applyAlignment="1" applyFont="1">
      <alignment horizontal="left" readingOrder="0" shrinkToFit="0" vertical="center" wrapText="0"/>
    </xf>
    <xf borderId="2" fillId="3" fontId="3" numFmtId="0" xfId="0" applyAlignment="1" applyBorder="1" applyFill="1" applyFont="1">
      <alignment vertical="bottom"/>
    </xf>
    <xf borderId="2" fillId="3" fontId="3" numFmtId="0" xfId="0" applyAlignment="1" applyBorder="1" applyFont="1">
      <alignment horizontal="right" vertical="bottom"/>
    </xf>
    <xf borderId="2" fillId="4" fontId="3" numFmtId="0" xfId="0" applyAlignment="1" applyBorder="1" applyFill="1" applyFont="1">
      <alignment vertical="bottom"/>
    </xf>
    <xf borderId="2" fillId="4" fontId="3" numFmtId="0" xfId="0" applyAlignment="1" applyBorder="1" applyFont="1">
      <alignment horizontal="right" vertical="bottom"/>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2" numFmtId="0" xfId="0" applyAlignment="1" applyFont="1">
      <alignment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5" numFmtId="0" xfId="0" applyAlignment="1" applyFont="1">
      <alignment readingOrder="0" shrinkToFit="0" vertical="center" wrapText="0"/>
    </xf>
    <xf borderId="2" fillId="3" fontId="3" numFmtId="0" xfId="0" applyAlignment="1" applyBorder="1" applyFont="1">
      <alignment shrinkToFit="0" vertical="bottom" wrapText="0"/>
    </xf>
    <xf borderId="2" fillId="3" fontId="3" numFmtId="0" xfId="0" applyAlignment="1" applyBorder="1" applyFont="1">
      <alignment horizontal="right" shrinkToFit="0" vertical="bottom" wrapText="0"/>
    </xf>
    <xf borderId="2" fillId="4" fontId="3" numFmtId="0" xfId="0" applyAlignment="1" applyBorder="1" applyFont="1">
      <alignment shrinkToFit="0" vertical="bottom" wrapText="0"/>
    </xf>
    <xf borderId="2" fillId="4" fontId="3" numFmtId="0" xfId="0" applyAlignment="1" applyBorder="1" applyFont="1">
      <alignment horizontal="right" shrinkToFit="0" vertical="bottom" wrapText="0"/>
    </xf>
    <xf borderId="0" fillId="5" fontId="2" numFmtId="0" xfId="0" applyAlignment="1" applyFill="1" applyFont="1">
      <alignment readingOrder="0" shrinkToFit="0" vertical="center" wrapText="0"/>
    </xf>
    <xf borderId="0" fillId="0" fontId="2" numFmtId="0" xfId="0" applyAlignment="1" applyFont="1">
      <alignment readingOrder="0" shrinkToFit="0" vertical="center" wrapText="0"/>
    </xf>
    <xf borderId="3" fillId="3" fontId="3" numFmtId="0" xfId="0" applyAlignment="1" applyBorder="1" applyFont="1">
      <alignment vertical="bottom"/>
    </xf>
    <xf borderId="3" fillId="4" fontId="3" numFmtId="0" xfId="0" applyAlignment="1" applyBorder="1" applyFont="1">
      <alignment vertical="bottom"/>
    </xf>
    <xf borderId="0" fillId="3" fontId="3" numFmtId="0" xfId="0" applyAlignment="1" applyFont="1">
      <alignment vertical="bottom"/>
    </xf>
    <xf borderId="0" fillId="3" fontId="3" numFmtId="0" xfId="0" applyAlignment="1" applyFont="1">
      <alignment horizontal="right" vertical="bottom"/>
    </xf>
    <xf borderId="3" fillId="4" fontId="3" numFmtId="0" xfId="0" applyAlignment="1" applyBorder="1" applyFont="1">
      <alignment shrinkToFit="0" vertical="bottom" wrapText="0"/>
    </xf>
    <xf borderId="3" fillId="3" fontId="3" numFmtId="0" xfId="0" applyAlignment="1" applyBorder="1" applyFont="1">
      <alignment shrinkToFit="0" vertical="bottom" wrapText="0"/>
    </xf>
    <xf borderId="0" fillId="4" fontId="3" numFmtId="0" xfId="0" applyAlignment="1" applyFont="1">
      <alignment vertical="bottom"/>
    </xf>
    <xf borderId="0" fillId="4" fontId="3" numFmtId="0" xfId="0" applyAlignment="1" applyFont="1">
      <alignment horizontal="right" vertical="bottom"/>
    </xf>
    <xf borderId="4" fillId="4" fontId="3" numFmtId="0" xfId="0" applyAlignment="1" applyBorder="1" applyFont="1">
      <alignment vertical="bottom"/>
    </xf>
    <xf borderId="4" fillId="4" fontId="3" numFmtId="0" xfId="0" applyAlignment="1" applyBorder="1" applyFont="1">
      <alignment horizontal="right" vertical="bottom"/>
    </xf>
    <xf borderId="0" fillId="6" fontId="3" numFmtId="0" xfId="0" applyAlignment="1" applyFill="1" applyFont="1">
      <alignment vertical="bottom"/>
    </xf>
    <xf borderId="0" fillId="7" fontId="2" numFmtId="0" xfId="0" applyAlignment="1" applyFill="1" applyFont="1">
      <alignment readingOrder="0" shrinkToFit="0" vertical="center" wrapText="0"/>
    </xf>
    <xf borderId="0" fillId="0" fontId="3" numFmtId="0" xfId="0" applyAlignment="1" applyFont="1">
      <alignment vertical="bottom"/>
    </xf>
    <xf borderId="0" fillId="0" fontId="6" numFmtId="0" xfId="0" applyAlignment="1" applyFont="1">
      <alignment readingOrder="0" shrinkToFit="0" vertical="center" wrapText="0"/>
    </xf>
    <xf borderId="5" fillId="8" fontId="7" numFmtId="0" xfId="0" applyAlignment="1" applyBorder="1" applyFill="1" applyFont="1">
      <alignment horizontal="center" vertical="bottom"/>
    </xf>
    <xf borderId="0" fillId="0" fontId="8"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5" fillId="0" fontId="7" numFmtId="0" xfId="0" applyAlignment="1" applyBorder="1" applyFont="1">
      <alignment horizontal="left" readingOrder="0" shrinkToFit="0" vertical="bottom" wrapText="1"/>
    </xf>
    <xf borderId="5" fillId="0" fontId="7" numFmtId="0" xfId="0" applyAlignment="1" applyBorder="1" applyFont="1">
      <alignment horizontal="left" shrinkToFit="0" vertical="bottom" wrapText="1"/>
    </xf>
    <xf borderId="5" fillId="0" fontId="7" numFmtId="0" xfId="0" applyAlignment="1" applyBorder="1" applyFont="1">
      <alignment horizontal="left" shrinkToFit="0" vertical="bottom" wrapText="0"/>
    </xf>
    <xf borderId="0" fillId="0" fontId="2" numFmtId="0" xfId="0" applyAlignment="1" applyFont="1">
      <alignment horizontal="left" shrinkToFit="0" wrapText="1"/>
    </xf>
    <xf borderId="5" fillId="0" fontId="2" numFmtId="0" xfId="0" applyAlignment="1" applyBorder="1" applyFont="1">
      <alignment horizontal="left" readingOrder="0" shrinkToFit="0" wrapText="1"/>
    </xf>
    <xf borderId="5" fillId="0" fontId="2" numFmtId="0" xfId="0" applyAlignment="1" applyBorder="1" applyFont="1">
      <alignment horizontal="left" readingOrder="0" shrinkToFit="0" wrapText="0"/>
    </xf>
    <xf borderId="5" fillId="0" fontId="2" numFmtId="0" xfId="0" applyAlignment="1" applyBorder="1" applyFont="1">
      <alignment horizontal="left" readingOrder="0" shrinkToFit="0" wrapText="0"/>
    </xf>
    <xf borderId="5" fillId="0" fontId="2" numFmtId="0" xfId="0" applyAlignment="1" applyBorder="1" applyFont="1">
      <alignment horizontal="left" readingOrder="0"/>
    </xf>
    <xf borderId="5" fillId="0" fontId="2" numFmtId="0" xfId="0" applyAlignment="1" applyBorder="1" applyFont="1">
      <alignment horizontal="left" readingOrder="0" shrinkToFit="0" wrapText="1"/>
    </xf>
    <xf borderId="5" fillId="0" fontId="2" numFmtId="0" xfId="0" applyAlignment="1" applyBorder="1" applyFont="1">
      <alignment horizontal="left" shrinkToFit="0" wrapText="1"/>
    </xf>
    <xf borderId="0" fillId="0" fontId="2" numFmtId="0" xfId="0" applyAlignment="1" applyFont="1">
      <alignment horizontal="left"/>
    </xf>
    <xf borderId="5" fillId="0" fontId="2" numFmtId="0" xfId="0" applyAlignment="1" applyBorder="1" applyFont="1">
      <alignment horizontal="left" shrinkToFit="0" wrapText="1"/>
    </xf>
    <xf borderId="5" fillId="0" fontId="2" numFmtId="0" xfId="0" applyBorder="1" applyFont="1"/>
    <xf borderId="5" fillId="0" fontId="2" numFmtId="0" xfId="0" applyAlignment="1" applyBorder="1" applyFont="1">
      <alignment readingOrder="0" shrinkToFit="0" wrapText="1"/>
    </xf>
    <xf borderId="5" fillId="0" fontId="2" numFmtId="0" xfId="0" applyAlignment="1" applyBorder="1" applyFont="1">
      <alignment horizontal="left" shrinkToFit="0" wrapText="1"/>
    </xf>
    <xf borderId="0" fillId="0" fontId="2" numFmtId="0" xfId="0" applyAlignment="1" applyFont="1">
      <alignment readingOrder="0"/>
    </xf>
    <xf borderId="5" fillId="0" fontId="2" numFmtId="0" xfId="0" applyAlignment="1" applyBorder="1" applyFont="1">
      <alignment horizontal="left" readingOrder="0" shrinkToFit="0" wrapText="1"/>
    </xf>
    <xf borderId="5" fillId="0" fontId="2" numFmtId="0" xfId="0" applyAlignment="1" applyBorder="1" applyFont="1">
      <alignment horizontal="left" readingOrder="0"/>
    </xf>
    <xf borderId="5" fillId="0" fontId="2" numFmtId="0" xfId="0" applyAlignment="1" applyBorder="1" applyFont="1">
      <alignment horizontal="left"/>
    </xf>
    <xf borderId="5" fillId="0" fontId="2" numFmtId="0" xfId="0" applyAlignment="1" applyBorder="1" applyFont="1">
      <alignment horizontal="left" readingOrder="0"/>
    </xf>
    <xf borderId="5" fillId="0" fontId="2" numFmtId="0" xfId="0" applyAlignment="1" applyBorder="1" applyFont="1">
      <alignment horizontal="left" readingOrder="0" shrinkToFit="0" wrapText="0"/>
    </xf>
    <xf borderId="5" fillId="0" fontId="2" numFmtId="0" xfId="0" applyAlignment="1" applyBorder="1" applyFont="1">
      <alignment horizontal="left" readingOrder="0" shrinkToFit="0" wrapText="1"/>
    </xf>
    <xf borderId="5" fillId="0" fontId="2" numFmtId="0" xfId="0" applyBorder="1" applyFont="1"/>
    <xf borderId="5" fillId="0" fontId="2" numFmtId="0" xfId="0" applyAlignment="1" applyBorder="1" applyFont="1">
      <alignment readingOrder="0"/>
    </xf>
    <xf borderId="5" fillId="0" fontId="2" numFmtId="0" xfId="0" applyAlignment="1" applyBorder="1" applyFont="1">
      <alignment readingOrder="0" shrinkToFit="0" wrapText="1"/>
    </xf>
    <xf borderId="5" fillId="0" fontId="2" numFmtId="0" xfId="0" applyAlignment="1" applyBorder="1" applyFont="1">
      <alignment readingOrder="0" shrinkToFit="0" wrapText="0"/>
    </xf>
    <xf borderId="5" fillId="0" fontId="2" numFmtId="0" xfId="0" applyBorder="1" applyFont="1"/>
    <xf borderId="5" fillId="0" fontId="2" numFmtId="0" xfId="0" applyAlignment="1" applyBorder="1" applyFont="1">
      <alignment readingOrder="0"/>
    </xf>
    <xf borderId="5" fillId="0" fontId="2" numFmtId="0" xfId="0" applyAlignment="1" applyBorder="1" applyFont="1">
      <alignment shrinkToFit="0" wrapText="1"/>
    </xf>
    <xf borderId="5" fillId="0" fontId="2" numFmtId="0" xfId="0" applyBorder="1" applyFont="1"/>
    <xf borderId="0" fillId="0" fontId="2" numFmtId="0" xfId="0" applyAlignment="1" applyFont="1">
      <alignment horizontal="left" readingOrder="0" shrinkToFit="0" wrapText="1"/>
    </xf>
    <xf borderId="5" fillId="0" fontId="2" numFmtId="0" xfId="0" applyAlignment="1" applyBorder="1" applyFont="1">
      <alignment horizontal="left" readingOrder="0" shrinkToFit="0" wrapText="0"/>
    </xf>
    <xf borderId="5" fillId="0" fontId="9" numFmtId="0" xfId="0" applyAlignment="1" applyBorder="1" applyFont="1">
      <alignment readingOrder="0" shrinkToFit="0" wrapText="1"/>
    </xf>
    <xf borderId="5" fillId="0" fontId="2" numFmtId="0" xfId="0" applyAlignment="1" applyBorder="1" applyFont="1">
      <alignment readingOrder="0" shrinkToFit="0" wrapText="0"/>
    </xf>
    <xf borderId="5" fillId="0" fontId="2" numFmtId="0" xfId="0" applyAlignment="1" applyBorder="1" applyFont="1">
      <alignment shrinkToFit="0" wrapText="0"/>
    </xf>
    <xf borderId="5" fillId="0" fontId="10" numFmtId="0" xfId="0" applyAlignment="1" applyBorder="1" applyFont="1">
      <alignment horizontal="left" readingOrder="0"/>
    </xf>
    <xf borderId="5" fillId="0" fontId="10" numFmtId="0" xfId="0" applyAlignment="1" applyBorder="1" applyFont="1">
      <alignment horizontal="left" readingOrder="0"/>
    </xf>
    <xf borderId="5" fillId="0" fontId="2" numFmtId="0" xfId="0" applyAlignment="1" applyBorder="1" applyFont="1">
      <alignment horizontal="left" readingOrder="0" shrinkToFit="0" wrapText="0"/>
    </xf>
    <xf borderId="5" fillId="9" fontId="2" numFmtId="0" xfId="0" applyAlignment="1" applyBorder="1" applyFill="1" applyFont="1">
      <alignment readingOrder="0"/>
    </xf>
    <xf borderId="0" fillId="0" fontId="2" numFmtId="164" xfId="0" applyAlignment="1" applyFont="1" applyNumberFormat="1">
      <alignment readingOrder="0" shrinkToFit="0" vertical="center" wrapText="0"/>
    </xf>
    <xf borderId="0" fillId="0" fontId="11" numFmtId="0" xfId="0" applyAlignment="1" applyFont="1">
      <alignment horizontal="left" readingOrder="0"/>
    </xf>
    <xf borderId="5" fillId="0" fontId="2" numFmtId="0" xfId="0" applyAlignment="1" applyBorder="1" applyFont="1">
      <alignment horizontal="left" readingOrder="0" shrinkToFit="0" wrapText="1"/>
    </xf>
    <xf borderId="5" fillId="0" fontId="12" numFmtId="49" xfId="0" applyAlignment="1" applyBorder="1" applyFont="1" applyNumberFormat="1">
      <alignment horizontal="center" readingOrder="0" shrinkToFit="0" vertical="bottom" wrapText="0"/>
    </xf>
    <xf borderId="5" fillId="0" fontId="12" numFmtId="165" xfId="0" applyAlignment="1" applyBorder="1" applyFont="1" applyNumberFormat="1">
      <alignment horizontal="center" shrinkToFit="0" vertical="bottom" wrapText="0"/>
    </xf>
    <xf borderId="5" fillId="4" fontId="10" numFmtId="0" xfId="0" applyAlignment="1" applyBorder="1" applyFont="1">
      <alignment readingOrder="0"/>
    </xf>
    <xf borderId="5" fillId="0" fontId="12" numFmtId="49" xfId="0" applyAlignment="1" applyBorder="1" applyFont="1" applyNumberFormat="1">
      <alignment horizontal="center" shrinkToFit="0" vertical="bottom" wrapText="0"/>
    </xf>
    <xf borderId="5" fillId="0" fontId="12" numFmtId="0" xfId="0" applyAlignment="1" applyBorder="1" applyFont="1">
      <alignment horizontal="center" shrinkToFit="0" vertical="bottom" wrapText="0"/>
    </xf>
    <xf borderId="5" fillId="4" fontId="10" numFmtId="0" xfId="0" applyBorder="1" applyFont="1"/>
    <xf borderId="5" fillId="0" fontId="12" numFmtId="0" xfId="0" applyAlignment="1" applyBorder="1" applyFont="1">
      <alignment horizontal="center" readingOrder="0" shrinkToFit="0" vertical="bottom" wrapText="0"/>
    </xf>
    <xf borderId="5" fillId="0" fontId="7" numFmtId="0" xfId="0" applyAlignment="1" applyBorder="1" applyFont="1">
      <alignment horizontal="center" shrinkToFit="0" vertical="bottom" wrapText="0"/>
    </xf>
    <xf borderId="5" fillId="0" fontId="7" numFmtId="0" xfId="0" applyAlignment="1" applyBorder="1" applyFont="1">
      <alignment horizontal="center" readingOrder="0" shrinkToFit="0" vertical="bottom" wrapText="0"/>
    </xf>
    <xf borderId="5" fillId="0" fontId="2" numFmtId="0" xfId="0" applyAlignment="1" applyBorder="1" applyFont="1">
      <alignment horizontal="left" readingOrder="0" shrinkToFit="0" wrapText="0"/>
    </xf>
    <xf borderId="5" fillId="0" fontId="7" numFmtId="0" xfId="0" applyAlignment="1" applyBorder="1" applyFont="1">
      <alignment shrinkToFit="0" vertical="bottom" wrapText="0"/>
    </xf>
    <xf borderId="5" fillId="0" fontId="8" numFmtId="0" xfId="0" applyAlignment="1" applyBorder="1" applyFont="1">
      <alignment readingOrder="0" shrinkToFit="0" wrapText="0"/>
    </xf>
    <xf borderId="5" fillId="0" fontId="2" numFmtId="0" xfId="0" applyAlignment="1" applyBorder="1" applyFont="1">
      <alignment readingOrder="0" shrinkToFit="0" wrapText="0"/>
    </xf>
    <xf borderId="5" fillId="0" fontId="2" numFmtId="0" xfId="0" applyAlignment="1" applyBorder="1" applyFont="1">
      <alignment readingOrder="0" shrinkToFit="0" wrapText="0"/>
    </xf>
    <xf borderId="5" fillId="0" fontId="2" numFmtId="165" xfId="0" applyAlignment="1" applyBorder="1" applyFont="1" applyNumberFormat="1">
      <alignment horizontal="center" readingOrder="0" shrinkToFit="0" wrapText="0"/>
    </xf>
    <xf borderId="5" fillId="0" fontId="2" numFmtId="49" xfId="0" applyAlignment="1" applyBorder="1" applyFont="1" applyNumberFormat="1">
      <alignment readingOrder="0" shrinkToFit="0" wrapText="0"/>
    </xf>
    <xf borderId="5" fillId="0" fontId="2" numFmtId="0" xfId="0" applyAlignment="1" applyBorder="1" applyFont="1">
      <alignment shrinkToFit="0" wrapText="0"/>
    </xf>
    <xf borderId="5" fillId="0" fontId="13" numFmtId="0" xfId="0" applyAlignment="1" applyBorder="1" applyFont="1">
      <alignment readingOrder="0" shrinkToFit="0" wrapText="0"/>
    </xf>
    <xf borderId="5" fillId="0" fontId="2" numFmtId="0" xfId="0" applyAlignment="1" applyBorder="1" applyFont="1">
      <alignment horizontal="left"/>
    </xf>
    <xf borderId="0" fillId="0" fontId="2" numFmtId="0" xfId="0" applyFont="1"/>
    <xf borderId="5" fillId="0" fontId="14" numFmtId="0" xfId="0" applyAlignment="1" applyBorder="1" applyFont="1">
      <alignment readingOrder="0" shrinkToFit="0" wrapText="0"/>
    </xf>
    <xf borderId="5" fillId="0" fontId="2" numFmtId="0" xfId="0" applyAlignment="1" applyBorder="1" applyFont="1">
      <alignment horizontal="right" readingOrder="0" shrinkToFit="0" wrapText="1"/>
    </xf>
    <xf borderId="0" fillId="0" fontId="2" numFmtId="0" xfId="0" applyAlignment="1" applyFont="1">
      <alignment horizontal="left" readingOrder="0"/>
    </xf>
    <xf borderId="5" fillId="0" fontId="2" numFmtId="0" xfId="0" applyAlignment="1" applyBorder="1" applyFont="1">
      <alignment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horizontal="left" readingOrder="0" shrinkToFit="0" wrapText="1"/>
    </xf>
    <xf borderId="5" fillId="0" fontId="2" numFmtId="0" xfId="0" applyAlignment="1" applyBorder="1" applyFont="1">
      <alignment horizontal="left"/>
    </xf>
    <xf borderId="5" fillId="0" fontId="2" numFmtId="0" xfId="0" applyAlignment="1" applyBorder="1" applyFont="1">
      <alignment horizontal="left"/>
    </xf>
    <xf borderId="5" fillId="0" fontId="2" numFmtId="0" xfId="0" applyAlignment="1" applyBorder="1" applyFont="1">
      <alignment readingOrder="0" shrinkToFit="0" wrapText="1"/>
    </xf>
    <xf borderId="5" fillId="0" fontId="2" numFmtId="0" xfId="0" applyAlignment="1" applyBorder="1" applyFont="1">
      <alignment horizontal="left" readingOrder="0" vertical="top"/>
    </xf>
    <xf borderId="5" fillId="0" fontId="2" numFmtId="0" xfId="0" applyAlignment="1" applyBorder="1" applyFont="1">
      <alignment horizontal="left" vertical="top"/>
    </xf>
    <xf borderId="5" fillId="0" fontId="2" numFmtId="0" xfId="0" applyAlignment="1" applyBorder="1" applyFont="1">
      <alignment horizontal="left" readingOrder="0" shrinkToFit="0" vertical="top" wrapText="1"/>
    </xf>
    <xf borderId="5" fillId="0" fontId="2" numFmtId="0" xfId="0" applyAlignment="1" applyBorder="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vertical="top"/>
    </xf>
    <xf borderId="5" fillId="0" fontId="2" numFmtId="49" xfId="0" applyAlignment="1" applyBorder="1" applyFont="1" applyNumberFormat="1">
      <alignment readingOrder="0" shrinkToFit="0" wrapText="0"/>
    </xf>
    <xf borderId="0" fillId="0" fontId="2" numFmtId="0" xfId="0" applyAlignment="1" applyFont="1">
      <alignment horizontal="left" readingOrder="0" shrinkToFit="0" wrapText="0"/>
    </xf>
    <xf borderId="5" fillId="0" fontId="2" numFmtId="0" xfId="0" applyAlignment="1" applyBorder="1" applyFont="1">
      <alignment horizontal="left" readingOrder="0"/>
    </xf>
    <xf borderId="5" fillId="0" fontId="2" numFmtId="165" xfId="0" applyAlignment="1" applyBorder="1" applyFont="1" applyNumberFormat="1">
      <alignment horizontal="center" readingOrder="0" shrinkToFit="0" wrapText="0"/>
    </xf>
    <xf borderId="5" fillId="0" fontId="2" numFmtId="0" xfId="0" applyAlignment="1" applyBorder="1" applyFont="1">
      <alignment horizontal="left" shrinkToFit="0" wrapText="0"/>
    </xf>
    <xf borderId="5" fillId="0" fontId="2" numFmtId="0" xfId="0" applyAlignment="1" applyBorder="1" applyFont="1">
      <alignment readingOrder="0" shrinkToFit="0" wrapText="1"/>
    </xf>
    <xf borderId="0" fillId="0" fontId="2" numFmtId="0" xfId="0" applyAlignment="1" applyFont="1">
      <alignment readingOrder="0" shrinkToFit="0" wrapText="1"/>
    </xf>
    <xf borderId="5" fillId="0" fontId="2" numFmtId="0" xfId="0" applyAlignment="1" applyBorder="1" applyFont="1">
      <alignment horizontal="left" shrinkToFit="0" wrapText="1"/>
    </xf>
    <xf borderId="5" fillId="0" fontId="2" numFmtId="0" xfId="0" applyAlignment="1" applyBorder="1" applyFont="1">
      <alignment readingOrder="0" vertical="top"/>
    </xf>
    <xf borderId="5" fillId="0" fontId="2" numFmtId="0" xfId="0" applyAlignment="1" applyBorder="1" applyFont="1">
      <alignment vertical="top"/>
    </xf>
    <xf borderId="5" fillId="0" fontId="2" numFmtId="0" xfId="0" applyAlignment="1" applyBorder="1" applyFont="1">
      <alignment readingOrder="0" shrinkToFit="0" vertical="top" wrapText="1"/>
    </xf>
    <xf borderId="5"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vertical="top"/>
    </xf>
    <xf borderId="5" fillId="0" fontId="2" numFmtId="0" xfId="0" applyAlignment="1" applyBorder="1" applyFont="1">
      <alignment readingOrder="0"/>
    </xf>
    <xf borderId="5" fillId="10" fontId="15" numFmtId="0" xfId="0" applyAlignment="1" applyBorder="1" applyFill="1" applyFont="1">
      <alignment horizontal="left" readingOrder="0" shrinkToFit="0" wrapText="0"/>
    </xf>
    <xf borderId="5" fillId="4" fontId="3" numFmtId="165" xfId="0" applyAlignment="1" applyBorder="1" applyFont="1" applyNumberFormat="1">
      <alignment horizontal="center" shrinkToFit="0" vertical="bottom" wrapText="0"/>
    </xf>
    <xf borderId="5" fillId="11" fontId="16" numFmtId="0" xfId="0" applyAlignment="1" applyBorder="1" applyFill="1" applyFont="1">
      <alignment horizontal="left" readingOrder="0"/>
    </xf>
    <xf borderId="5" fillId="0" fontId="17" numFmtId="0" xfId="0" applyAlignment="1" applyBorder="1" applyFont="1">
      <alignment readingOrder="0" shrinkToFit="0" wrapText="0"/>
    </xf>
    <xf borderId="0" fillId="0" fontId="2" numFmtId="0" xfId="0" applyAlignment="1" applyFont="1">
      <alignment shrinkToFit="0" wrapText="0"/>
    </xf>
    <xf borderId="0" fillId="0" fontId="2" numFmtId="0" xfId="0" applyAlignment="1" applyFont="1">
      <alignment shrinkToFit="0" wrapText="0"/>
    </xf>
    <xf borderId="0" fillId="0" fontId="2" numFmtId="0" xfId="0" applyAlignment="1" applyFont="1">
      <alignment shrinkToFit="0" wrapText="0"/>
    </xf>
    <xf borderId="5" fillId="0" fontId="2" numFmtId="0" xfId="0" applyAlignment="1" applyBorder="1" applyFont="1">
      <alignment shrinkToFit="0" wrapText="0"/>
    </xf>
    <xf borderId="5" fillId="4" fontId="3" numFmtId="165" xfId="0" applyAlignment="1" applyBorder="1" applyFont="1" applyNumberFormat="1">
      <alignment horizontal="center" readingOrder="0" shrinkToFit="0" vertical="bottom" wrapText="0"/>
    </xf>
    <xf borderId="5" fillId="0" fontId="2" numFmtId="0" xfId="0" applyAlignment="1" applyBorder="1" applyFont="1">
      <alignment shrinkToFit="0" wrapText="0"/>
    </xf>
    <xf borderId="5" fillId="4" fontId="3" numFmtId="0" xfId="0" applyAlignment="1" applyBorder="1" applyFont="1">
      <alignment horizontal="center" readingOrder="0" shrinkToFit="0" vertical="bottom" wrapText="0"/>
    </xf>
    <xf borderId="0" fillId="0" fontId="18" numFmtId="0" xfId="0" applyAlignment="1" applyFont="1">
      <alignment readingOrder="0" shrinkToFit="0" wrapText="0"/>
    </xf>
    <xf borderId="5" fillId="0" fontId="2" numFmtId="0" xfId="0" applyAlignment="1" applyBorder="1" applyFont="1">
      <alignment shrinkToFit="0" wrapText="1"/>
    </xf>
    <xf borderId="5" fillId="0" fontId="2" numFmtId="0" xfId="0" applyAlignment="1" applyBorder="1" applyFont="1">
      <alignment readingOrder="0" shrinkToFit="0" wrapText="0"/>
    </xf>
    <xf borderId="5" fillId="0" fontId="2" numFmtId="0" xfId="0" applyAlignment="1" applyBorder="1" applyFont="1">
      <alignment horizontal="left" shrinkToFit="0" wrapText="0"/>
    </xf>
    <xf borderId="0" fillId="0" fontId="19" numFmtId="0" xfId="0" applyAlignment="1" applyFont="1">
      <alignment readingOrder="0" shrinkToFit="0" wrapText="0"/>
    </xf>
    <xf borderId="5" fillId="0" fontId="2" numFmtId="0" xfId="0" applyAlignment="1" applyBorder="1" applyFont="1">
      <alignment readingOrder="0" shrinkToFit="0" wrapText="1"/>
    </xf>
    <xf borderId="5" fillId="0" fontId="2" numFmtId="0" xfId="0" applyAlignment="1" applyBorder="1" applyFont="1">
      <alignment readingOrder="0"/>
    </xf>
    <xf borderId="5" fillId="0" fontId="11" numFmtId="0" xfId="0" applyAlignment="1" applyBorder="1" applyFont="1">
      <alignment horizontal="left" readingOrder="0"/>
    </xf>
    <xf borderId="0" fillId="0" fontId="2" numFmtId="0" xfId="0" applyAlignment="1" applyFont="1">
      <alignment shrinkToFit="0" wrapText="0"/>
    </xf>
    <xf borderId="0" fillId="0" fontId="20" numFmtId="0" xfId="0" applyAlignment="1" applyFont="1">
      <alignment readingOrder="0" shrinkToFit="0" wrapText="0"/>
    </xf>
    <xf borderId="0" fillId="0" fontId="21" numFmtId="0" xfId="0" applyAlignment="1" applyFont="1">
      <alignment horizontal="center" readingOrder="0" shrinkToFit="0" vertical="bottom" wrapText="0"/>
    </xf>
    <xf borderId="0" fillId="0" fontId="21" numFmtId="0" xfId="0" applyAlignment="1" applyFont="1">
      <alignment horizontal="center" readingOrder="0" shrinkToFit="0" vertical="bottom" wrapText="0"/>
    </xf>
    <xf borderId="0" fillId="0" fontId="8" numFmtId="0" xfId="0" applyAlignment="1" applyFont="1">
      <alignment readingOrder="0" shrinkToFit="0" wrapText="0"/>
    </xf>
    <xf borderId="0" fillId="0" fontId="3" numFmtId="0" xfId="0" applyAlignment="1" applyFont="1">
      <alignment horizontal="center" vertical="bottom"/>
    </xf>
    <xf borderId="0" fillId="0" fontId="7" numFmtId="0" xfId="0" applyAlignment="1" applyFont="1">
      <alignment horizontal="center" readingOrder="0" vertical="bottom"/>
    </xf>
    <xf borderId="0" fillId="0" fontId="2" numFmtId="0" xfId="0" applyAlignment="1" applyFont="1">
      <alignment readingOrder="0" shrinkToFit="0" wrapText="0"/>
    </xf>
    <xf borderId="0" fillId="0" fontId="3" numFmtId="0" xfId="0" applyAlignment="1" applyFont="1">
      <alignment horizontal="center" readingOrder="0" vertical="bottom"/>
    </xf>
    <xf borderId="0" fillId="0" fontId="7" numFmtId="0" xfId="0" applyAlignment="1" applyFont="1">
      <alignment horizontal="center" vertical="bottom"/>
    </xf>
    <xf borderId="5" fillId="0" fontId="2" numFmtId="0" xfId="0" applyAlignment="1" applyBorder="1" applyFont="1">
      <alignment readingOrder="0" shrinkToFit="0" wrapText="0"/>
    </xf>
    <xf borderId="0" fillId="12" fontId="3" numFmtId="0" xfId="0" applyAlignment="1" applyFill="1" applyFont="1">
      <alignment horizontal="center" vertical="bottom"/>
    </xf>
    <xf borderId="0" fillId="12" fontId="3" numFmtId="0" xfId="0" applyAlignment="1" applyFont="1">
      <alignment horizontal="center" readingOrder="0" vertical="bottom"/>
    </xf>
    <xf borderId="5" fillId="0" fontId="11" numFmtId="0" xfId="0" applyAlignment="1" applyBorder="1" applyFont="1">
      <alignment readingOrder="0"/>
    </xf>
    <xf borderId="5" fillId="0" fontId="22" numFmtId="0" xfId="0" applyAlignment="1" applyBorder="1" applyFont="1">
      <alignment readingOrder="0"/>
    </xf>
    <xf borderId="5" fillId="0" fontId="2" numFmtId="49" xfId="0" applyAlignment="1" applyBorder="1" applyFont="1" applyNumberFormat="1">
      <alignment shrinkToFit="0" wrapText="0"/>
    </xf>
    <xf borderId="0" fillId="0" fontId="2" numFmtId="0" xfId="0" applyAlignment="1" applyFont="1">
      <alignment readingOrder="0" shrinkToFit="0" wrapText="1"/>
    </xf>
    <xf borderId="0" fillId="0" fontId="2" numFmtId="0" xfId="0" applyAlignment="1" applyFont="1">
      <alignment shrinkToFit="0" wrapText="1"/>
    </xf>
    <xf borderId="0" fillId="13" fontId="3" numFmtId="0" xfId="0" applyAlignment="1" applyFill="1" applyFont="1">
      <alignment horizontal="center" vertical="bottom"/>
    </xf>
    <xf borderId="0" fillId="13" fontId="3" numFmtId="0" xfId="0" applyAlignment="1" applyFont="1">
      <alignment horizontal="center" readingOrder="0" vertical="bottom"/>
    </xf>
    <xf borderId="5" fillId="0" fontId="2" numFmtId="0" xfId="0" applyAlignment="1" applyBorder="1" applyFont="1">
      <alignment shrinkToFit="0" wrapText="0"/>
    </xf>
    <xf borderId="5" fillId="0" fontId="23" numFmtId="0" xfId="0" applyAlignment="1" applyBorder="1" applyFont="1">
      <alignment readingOrder="0" shrinkToFit="0" wrapText="0"/>
    </xf>
    <xf borderId="0" fillId="0" fontId="2" numFmtId="0" xfId="0" applyAlignment="1" applyFont="1">
      <alignment readingOrder="0" shrinkToFit="0" wrapText="0"/>
    </xf>
    <xf borderId="0" fillId="4" fontId="3" numFmtId="0" xfId="0" applyAlignment="1" applyFont="1">
      <alignment readingOrder="0" vertical="bottom"/>
    </xf>
    <xf borderId="0" fillId="4" fontId="3" numFmtId="0" xfId="0" applyAlignment="1" applyFont="1">
      <alignment horizontal="right" shrinkToFit="0" vertical="bottom" wrapText="0"/>
    </xf>
    <xf borderId="0" fillId="4" fontId="2" numFmtId="0" xfId="0" applyAlignment="1" applyFont="1">
      <alignment readingOrder="0" shrinkToFit="0" wrapText="0"/>
    </xf>
    <xf borderId="0" fillId="4" fontId="2" numFmtId="0" xfId="0" applyAlignment="1" applyFont="1">
      <alignment shrinkToFit="0" wrapText="0"/>
    </xf>
    <xf borderId="0" fillId="14" fontId="2" numFmtId="0" xfId="0" applyAlignment="1" applyFill="1" applyFont="1">
      <alignment readingOrder="0" shrinkToFit="0" wrapText="0"/>
    </xf>
    <xf borderId="0" fillId="14" fontId="2" numFmtId="0" xfId="0" applyAlignment="1" applyFont="1">
      <alignment shrinkToFit="0" wrapText="0"/>
    </xf>
    <xf borderId="0" fillId="14" fontId="3" numFmtId="0" xfId="0" applyAlignment="1" applyFont="1">
      <alignment vertical="bottom"/>
    </xf>
    <xf borderId="0" fillId="14" fontId="3" numFmtId="0" xfId="0" applyAlignment="1" applyFont="1">
      <alignment horizontal="right" shrinkToFit="0" vertical="bottom" wrapText="0"/>
    </xf>
    <xf borderId="0" fillId="4" fontId="3" numFmtId="0" xfId="0" applyAlignment="1" applyFont="1">
      <alignment vertical="bottom"/>
    </xf>
    <xf borderId="0" fillId="14" fontId="3" numFmtId="0" xfId="0" applyAlignment="1" applyFont="1">
      <alignment readingOrder="0" shrinkToFit="0" vertical="bottom" wrapText="0"/>
    </xf>
    <xf borderId="0" fillId="14" fontId="3" numFmtId="0" xfId="0" applyAlignment="1" applyFont="1">
      <alignment horizontal="right" readingOrder="0" shrinkToFit="0" vertical="bottom" wrapText="0"/>
    </xf>
    <xf borderId="5" fillId="0" fontId="2" numFmtId="165" xfId="0" applyAlignment="1" applyBorder="1" applyFont="1" applyNumberFormat="1">
      <alignment horizontal="center" readingOrder="0"/>
    </xf>
    <xf borderId="5" fillId="0" fontId="2" numFmtId="49" xfId="0" applyAlignment="1" applyBorder="1" applyFont="1" applyNumberFormat="1">
      <alignment readingOrder="0" shrinkToFit="0" wrapText="1"/>
    </xf>
    <xf borderId="5" fillId="0" fontId="2" numFmtId="0" xfId="0" applyAlignment="1" applyBorder="1" applyFont="1">
      <alignment horizontal="center" readingOrder="0"/>
    </xf>
    <xf borderId="0" fillId="0" fontId="24" numFmtId="0" xfId="0" applyAlignment="1" applyFont="1">
      <alignment readingOrder="0"/>
    </xf>
    <xf borderId="0" fillId="0" fontId="2" numFmtId="49" xfId="0" applyAlignment="1" applyFont="1" applyNumberFormat="1">
      <alignment readingOrder="0"/>
    </xf>
    <xf borderId="5" fillId="0" fontId="2" numFmtId="165" xfId="0" applyAlignment="1" applyBorder="1" applyFont="1" applyNumberFormat="1">
      <alignment horizontal="center"/>
    </xf>
    <xf borderId="5" fillId="0" fontId="2" numFmtId="49" xfId="0" applyAlignment="1" applyBorder="1" applyFont="1" applyNumberFormat="1">
      <alignment shrinkToFit="0" wrapText="1"/>
    </xf>
  </cellXfs>
  <cellStyles count="1">
    <cellStyle xfId="0" name="Normal" builtinId="0"/>
  </cellStyles>
  <dxfs count="8">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B7E1CD"/>
          <bgColor rgb="FFB7E1CD"/>
        </patternFill>
      </fill>
      <border/>
    </dxf>
  </dxfs>
  <tableStyles count="53">
    <tableStyle count="4" pivot="0" name="Booked Slots-style">
      <tableStyleElement dxfId="1" type="headerRow"/>
      <tableStyleElement dxfId="2" type="firstRowStripe"/>
      <tableStyleElement dxfId="3" type="secondRowStripe"/>
      <tableStyleElement dxfId="4" size="0" type="wholeTable"/>
    </tableStyle>
    <tableStyle count="4" pivot="0" name="FR5-style">
      <tableStyleElement dxfId="1" type="headerRow"/>
      <tableStyleElement dxfId="2" type="firstRowStripe"/>
      <tableStyleElement dxfId="3" type="secondRowStripe"/>
      <tableStyleElement dxfId="4" size="0" type="wholeTable"/>
    </tableStyle>
    <tableStyle count="4" pivot="0" name="FR6-style">
      <tableStyleElement dxfId="1" type="headerRow"/>
      <tableStyleElement dxfId="2" type="firstRowStripe"/>
      <tableStyleElement dxfId="3" type="secondRowStripe"/>
      <tableStyleElement dxfId="4" size="0" type="wholeTable"/>
    </tableStyle>
    <tableStyle count="3" pivot="0" name="Sheet17-style">
      <tableStyleElement dxfId="5" type="headerRow"/>
      <tableStyleElement dxfId="6" type="firstRowStripe"/>
      <tableStyleElement dxfId="2" type="secondRowStripe"/>
    </tableStyle>
    <tableStyle count="4" pivot="0" name="FR2-style">
      <tableStyleElement dxfId="1" type="headerRow"/>
      <tableStyleElement dxfId="2" type="firstRowStripe"/>
      <tableStyleElement dxfId="3" type="secondRowStripe"/>
      <tableStyleElement dxfId="4" size="0" type="wholeTable"/>
    </tableStyle>
    <tableStyle count="4" pivot="0" name="FR4-style">
      <tableStyleElement dxfId="1" type="headerRow"/>
      <tableStyleElement dxfId="2" type="firstRowStripe"/>
      <tableStyleElement dxfId="3" type="secondRowStripe"/>
      <tableStyleElement dxfId="4" size="0" type="wholeTable"/>
    </tableStyle>
    <tableStyle count="4" pivot="0" name="FR0-style">
      <tableStyleElement dxfId="1" type="headerRow"/>
      <tableStyleElement dxfId="2" type="firstRowStripe"/>
      <tableStyleElement dxfId="3" type="secondRowStripe"/>
      <tableStyleElement dxfId="4" size="0" type="wholeTable"/>
    </tableStyle>
    <tableStyle count="4" pivot="0" name="FR3-style">
      <tableStyleElement dxfId="1" type="headerRow"/>
      <tableStyleElement dxfId="2" type="firstRowStripe"/>
      <tableStyleElement dxfId="3" type="secondRowStripe"/>
      <tableStyleElement dxfId="4" size="0" type="wholeTable"/>
    </tableStyle>
    <tableStyle count="4" pivot="0" name="FR1-style">
      <tableStyleElement dxfId="1" type="headerRow"/>
      <tableStyleElement dxfId="2" type="firstRowStripe"/>
      <tableStyleElement dxfId="3" type="secondRowStripe"/>
      <tableStyleElement dxfId="4" size="0" type="wholeTable"/>
    </tableStyle>
    <tableStyle count="2" pivot="0" name="Summary-style">
      <tableStyleElement dxfId="2" type="firstRowStripe"/>
      <tableStyleElement dxfId="3" type="secondRowStripe"/>
    </tableStyle>
    <tableStyle count="2" pivot="0" name="Summary-style 2">
      <tableStyleElement dxfId="2" type="firstRowStripe"/>
      <tableStyleElement dxfId="3" type="secondRowStripe"/>
    </tableStyle>
    <tableStyle count="2" pivot="0" name="Summary-style 3">
      <tableStyleElement dxfId="2" type="firstRowStripe"/>
      <tableStyleElement dxfId="3" type="secondRowStripe"/>
    </tableStyle>
    <tableStyle count="2" pivot="0" name="Summary-style 4">
      <tableStyleElement dxfId="2" type="firstRowStripe"/>
      <tableStyleElement dxfId="3" type="secondRowStripe"/>
    </tableStyle>
    <tableStyle count="2" pivot="0" name="Summary-style 5">
      <tableStyleElement dxfId="2" type="firstRowStripe"/>
      <tableStyleElement dxfId="3" type="secondRowStripe"/>
    </tableStyle>
    <tableStyle count="2" pivot="0" name="Summary-style 6">
      <tableStyleElement dxfId="3" type="firstRowStripe"/>
      <tableStyleElement dxfId="2" type="secondRowStripe"/>
    </tableStyle>
    <tableStyle count="2" pivot="0" name="Summary-style 7">
      <tableStyleElement dxfId="3" type="firstRowStripe"/>
      <tableStyleElement dxfId="2" type="secondRowStripe"/>
    </tableStyle>
    <tableStyle count="2" pivot="0" name="Summary-style 8">
      <tableStyleElement dxfId="3" type="firstRowStripe"/>
      <tableStyleElement dxfId="2" type="secondRowStripe"/>
    </tableStyle>
    <tableStyle count="2" pivot="0" name="Summary-style 9">
      <tableStyleElement dxfId="2" type="firstRowStripe"/>
      <tableStyleElement dxfId="3" type="secondRowStripe"/>
    </tableStyle>
    <tableStyle count="2" pivot="0" name="Summary-style 10">
      <tableStyleElement dxfId="3" type="firstRowStripe"/>
      <tableStyleElement dxfId="2" type="secondRowStripe"/>
    </tableStyle>
    <tableStyle count="2" pivot="0" name="Summary-style 11">
      <tableStyleElement dxfId="2" type="firstRowStripe"/>
      <tableStyleElement dxfId="3" type="secondRowStripe"/>
    </tableStyle>
    <tableStyle count="2" pivot="0" name="Summary-style 12">
      <tableStyleElement dxfId="3" type="firstRowStripe"/>
      <tableStyleElement dxfId="2" type="secondRowStripe"/>
    </tableStyle>
    <tableStyle count="2" pivot="0" name="Summary-style 13">
      <tableStyleElement dxfId="3" type="firstRowStripe"/>
      <tableStyleElement dxfId="2" type="secondRowStripe"/>
    </tableStyle>
    <tableStyle count="2" pivot="0" name="Summary-style 14">
      <tableStyleElement dxfId="3" type="firstRowStripe"/>
      <tableStyleElement dxfId="2" type="secondRowStripe"/>
    </tableStyle>
    <tableStyle count="2" pivot="0" name="Summary-style 15">
      <tableStyleElement dxfId="2" type="firstRowStripe"/>
      <tableStyleElement dxfId="3" type="secondRowStripe"/>
    </tableStyle>
    <tableStyle count="2" pivot="0" name="Summary-style 16">
      <tableStyleElement dxfId="3" type="firstRowStripe"/>
      <tableStyleElement dxfId="2" type="secondRowStripe"/>
    </tableStyle>
    <tableStyle count="2" pivot="0" name="Summary-style 17">
      <tableStyleElement dxfId="3" type="firstRowStripe"/>
      <tableStyleElement dxfId="2" type="secondRowStripe"/>
    </tableStyle>
    <tableStyle count="2" pivot="0" name="Summary-style 18">
      <tableStyleElement dxfId="3" type="firstRowStripe"/>
      <tableStyleElement dxfId="2" type="secondRowStripe"/>
    </tableStyle>
    <tableStyle count="2" pivot="0" name="Summary-style 19">
      <tableStyleElement dxfId="3" type="firstRowStripe"/>
      <tableStyleElement dxfId="2" type="secondRowStripe"/>
    </tableStyle>
    <tableStyle count="2" pivot="0" name="FS - Jan26-style">
      <tableStyleElement dxfId="2" type="firstRowStripe"/>
      <tableStyleElement dxfId="3" type="secondRowStripe"/>
    </tableStyle>
    <tableStyle count="2" pivot="0" name="FS - Jan26-style 2">
      <tableStyleElement dxfId="3" type="firstRowStripe"/>
      <tableStyleElement dxfId="2" type="secondRowStripe"/>
    </tableStyle>
    <tableStyle count="2" pivot="0" name="FS - Jan26-style 3">
      <tableStyleElement dxfId="3" type="firstRowStripe"/>
      <tableStyleElement dxfId="2" type="secondRowStripe"/>
    </tableStyle>
    <tableStyle count="2" pivot="0" name="FS - Jan26-style 4">
      <tableStyleElement dxfId="3" type="firstRowStripe"/>
      <tableStyleElement dxfId="2" type="secondRowStripe"/>
    </tableStyle>
    <tableStyle count="2" pivot="0" name="FS - Jan26-style 5">
      <tableStyleElement dxfId="2" type="firstRowStripe"/>
      <tableStyleElement dxfId="3" type="secondRowStripe"/>
    </tableStyle>
    <tableStyle count="2" pivot="0" name="FS - Jan26-style 6">
      <tableStyleElement dxfId="3" type="firstRowStripe"/>
      <tableStyleElement dxfId="2" type="secondRowStripe"/>
    </tableStyle>
    <tableStyle count="2" pivot="0" name="FS - Jan26-style 7">
      <tableStyleElement dxfId="2" type="firstRowStripe"/>
      <tableStyleElement dxfId="3" type="secondRowStripe"/>
    </tableStyle>
    <tableStyle count="2" pivot="0" name="FS - Jan26-style 8">
      <tableStyleElement dxfId="3" type="firstRowStripe"/>
      <tableStyleElement dxfId="2" type="secondRowStripe"/>
    </tableStyle>
    <tableStyle count="2" pivot="0" name="FS - Jan26-style 9">
      <tableStyleElement dxfId="2" type="firstRowStripe"/>
      <tableStyleElement dxfId="3" type="secondRowStripe"/>
    </tableStyle>
    <tableStyle count="2" pivot="0" name="FS - Jan26-style 10">
      <tableStyleElement dxfId="3" type="firstRowStripe"/>
      <tableStyleElement dxfId="2" type="secondRowStripe"/>
    </tableStyle>
    <tableStyle count="2" pivot="0" name="FS - Jan26-style 11">
      <tableStyleElement dxfId="3" type="firstRowStripe"/>
      <tableStyleElement dxfId="2" type="secondRowStripe"/>
    </tableStyle>
    <tableStyle count="2" pivot="0" name="FS - Jan26-style 12">
      <tableStyleElement dxfId="3" type="firstRowStripe"/>
      <tableStyleElement dxfId="2" type="secondRowStripe"/>
    </tableStyle>
    <tableStyle count="2" pivot="0" name="FS - Jan26-style 13">
      <tableStyleElement dxfId="3" type="firstRowStripe"/>
      <tableStyleElement dxfId="2" type="secondRowStripe"/>
    </tableStyle>
    <tableStyle count="2" pivot="0" name="SD - Jan26-style">
      <tableStyleElement dxfId="3" type="firstRowStripe"/>
      <tableStyleElement dxfId="2" type="secondRowStripe"/>
    </tableStyle>
    <tableStyle count="2" pivot="0" name="SD - Jan26-style 2">
      <tableStyleElement dxfId="2" type="firstRowStripe"/>
      <tableStyleElement dxfId="3" type="secondRowStripe"/>
    </tableStyle>
    <tableStyle count="2" pivot="0" name="SD - Jan26-style 3">
      <tableStyleElement dxfId="2" type="firstRowStripe"/>
      <tableStyleElement dxfId="3" type="secondRowStripe"/>
    </tableStyle>
    <tableStyle count="2" pivot="0" name="SD - Jan26-style 4">
      <tableStyleElement dxfId="2" type="firstRowStripe"/>
      <tableStyleElement dxfId="3" type="secondRowStripe"/>
    </tableStyle>
    <tableStyle count="2" pivot="0" name="SD - Jan26-style 5">
      <tableStyleElement dxfId="3" type="firstRowStripe"/>
      <tableStyleElement dxfId="2" type="secondRowStripe"/>
    </tableStyle>
    <tableStyle count="2" pivot="0" name="SD - Jan26-style 6">
      <tableStyleElement dxfId="2" type="firstRowStripe"/>
      <tableStyleElement dxfId="3" type="secondRowStripe"/>
    </tableStyle>
    <tableStyle count="2" pivot="0" name="SD - Jan26-style 7">
      <tableStyleElement dxfId="2" type="firstRowStripe"/>
      <tableStyleElement dxfId="3" type="secondRowStripe"/>
    </tableStyle>
    <tableStyle count="2" pivot="0" name="SD - Jan26-style 8">
      <tableStyleElement dxfId="3" type="firstRowStripe"/>
      <tableStyleElement dxfId="2" type="secondRowStripe"/>
    </tableStyle>
    <tableStyle count="2" pivot="0" name="SD - Jan26-style 9">
      <tableStyleElement dxfId="3" type="firstRowStripe"/>
      <tableStyleElement dxfId="2" type="secondRowStripe"/>
    </tableStyle>
    <tableStyle count="2" pivot="0" name="SD - Jan26-style 10">
      <tableStyleElement dxfId="3" type="firstRowStripe"/>
      <tableStyleElement dxfId="2" type="secondRowStripe"/>
    </tableStyle>
    <tableStyle count="2" pivot="0" name="SD - Jan26-style 11">
      <tableStyleElement dxfId="3" type="firstRowStripe"/>
      <tableStyleElement dxfId="2" type="secondRowStripe"/>
    </tableStyle>
    <tableStyle count="2" pivot="0" name="Sheet15-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pivotCacheDefinition" Target="pivotCache/pivotCacheDefinition1.xml"/><Relationship Id="rId25" Type="http://schemas.openxmlformats.org/officeDocument/2006/relationships/worksheet" Target="worksheets/sheet21.xml"/><Relationship Id="rId27" Type="http://schemas.openxmlformats.org/officeDocument/2006/relationships/pivotCacheDefinition" Target="pivotCache/pivotCacheDefinition2.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166" sheet="Sheet15"/>
  </cacheSource>
  <cacheFields>
    <cacheField name="Email" numFmtId="0">
      <sharedItems>
        <s v="21f1001547@ds.study.iitm.ac.in"/>
        <s v="21f1001693@ds.study.iitm.ac.in"/>
        <s v="21f1001697@ds.study.iitm.ac.in"/>
        <s v="21f1001721@ds.study.iitm.ac.in"/>
        <s v="21f1002144@ds.study.iitm.ac.in"/>
        <s v="21f1003066@ds.study.iitm.ac.in"/>
        <s v="21f1003157@ds.study.iitm.ac.in"/>
        <s v="21f1003259@ds.study.iitm.ac.in"/>
        <s v="21f1003639@ds.study.iitm.ac.in"/>
        <s v="21f1004098@ds.study.iitm.ac.in"/>
        <s v="21f1004720@ds.study.iitm.ac.in"/>
        <s v="21f1006589@ds.study.iitm.ac.in"/>
        <s v="21f1006852@ds.study.iitm.ac.in"/>
        <s v="21f1006870@ds.study.iitm.ac.in"/>
        <s v="21f2000306@ds.study.iitm.ac.in"/>
        <s v="21f2000584@ds.study.iitm.ac.in"/>
        <s v="21f2000858@ds.study.iitm.ac.in"/>
        <s v="21f2001077@ds.study.iitm.ac.in"/>
        <s v="21f2001124@ds.study.iitm.ac.in"/>
        <s v="21f3000254@ds.study.iitm.ac.in"/>
        <s v="21f3000417@ds.study.iitm.ac.in"/>
        <s v="21f3000883@ds.study.iitm.ac.in"/>
        <s v="21f3001076@ds.study.iitm.ac.in"/>
        <s v="21f3001234@ds.study.iitm.ac.in"/>
        <s v="21f3001304@ds.study.iitm.ac.in"/>
        <s v="21f3001527@ds.study.iitm.ac.in"/>
        <s v="21f3001560@ds.study.iitm.ac.in"/>
        <s v="21f3002397@ds.study.iitm.ac.in"/>
        <s v="21f3002511@ds.study.iitm.ac.in"/>
        <s v="21f3002599@ds.study.iitm.ac.in"/>
        <s v="21f3002998@ds.study.iitm.ac.in"/>
        <s v="21f3003030@ds.study.iitm.ac.in"/>
        <s v="21f3003238@ds.study.iitm.ac.in"/>
        <s v="22f1000455@ds.study.iitm.ac.in"/>
        <s v="22f1000533@ds.study.iitm.ac.in"/>
        <s v="22f1000624@ds.study.iitm.ac.in"/>
        <s v="22f1000662@ds.study.iitm.ac.in"/>
        <s v="22f1000765@ds.study.iitm.ac.in"/>
        <s v="22f1000776@ds.study.iitm.ac.in"/>
        <s v="22f1000938@ds.study.iitm.ac.in"/>
        <s v="22f1001053@ds.study.iitm.ac.in"/>
        <s v="22f1001058@ds.study.iitm.ac.in"/>
        <s v="22f1001082@ds.study.iitm.ac.in"/>
        <s v="22f1001536@ds.study.iitm.ac.in"/>
        <s v="22f1001551@ds.study.iitm.ac.in"/>
        <s v="22f1001934@ds.study.iitm.ac.in"/>
        <s v="22f2000364@ds.study.iitm.ac.in"/>
        <s v="22f2001062@ds.study.iitm.ac.in"/>
        <s v="22f2001129@ds.study.iitm.ac.in"/>
        <s v="22f2001226@ds.study.iitm.ac.in"/>
        <s v="22f2001255@ds.study.iitm.ac.in"/>
        <s v="22f2001282@ds.study.iitm.ac.in"/>
        <s v="22f2001444@ds.study.iitm.ac.in"/>
        <s v="22f2001468@ds.study.iitm.ac.in"/>
        <s v="22f2001565@ds.study.iitm.ac.in"/>
        <s v="22f3000089@ds.study.iitm.ac.in"/>
        <s v="22f3000107@ds.study.iitm.ac.in"/>
        <s v="22f3000519@ds.study.iitm.ac.in"/>
        <s v="22f3000526@ds.study.iitm.ac.in"/>
        <s v="22f3000528@ds.study.iitm.ac.in"/>
        <s v="22f3000657@ds.study.iitm.ac.in"/>
        <s v="22f3000694@ds.study.iitm.ac.in"/>
        <s v="22f3000808@ds.study.iitm.ac.in"/>
        <s v="22f3000926@ds.study.iitm.ac.in"/>
        <s v="22f3000935@ds.study.iitm.ac.in"/>
        <s v="22f3000982@ds.study.iitm.ac.in"/>
        <s v="22f3001005@ds.study.iitm.ac.in"/>
        <s v="22f3001090@ds.study.iitm.ac.in"/>
        <s v="22f3001115@ds.study.iitm.ac.in"/>
        <s v="22f3001210@ds.study.iitm.ac.in"/>
        <s v="22f3001285@ds.study.iitm.ac.in"/>
        <s v="22f3001315@ds.study.iitm.ac.in"/>
        <s v="22f3001352@ds.study.iitm.ac.in"/>
        <s v="22f3001480@ds.study.iitm.ac.in"/>
        <s v="22f3001551@ds.study.iitm.ac.in"/>
        <s v="22f3001741@ds.study.iitm.ac.in"/>
        <s v="22f3001755@ds.study.iitm.ac.in"/>
        <s v="22f3001758@ds.study.iitm.ac.in"/>
        <s v="22f3001778@ds.study.iitm.ac.in"/>
        <s v="22f3001789@ds.study.iitm.ac.in"/>
        <s v="22f3002045@ds.study.iitm.ac.in"/>
        <s v="22f3002166@ds.study.iitm.ac.in"/>
        <s v="22f3002191@ds.study.iitm.ac.in"/>
        <s v="22f3002299@ds.study.iitm.ac.in"/>
        <s v="22f3002393@ds.study.iitm.ac.in"/>
        <s v="22f3002399@ds.study.iitm.ac.in"/>
        <s v="22f3002587@ds.study.iitm.ac.in"/>
        <s v="22f3002597@ds.study.iitm.ac.in"/>
        <s v="22f3002771@ds.study.iitm.ac.in"/>
        <s v="22f3002782@ds.study.iitm.ac.in"/>
        <s v="22f3002914@ds.study.iitm.ac.in"/>
        <s v="22f3003001@ds.study.iitm.ac.in"/>
        <s v="22f3003015@ds.study.iitm.ac.in"/>
        <s v="23f1000049@ds.study.iitm.ac.in"/>
        <s v="23f1000267@ds.study.iitm.ac.in"/>
        <s v="23f1000358@ds.study.iitm.ac.in"/>
        <s v="23f1000718@ds.study.iitm.ac.in"/>
        <s v="23f1000873@ds.study.iitm.ac.in"/>
        <s v="23f1000932@ds.study.iitm.ac.in"/>
        <s v="23f1000966@ds.study.iitm.ac.in"/>
        <s v="23f1001156@ds.study.iitm.ac.in"/>
        <s v="23f1001316@ds.study.iitm.ac.in"/>
        <s v="23f1001323@ds.study.iitm.ac.in"/>
        <s v="23f1001556@ds.study.iitm.ac.in"/>
        <s v="23f1001709@ds.study.iitm.ac.in"/>
        <s v="23f1001797@ds.study.iitm.ac.in"/>
        <s v="23f1001947@ds.study.iitm.ac.in"/>
        <s v="23f1002240@ds.study.iitm.ac.in"/>
        <s v="23f1002786@ds.study.iitm.ac.in"/>
        <s v="23f1002849@ds.study.iitm.ac.in"/>
        <s v="23f1003112@ds.study.iitm.ac.in"/>
        <s v="23f1003150@ds.study.iitm.ac.in"/>
        <s v="23f1003168@ds.study.iitm.ac.in"/>
        <s v="23f2000098@ds.study.iitm.ac.in"/>
        <s v="23f2000260@ds.study.iitm.ac.in"/>
        <s v="23f2000566@ds.study.iitm.ac.in"/>
        <s v="23f2000575@ds.study.iitm.ac.in"/>
        <s v="23f2000592@ds.study.iitm.ac.in"/>
        <s v="23f2000783@ds.study.iitm.ac.in"/>
        <s v="23f2001262@ds.study.iitm.ac.in"/>
        <s v="23f2001475@ds.study.iitm.ac.in"/>
        <s v="23f2001481@ds.study.iitm.ac.in"/>
        <s v="23f2003521@ds.study.iitm.ac.in"/>
        <s v="23f2003549@ds.study.iitm.ac.in"/>
        <s v="23f2003584@ds.study.iitm.ac.in"/>
        <s v="23f2003700@ds.study.iitm.ac.in"/>
        <s v="23f2003874@ds.study.iitm.ac.in"/>
        <s v="23f2004089@ds.study.iitm.ac.in"/>
        <s v="23f2004097@ds.study.iitm.ac.in"/>
        <s v="23f2004126@ds.study.iitm.ac.in"/>
        <s v="23f2004159@ds.study.iitm.ac.in"/>
        <s v="23f2004247@ds.study.iitm.ac.in"/>
        <s v="23f2004577@ds.study.iitm.ac.in"/>
        <s v="23f2004634@ds.study.iitm.ac.in"/>
        <s v="23f2004975@ds.study.iitm.ac.in"/>
        <s v="23f2005014@ds.study.iitm.ac.in"/>
        <s v="23f2005282@ds.study.iitm.ac.in"/>
        <s v="23f2005694@ds.study.iitm.ac.in"/>
        <s v="23f3000387@ds.study.iitm.ac.in"/>
        <s v="23f3001196@ds.study.iitm.ac.in"/>
        <s v="23f3001646@ds.study.iitm.ac.in"/>
        <s v="23f3001886@ds.study.iitm.ac.in"/>
        <s v="23f3001911@ds.study.iitm.ac.in"/>
        <s v="23f3002766@ds.study.iitm.ac.in"/>
        <s v="23f3002872@ds.study.iitm.ac.in"/>
        <s v="23f3003434@ds.study.iitm.ac.in"/>
        <s v="23f3003687@ds.study.iitm.ac.in"/>
        <s v="23f3003719@ds.study.iitm.ac.in"/>
        <s v="23f3004092@ds.study.iitm.ac.in"/>
        <s v="23f3004115@ds.study.iitm.ac.in"/>
        <s v="23f3004174@ds.study.iitm.ac.in"/>
        <s v="23f3004412@ds.study.iitm.ac.in"/>
        <s v="23f3004447@ds.study.iitm.ac.in"/>
        <s v="24dp1000036@ds.study.iitm.ac.in"/>
        <s v="24dp1000038@ds.study.iitm.ac.in"/>
        <s v="24dp3000019@ds.study.iitm.ac.in"/>
        <s v="24ds1000117@ds.study.iitm.ac.in"/>
        <s v="24ds2000089@ds.study.iitm.ac.in"/>
        <s v="24f1000182@ds.study.iitm.ac.in"/>
        <s v="24f1000656@ds.study.iitm.ac.in"/>
        <s v="24f1001642@ds.study.iitm.ac.in"/>
        <s v="24f2000612@ds.study.iitm.ac.in"/>
        <s v="24f2003480@ds.study.iitm.ac.in"/>
        <s v="24f3000211@ds.study.iitm.ac.in"/>
        <s v="23f1002051@ds.study.iitm.ac.in"/>
      </sharedItems>
    </cacheField>
    <cacheField name="1on1" numFmtId="0">
      <sharedItems>
        <s v="Yes"/>
        <s v="No"/>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318" sheet="Stats"/>
  </cacheSource>
  <cacheFields>
    <cacheField name="Roll number" numFmtId="0">
      <sharedItems>
        <s v="21f1002144@ds.study.iitm.ac.in"/>
        <s v="24dp1000038@ds.study.iitm.ac.in"/>
        <s v="22f3001758@ds.study.iitm.ac.in"/>
        <s v="23f2004097@ds.study.iitm.ac.in"/>
        <s v="21f2001124@ds.study.iitm.ac.in"/>
        <s v="21f1001693@ds.study.iitm.ac.in"/>
        <s v="24dp3000019@ds.study.iitm.ac.in"/>
        <s v="23f2004975@ds.study.iitm.ac.in"/>
        <s v="22f2001226@ds.study.iitm.ac.in"/>
        <s v="23f2004159@ds.study.iitm.ac.in"/>
        <s v="23f2003521@ds.study.iitm.ac.in"/>
        <s v="22f2001129@ds.study.iitm.ac.in"/>
        <s v="21f1001547@ds.study.iitm.ac.in"/>
        <s v="22f3001755@ds.study.iitm.ac.in"/>
        <s v="22f3001551@ds.study.iitm.ac.in"/>
        <s v="22f3001480@ds.study.iitm.ac.in"/>
        <s v="24dp1000036@ds.study.iitm.ac.in"/>
        <s v="23f1003168@ds.study.iitm.ac.in"/>
        <s v="23f3001196@ds.study.iitm.ac.in"/>
        <s v="23f2001481@ds.study.iitm.ac.in"/>
        <s v="22f3002782@ds.study.iitm.ac.in"/>
        <s v="23f1000966@ds.study.iitm.ac.in"/>
        <s v="23f1000358@ds.study.iitm.ac.in"/>
        <s v="22f3002299@ds.study.iitm.ac.in"/>
        <s v="21f2000372@ds.study.iitm.ac.in"/>
        <s v="22f3000364@ds.study.iitm.ac.in"/>
        <s v="21f2000858@ds.study.iitm.ac.in"/>
        <s v="22f1001616@ds.study.iitm.ac.in"/>
        <s v="23f1000049@ds.study.iitm.ac.in"/>
        <s v="22f3002166@ds.study.iitm.ac.in"/>
        <s v="23f2000260@ds.study.iitm.ac.in"/>
        <s v="21f3002397@ds.study.iitm.ac.in"/>
        <s v="23f1001709@ds.study.iitm.ac.in"/>
        <s v="22f3003001@ds.study.iitm.ac.in"/>
        <s v="22f2001062@ds.study.iitm.ac.in"/>
        <s v="22f3000107@ds.study.iitm.ac.in"/>
        <s v="21f1006589@ds.study.iitm.ac.in"/>
        <s v="21f3001560@ds.study.iitm.ac.in"/>
        <s v="22f3001778@ds.study.iitm.ac.in"/>
        <s v="23f1001797@ds.study.iitm.ac.in"/>
        <s v="23f2000098@ds.study.iitm.ac.in"/>
        <s v="22f2001468@ds.study.iitm.ac.in"/>
        <s v="24f2000612@ds.study.iitm.ac.in"/>
        <s v="22f3000526@ds.study.iitm.ac.in"/>
        <s v="22f1001536@ds.study.iitm.ac.in"/>
        <s v="21f3001076@ds.study.iitm.ac.in"/>
        <s v="23f1000873@ds.study.iitm.ac.in"/>
        <s v="24f1000182@ds.study.iitm.ac.in"/>
        <s v="23f2000566@ds.study.iitm.ac.in"/>
        <s v="21f3000883@ds.study.iitm.ac.in"/>
        <s v="23f1002849@ds.study.iitm.ac.in"/>
        <s v="24f3000211@ds.study.iitm.ac.in"/>
        <s v="22f3001352@ds.study.iitm.ac.in"/>
        <s v="22f3001741@ds.study.iitm.ac.in"/>
        <s v="22f2001282@ds.study.iitm.ac.in"/>
        <s v="23f1000932@ds.study.iitm.ac.in"/>
        <s v="22f3002771@ds.study.iitm.ac.in"/>
        <s v="22f1001551@ds.study.iitm.ac.in"/>
        <s v="23f2005694@ds.study.iitm.ac.in"/>
        <s v="22f3002399@ds.study.iitm.ac.in"/>
        <s v="23f2003549@ds.study.iitm.ac.in"/>
        <s v="21f3002599@ds.study.iitm.ac.in"/>
        <s v="23f1001156@ds.study.iitm.ac.in"/>
        <s v="22f3001285@ds.study.iitm.ac.in"/>
        <s v="22f3000982@ds.study.iitm.ac.in"/>
        <s v="22f3001090@ds.study.iitm.ac.in"/>
        <s v="23f2003700@ds.study.iitm.ac.in"/>
        <s v="23f2004247@ds.study.iitm.ac.in"/>
        <s v="23f2004089@ds.study.iitm.ac.in"/>
        <s v="23f3001886@ds.study.iitm.ac.in"/>
        <s v="24ds1000117@ds.study.iitm.ac.in"/>
        <s v="22f1000776@ds.study.iitm.ac.in"/>
        <s v="23f1002240@ds.study.iitm.ac.in"/>
        <s v="21f3002511@ds.study.iitm.ac.in"/>
        <s v="22f1001053@ds.study.iitm.ac.in"/>
        <s v="21f3003030@ds.study.iitm.ac.in"/>
        <s v="22f1000624@ds.study.iitm.ac.in"/>
        <s v="21f3001234@ds.study.iitm.ac.in"/>
        <s v="23f2005014@ds.study.iitm.ac.in"/>
        <s v="23f3003687@ds.study.iitm.ac.in"/>
        <s v="21f2000306@ds.study.iitm.ac.in"/>
        <s v="24f1000656@ds.study.iitm.ac.in"/>
        <s v="22f3001210@ds.study.iitm.ac.in"/>
        <s v="22f3002393@ds.study.iitm.ac.in"/>
        <s v="23f3004092@ds.study.iitm.ac.in"/>
        <s v="22f3002045@ds.study.iitm.ac.in"/>
        <s v="22f3001315@ds.study.iitm.ac.in"/>
        <s v="21f1006870@ds.study.iitm.ac.in"/>
        <s v="22f3002191@ds.study.iitm.ac.in"/>
        <s v="23f3001646@ds.study.iitm.ac.in"/>
        <s v="22f3003015@ds.study.iitm.ac.in"/>
        <s v="23f3002872@ds.study.iitm.ac.in"/>
        <s v="22f3001789@ds.study.iitm.ac.in"/>
        <s v="22f1000765@ds.study.iitm.ac.in"/>
        <s v="23f2005282@ds.study.iitm.ac.in"/>
        <s v="23f3004174@ds.study.iitm.ac.in"/>
        <s v="23f3002766@ds.study.iitm.ac.in"/>
        <s v="22f3000089@ds.study.iitm.ac.in"/>
        <s v="22f3000926@ds.study.iitm.ac.in"/>
        <s v="23f1001947@ds.study.iitm.ac.in"/>
        <s v="21f3003238@ds.study.iitm.ac.in"/>
        <s v="24ds2000089@ds.study.iitm.ac.in"/>
        <s v="23f2001262@ds.study.iitm.ac.in"/>
        <s v="23f2004126@ds.study.iitm.ac.in"/>
        <s v="23f3004447@ds.study.iitm.ac.in"/>
        <s v="23f1001316@ds.study.iitm.ac.in"/>
        <s v="23f1003150@ds.study.iitm.ac.in"/>
        <s v="23f2001475@ds.study.iitm.ac.in"/>
        <s v="23f3004115@ds.study.iitm.ac.in"/>
        <s v="23f2003584@ds.study.iitm.ac.in"/>
        <s v="22f1000938@ds.study.iitm.ac.in"/>
        <s v="22f3002587@ds.study.iitm.ac.in"/>
        <s v="22f1001082@ds.study.iitm.ac.in"/>
        <s v="23f3004412@ds.study.iitm.ac.in"/>
        <s v="24f1001642@ds.study.iitm.ac.in"/>
        <s v="22f3000935@ds.study.iitm.ac.in"/>
        <s v="23f2000387@ds.study.iitm.ac.in"/>
        <s v="21f1003259@ds.study.iitm.ac.in"/>
        <s v="22f3002914@ds.study.iitm.ac.in"/>
        <s v="22f3000528@ds.study.iitm.ac.in"/>
        <s v="23f2003874@ds.study.iitm.ac.in"/>
        <s v="23f3001911@ds.study.iitm.ac.in"/>
        <s v="23f3003719@ds.study.iitm.ac.in"/>
        <s v="21f1001697@ds.study.iitm.ac.in"/>
        <s v="22f1001934@ds.study.iitm.ac.in"/>
        <s v="22f2001565@ds.study.iitm.ac.in"/>
        <s v="23f1003112@ds.study.iitm.ac.in"/>
        <s v="23f2004577@ds.study.iitm.ac.in"/>
        <s v="21f1004098@ds.study.iitm.ac.in"/>
        <s v="21f1004720@ds.study.iitm.ac.in"/>
        <s v="21f1003157@ds.study.iitm.ac.in"/>
        <s v="23f2000783@ds.study.iitm.ac.in"/>
        <s v="22f3000519@ds.study.iitm.ac.in"/>
        <s v="23f1000267@ds.study.iitm.ac.in"/>
        <s v="23f2004634@ds.study.iitm.ac.in"/>
        <s v="21f1003825@ds.study.iitm.ac.in"/>
        <s v="23f1000718@ds.study.iitm.ac.in"/>
        <s v="22f1000455@ds.study.iitm.ac.in"/>
        <s v="23f1001323@ds.study.iitm.ac.in"/>
        <s v="23f2003203@ds.study.iitm.ac.in"/>
        <s v="21f2000646@ds.study.iitm.ac.in"/>
        <s v="21f3001527@ds.study.iitm.ac.in"/>
        <s v="22f3000657@ds.study.iitm.ac.in"/>
        <s v="21f2001077@ds.study.iitm.ac.in"/>
        <s v="21f3002998@ds.study.iitm.ac.in"/>
        <s v="22f1000662@ds.study.iitm.ac.in"/>
        <s v="22f2001255@ds.study.iitm.ac.in"/>
        <s v="22f2001444@ds.study.iitm.ac.in"/>
        <s v="23f3000387@ds.study.iitm.ac.in"/>
        <s v="23f2004210@ds.study.iitm.ac.in"/>
        <s v="22f3000694@ds.study.iitm.ac.in"/>
        <s v="22f1000533@ds.study.iitm.ac.in"/>
        <s v="22f2000364@ds.study.iitm.ac.in"/>
        <s v="22f3001115@ds.study.iitm.ac.in"/>
        <s v="21f1001721@ds.study.iitm.ac.in"/>
        <s v="21f1003639@ds.study.iitm.ac.in"/>
        <s v="21f2000584@ds.study.iitm.ac.in"/>
        <s v="23f3003434@ds.study.iitm.ac.in"/>
        <s v="21f3001304@ds.study.iitm.ac.in"/>
        <s v="22f3000808@ds.study.iitm.ac.in"/>
        <s v="22f1001058@ds.study.iitm.ac.in"/>
        <s v="22f2001256@ds.study.iitm.ac.in"/>
        <s v="23f1002786@ds.study.iitm.ac.in"/>
        <s v="21f1006852@ds.study.iitm.ac.in"/>
        <s v="21f1003066@ds.study.iitm.ac.in"/>
        <s v="21f3000254@ds.study.iitm.ac.in"/>
        <s v="23f2003519@ds.study.iitm.ac.in"/>
        <s v="23f1002653@ds.study.iitm.ac.in"/>
        <s v="21f3000759@ds.study.iitm.ac.in"/>
        <s v="23f1001556@ds.study.iitm.ac.in"/>
        <s v="23f2000575@ds.study.iitm.ac.in"/>
        <s v="23f2000592@ds.study.iitm.ac.in"/>
        <s v="22f3001005@ds.study.iitm.ac.in"/>
        <s v="22f3002597@ds.study.iitm.ac.in"/>
        <s v="21f3000417@ds.study.iitm.ac.in"/>
        <s v="24f2003480@ds.study.iitm.ac.in"/>
        <s v="23f1002051@ds.study.iitm.ac.in"/>
        <s v="21f1000330@ds.study.iitm.ac.in"/>
        <s v="24f1002359@ds.study.iitm.ac.in"/>
        <s v="23f1000356@ds.study.iitm.ac.in"/>
        <s v="23f1001572@ds.study.iitm.ac.in"/>
        <s v="23ds3000081@ds.study.iitm.ac.in"/>
        <s v="23f2003212@ds.study.iitm.ac.in"/>
        <s v="24f2004508@ds.study.iitm.ac.in"/>
        <s v="22f3000768@ds.study.iitm.ac.in"/>
        <s v="21f2000283@ds.study.iitm.ac.in"/>
        <s v="23ds3000034@ds.study.iitm.ac.in"/>
        <s v="23f2003807@ds.study.iitm.ac.in"/>
        <s v="22f1001086@ds.study.iitm.ac.in"/>
        <s v="22f3002758@ds.study.iitm.ac.in"/>
        <s v="22f2000244@ds.study.iitm.ac.in"/>
        <s v="23f3000080@ds.study.iitm.ac.in"/>
        <s v="21f2001257@ds.study.iitm.ac.in"/>
        <s v="21f1003070@ds.study.iitm.ac.in"/>
        <s v="22f2000088@ds.study.iitm.ac.in"/>
        <s v="21f1001507@ds.study.iitm.ac.in"/>
        <s v="23f2003751@ds.study.iitm.ac.in"/>
        <s v="21f1001365@ds.study.iitm.ac.in"/>
        <s v="22f1000812@ds.study.iitm.ac.in"/>
        <s v="22f2000931@ds.study.iitm.ac.in"/>
        <s v="21f1006953@ds.study.iitm.ac.in"/>
        <s v="23f3002094@ds.study.iitm.ac.in"/>
        <s v="22f3001838@ds.study.iitm.ac.in"/>
        <s v="24dp1000047@ds.study.iitm.ac.in"/>
        <s v="22f3002016@ds.study.iitm.ac.in"/>
        <s v="22f3000721@ds.study.iitm.ac.in"/>
        <s v="22f3003055@ds.study.iitm.ac.in"/>
        <s v="21f3000611@ds.study.iitm.ac.in"/>
        <s v="21f1001101@ds.study.iitm.ac.in"/>
        <s v="23f3004152@ds.study.iitm.ac.in"/>
        <s v="21f3003172@ds.study.iitm.ac.in"/>
        <s v="23f1001420@ds.study.iitm.ac.in"/>
        <s v="22f1001805@ds.study.iitm.ac.in"/>
        <s v="21f2000480@ds.study.iitm.ac.in"/>
      </sharedItems>
    </cacheField>
    <cacheField name="Domain" numFmtId="0">
      <sharedItems>
        <s v="Data Science"/>
        <s v="Programming"/>
      </sharedItems>
    </cacheField>
    <cacheField name="Instructor" numFmtId="0">
      <sharedItems>
        <s v="Lalit"/>
        <s v="Satyanarayana"/>
        <s v="Vishal"/>
        <s v="Nidhish"/>
        <s v="Aniruddha"/>
        <s v="Afnan"/>
        <s v="Arup"/>
        <s v="Jimmi"/>
        <s v="Atul"/>
        <s v="Anamika"/>
        <s v="Nikitakumari"/>
        <s v="Mayur"/>
        <s v="Adarsh"/>
        <s v="Manoj"/>
        <s v="Shrikrishna"/>
        <s v="Karthik"/>
        <s v="Shubham"/>
        <s v="Shubhamy"/>
        <s v="Shivani"/>
      </sharedItems>
    </cacheField>
    <cacheField name="Readiness of the student for placement" numFmtId="0">
      <sharedItems>
        <s v="No"/>
        <s v="Yes"/>
        <s v="Either Student Absent or Instructor Absent"/>
      </sharedItems>
    </cacheField>
    <cacheField name="Feedback" numFmtId="0">
      <sharedItems containsBlank="1">
        <s v="Banoth gave generic answers. He has to revise concepts of ML, DL, LLM and DLP, esepcially fine tuning the models for NLP, Speech and Vision tasks. He has been asked to revise and reattemept after a week on 28th January."/>
        <s v="Satya:&#10;- Student is perfectly suitable for SDE/Full stack&#10;developer rolers. Having enough skiils in programming and&#10;frameworks(Flask/Vue)&#10;- Recommended to practice leetcode problems daily basis"/>
        <s v="Satya:&#10;- Not able to implement basic binary search algos. &#10;- Not able to implement example Async/await/promises&#10;- Eventhough he has a handful of project repos. But he is not able to implement &#10;code from scratch. He used OpenAI more than required.&#10;- He req"/>
        <s v="Not able to answer basic questions also from ML "/>
        <s v="Need a bit of revision (Mostly maths behind some ML model)"/>
        <s v="Suhaas gave answer to most of the technical questions to the point. He will be a good candidate for SDE internshi roles.&#10;He should focus on non-technical skills"/>
        <s v="Aditya is good for SDE internship roles. He is able to communicate properly."/>
        <s v="- Able to communicate well.&#10;- Answered theoretical questions correctly&#10;- Presentation of projects can be better. Adding slides for data analysis project and insights for the ML Project Notebook&#10;- Currently suitable for Data Analyst and Business Analyst ro"/>
        <s v="&#10;- Student is able to convey the ideas satisfactorily. One suggestion is to include more pauses and provide some time for follow up questions.&#10;- Some gaps are there in the understanding about application development, maybe because of relying on AI-assiste"/>
        <s v="- Have practical knowledge&#10;- Need to revise the theory part"/>
        <s v="- Some corrections are suggested on the CV&#10;- Need to have more clarity on the usage of technologies&#10;- Need to revise DSA"/>
        <s v="-Wasn't able to explain ML questions.&#10;-Consider doing some good project &amp; strengthen your GenAI knowledge."/>
        <s v="-Was comfortable with ML part but needs to improve their project further."/>
        <s v="Comfortable in ML,DL,LLM part"/>
        <s v="- Weak Recommendation&#10;- The answers to questions were not to the point. &#10;- Brush up on basics and practise answering questions in an interview setting&#10;- Make the MLP Project notebook self-explanatory and also rename the same in the resume"/>
        <s v="- Has done good projects and has answered questions regarding it well. &#10;- Can improve presentation skills i.e show the relevant parts of the project when explaining it&#10;- Revise ML basics too before interviews"/>
        <s v="- Weekly recommended&#10;- Need more clarity when answering&#10;- Sugegsted to revise therory&#10;- Suggeted to build new application&#10;- Siggested to revise theory"/>
        <s v="Satya:&#10;- Even he has strong project repos. He is not able to implement RestApi examples&#10;- Not able to implement DBMS max salary of employee model&#10;- Strictly recommended leetcode 3-problems a day&#10;- Two weeks required for preparation"/>
        <s v="-She have done only required course project, nothing additional, not additional certification&#10;- She was not able to solve basic coding problem&#10;- She was not able to answer of basic DSA questions&#10;- She was not able to answer of basic DBMS code concept ques"/>
        <s v="- Will be good to go through MLP &amp; MLT content thoroughly again&#10;- Work on end-to-end ML Project with focus on understanding each component&#10;- The projects in resume are currently not accessible to all. Please update the same."/>
        <s v="- Need to improve the presentation skill&#10;- Revise DSA, SQL&#10;- His responses to the questions are somewhat okay, but need to improve on clarity"/>
        <s v="- The first project in resume (System Threat Forecast) is very cluttered and should be brought to a presentable format&#10;- Was not clear on basic algorithms like Linear Regression, Decision Tree, Evaluation metrics. Will be good to brush up basic ideas in M"/>
        <m/>
        <s v="- She have created additional applications otherthan achademin project.&#10;- Good understanding of technical parts of development.&#10;- DSA and Problem Solving, DBMS understanding is good&#10;- Overall looks ready for placement. She is also selected for ANAM.AI int"/>
        <s v="Satya:&#10;- Student missed all basics of programming&#10;- Not able to write select query for Employee details of max salary&#10;- Required another 1-month to refer DSA, DBMS and full stack frameworks&#10;- Strongly recommented to practice leetcode problems&#10;- Student ne"/>
        <s v="Satya:&#10;- Required another 1-month to refer DSA, DBMS and full-stack frameworks&#10;- Strongly recommended to practice LeetCode problems&#10;- Student needs 1-Month to prepare and attend again for a 1-1 session"/>
        <s v="- He needs to work on Backend part"/>
        <s v="- Should work on his communication&#10;- Should work on backend related tech stacks"/>
        <s v="- Resume should have links to project and their titles should be updated accordingly&#10;- The projects themselves should be presented better with important findings mentioned, erroneous code removed and LLM comments removed as well&#10;- MLT and MLP should be re"/>
        <s v="- Highlight important insights from the project&#10;- Have a thorough understanding of techniques used in the project and why the choice has been made&#10;- Based on the completed coursework, attempt some more projects after brushing up on the foundations"/>
        <s v="-HE is good in Technically, answered DSA questions.&#10;-He was also able to solve and debug the coding problem&#10;-He is intrested in ML and DS but also ready for Programming role.&#10;-Just need to recap DBMS core"/>
        <s v="- Needs to work on his ML, DL, LLM fundamentals before any interview&#10;- Good with practical stuff including full stack development and using LLMs through APIs."/>
        <s v="Disha could explain the Machine Learning model life cycle. She has good potential; however, she has to revise the topics like Statistics, Probability, MLF, MLT, and MLP in depth. In the current state, she is eligible for an ML intern role. Detailed feedba"/>
        <s v="Niraj could not answer basic questions like how to fill Nan values of a column with continuous numerical values, how to handle outliers, and clear distinction between bagging and boosting. He has been asked to revise his concepts of statistics, MLF, MLT a"/>
        <s v="Pavan could answer basic questions on the ML model life cycle. In the present state, he is fit for ML/Data Science intern roles. "/>
        <s v="Praveen could answer basic questions on the ML model life cycle. In the present state, he is fit for ML/Data Science intern roles. He has to revise stats, MLF, MLT and MLP."/>
        <s v="Deepak could answer basic questions on the ML model life cycle. In the present state, he is fit for ML/Data Science intern roles. He has to revise stats, MLF, MLT and MLP."/>
        <s v="- The student was able to work on ML and DL related project well. She is intersted in practical ML/DL projects. The downside is poor CGPA due to poor marks in theory courses. &#10;- The stduent must brush up the theoretical concepts on ML.&#10;- Also, should work"/>
        <s v=" - The student is doing internship currently. She is good for the role of data analyst.&#10;- She must revisit ML concepts and algorithms to increase the chance of getting interviewed by the companies."/>
        <s v="- Demonstrates strong practical skills in ML, DL, and LLMs.&#10;- Should strengthen theoretical understanding of ML and DL before appearing for interviews."/>
        <s v="The student demonstrates good practical and theoretical skills in machine learning.&#10;Further improvement can be achieved by working on more independent ML projects."/>
        <s v="Ashih could not answer basic questions like outliers, underfitting, overfitting, and what actions to take for them. He has been advised to revise Statistics, MLF, MLT , and MLP. In the present state, he is nowhere close to the 'ready/eligible' state. He h"/>
        <s v="Rohit could not answer basic questions like outliers, underfitting, overfitting, and what actions to take for them. He has been advised to revise Statistics, MLF, MLT , and MLP.  He has to work on his communication skills as well, as he sounds very jitter"/>
        <s v="Lakshya is doing an internship at Syngenta. I have advised him to give his best during the internship, so that he can get a PPO. With this 1-o-1, his training for the internship is complete."/>
        <s v="Aditya could answer most of the questions. He has decent theoretical knowledge. In the present state, he is eligible for the role of an intern for ML and Data Science.  He has been advised to revise Statistics, MLF, MLT and MLP notes."/>
        <s v="- CV and Intro both need to be prepared well&#10;- Confused with everything -- need to make specific answers&#10;- Need to revise the theory on SQL, and other things mentioned in CV&#10;- Need to have some idea about web application infra&#10;- Need to be more presentabl"/>
        <s v="The candidate has a moderate level understanding of ML concepts.  He mentioned that he is currently improving the project and plans to add it to his resume soon."/>
        <s v="- Lot of scope for improvement in resume.&#10;-Consider adding a few rag based Project.&#10;- Overall candidate is ready for internship related roles."/>
        <s v="- Resume has to be improved significantly. Update the format, add relevant hyperlinks to the project&#10;- The MLP Project can be improved by adding more visualization, trying out other techniques and analysis of the trained models&#10;- Brush up ML ideas used in"/>
        <s v="- The student is primarily interested in Data Analysis roles. &#10;- Recommended to align resume to jobs roles that the student is interested in&#10;- The student faced some difficulty in answering ML based questions. It is advised to be very thorough with any me"/>
        <s v="- Get good grasp on web terminologies "/>
        <s v="Rishav could not answer basic questions like meaning of outliers, actions to be taken in case of overfitting/underfitting, ensemble methods. He looked unprepared for the 1-o-1. He has been advised to prepare well for the 1-o-1 and reattempt after 2 weeks."/>
        <s v="-practice summarizing technical answers/Project in 1–2 minutes.&#10;-LLMs and deep learning explanations can be more precise; highlight trade-offs and practical use cases.&#10;-Add some end to end projects &amp; improve your resume."/>
        <s v="Shrishti could answer most of the questions. She has decent theoretical knowledge. In the present state, she is eligible for the role of an intern for ML and Data Science.  She has been advised to revise Statistics, MLF, MLT and MLP notes."/>
        <s v="Ayan could not answer basic questions like meaning of outliers, actions to be taken in case of overfitting/underfitting, and ensemble methods satisfactorily. He looked unprepared for the 1-o-1. He has been advised to prepare well for the 1-o-1 and reattem"/>
        <s v="Arya could not answer basic questions like meaning of outliers, actions to be taken in case of overfitting/underfitting, and ensemble methods satisfactorily. She looked unprepared for the 1-o-1. She has been advised to prepare well for the 1-o-1 and reatt"/>
        <s v="Satya:&#10;- Leetcode problems 123(60Medium+10Hard)&#10;- Hackerrank(5-start in Java)&#10;- Checked various skills like Python, PDSA and frameworks. All are good&#10;- Recommendation to the student: Continue the contribution towards leetcode and hacker rank&#10;- Finally stu"/>
        <s v="- Grades not great, but she seems confident&#10;- Should strengthen her fundamentals before she gets any internship opportunity&#10;- Interested in data analytics, EDA, plotting etc"/>
        <s v="- Needs to work on the ML fundamentals&#10;- Low grades in ML courses&#10;- Should work on more independent projects"/>
        <s v="-He currently has surface-level understanding of ML concepts and model optimization.&#10;-Not confident on his own projects."/>
        <s v="Vijageetha could answer most of the questions. She has decent theoretical knowledge. In the present state, she is eligible for the role of an intern for ML and Data Science.  She has been advised to revise Statistics, MLF, MLT and MLP notes."/>
        <s v="Nimish could answer most of the questions. He has decent theoretical knowledge. In the present state, He is eligible for the role of an intern for ML and Data Science.  He has been advised to revise Statistics, MLF, MLT and MLP notes."/>
        <s v="Rajeevan could answer most of the questions. He has decent theoretical knowledge. In the present state, He is eligible for the role of an intern for ML and Data Science.  He has been advised to revise Statistics, MLF, MLT and MLP notes. He has good potent"/>
        <s v="Rohit could answer most of the questions. He has decent theoretical knowledge. In the present state, He is eligible for the role of an intern for ML and Data Science.  He has been advised to revise Statistics, MLF, MLT and MLP notes. He has good potential"/>
        <s v="- Lacks clarity in basic ML fundamentals&#10;- Needs to work on both ML theory as well as practice before she attempts any interview&#10;- Advised to do some independent projects"/>
        <s v="- Good grades, but has forgotten soem basics&#10;- Was able to answer some 60% of the questions&#10;- Advised to revise all ML, DL fundamentals before any interview"/>
        <s v="- Having good working experience&#10;- Do not want to go for Python based work&#10;- Okay with theory part"/>
        <s v="- Having good working experience&#10;- Need to revise SQL and DSA&#10;- Good att web framework"/>
        <s v="- Need to focus on expolring more related technologies&#10;- Need to enhance project experience - technology stack&#10;- Revise the theories"/>
        <s v="- Need to focus on expolring more related technologies&#10;- Good at CS theory&#10;- Need to revise DSA"/>
        <s v="- Can work on Backend terminalogies&#10;- Rework on questions that were asked in the 1o1 sessions"/>
        <s v="- The project has generic statements. These should be updated with insights specific to the dataset. &#10;- Needs to brush up on ML foundations"/>
        <s v="- The student was initially recommended to clean the project notebook to remove redundant code snippets&#10;- Subsequently, the student was unable to answer very fundamental questions in ML including those which have been used in the project. &#10;- Strongly reco"/>
        <s v="Ravi could not answer basic questions like meaning of outliers, overfitting satisfactorily. He looked unprepared for the 1-o-1. He has been advised to prepare well for the 1-o-1 and reattempt after 2 weeks."/>
        <s v="Roshan could not answer basic questions like meaning of outliers, overfitting satisfactorily. He looked unprepared for the 1-o-1. He has been advised to prepare well for the 1-o-1 and reattempt after 2 weeks."/>
        <s v="Ripunjay could answer most of the questions. He has decent theoretical knowledge. In the present state, He is eligible for the role of an intern for ML and Data Science.  He has been advised to revise Statistics, MLF, MLT and MLP notes. He has good potent"/>
        <s v="Areeba looked unprepared for the 1-o-1. She has been advised to prepare well for the 1-o-1 and reattempt after 1 week."/>
        <s v="Needs to update his resume. Add the links of the project done in resume. Work on the communication skill and revise the foundations once."/>
        <s v="Needs to update resume."/>
        <s v="Shruit is doing MTech as a dual degree, and she has done a few internships. She has sound theoretical knowledge and has excellent communication skills. In the present state she is fit for 'internship followed by PPO' roles. She has good potential. She has"/>
        <s v="- Need to revise the concepts of ML courses.&#10;- Need to improve the resume for Data Science profiles "/>
        <s v="- Need to improve the resume for Data Science profiles &#10;- Need to work on some projects to showcase the work&#10;- Need to work on communication as it felt a lot like reading than talking"/>
        <s v="- ML concepts are fine but need to brush up the concepts before the interview&#10;- Need to work on the projects on ML topics"/>
        <s v="- Currently pursuing B.Tech from IIIT Pune with good CGPA.&#10;- She has adequate knowledge of ML courses to go for an internship&#10;- Communicated well while answering the questions "/>
        <s v="Rishit could answer most of the questions in the fields of Machine Learning &amp; Data Science. He has sound theoretical knowledge and has excellent communication skills. In the present state hhe is fit for 'internship followed by PPO' roles. He has good pote"/>
        <s v="- He has experience as intern in multiple companies for data science roles.&#10;- He is in Diploma but he has a decent knowledge in DL and LLMs &#10;- Need to work on communication skill. sometimes it was difficult to understand the explanation"/>
        <s v="- He was able to answer the ML related questions but need to brush up the concepts in depth. Upon cross questioning he was getting stuck while answering. &#10;- Need to build a good portfolio of projects with varieties. "/>
        <s v="- The student was able to answer questions related to the project he completed.&#10;- However, he struggled with theoretical concepts and should strengthen his understanding of ML theory.&#10;- The resume needs improvement; it is recommended to work on presenting"/>
        <s v="- The student is currently working as an intern in the automation domain and is interested in pursuing a career in data science.&#10;- Demonstrates good understanding of machine learning concepts but needs to refresh knowledge in deep learning.&#10;- The CGPA is "/>
        <s v="Hiya could not answer basic questions like meaning of outliers, overfitting satisfactorily. She looked unprepared for the 1-o-1. She has been advised to prepare well for the 1-o-1 and reattempt after 2 weeks."/>
        <s v="Karthikeyan could not answer basic questions like meaning of outliers, overfitting satisfactorily. He looked unprepared for the 1-o-1. He has been advised to prepare well for the 1-o-1 and reattempt after 2 weeks."/>
        <s v="Ravisha could not answer basic questions like meaning of outliers, overfitting satisfactorily. She looked unprepared for the 1-o-1. She has been advised to prepare well for the 1-o-1 and reattempt after 2 weeks."/>
        <s v="Khushi could answer most of the questions in the fields of Machine Learning &amp; Data Science. She has sound theoretical knowledge and has excellent communication skills. In the present state she is fit for 'internship' roles. She has good potential. She has"/>
        <s v="Seems quite ready for any placement/internship interview&#10;Already having a good exposure to data science practical aspects through several internships"/>
        <s v="She incorrectly answered many basic questions&#10;Needs to get a better understanding of concepts&#10;Needs to communicate her expanation better&#10;Would be good to use a better resume template"/>
        <s v="Harsh has not revised and could not answer questions like ensemble methods, outlierr. He has been advised to revise his notes of  stats, MLF, MLT and MLP. He has also been asked to go through the ML model lifecycle. He has to reappear after 2 weeks."/>
        <s v="Soubhagya could answer around 60% of the questions. He looked unprepared  He has been advised to revise his notes of stats, MLF, MLT and MLP. He has also been asked to go through the ML model lifecycle. He has been declared eligible for ML intern. However"/>
        <s v="Aditri has not revised and could not answer questions like strategies to fill Nan values and handling outliers. She has been advised to revise her notes of stats, MLF, MLT, and MLP. She has also been asked to go through the ML model lifecycle and the inte"/>
        <s v="Student is already working in the intership. He needs to brush up on cloud architecture and webhooks. He should continue in this internship as he has started recently, and gain some experience. He should do app dev lab course also. "/>
        <s v="Samreen could answer most of the questions in the fields of Machine Learning &amp; Data Science. She has sound theoretical knowledge and has excellent communication skills. In the present state she is fit for 'internship' roles. She has good potential. She ha"/>
        <s v="Vaikhari has not revised and could not answer questions like ensemble methods and hyperparameters of a DT model, and other basic questions She has been advised to revise her notes of  stats, MLF, MLT and MLP. She has also been asked to go through the ML m"/>
        <s v="Amit could answer most of the questions in the fields of Machine Learning &amp; Data Science. He has sound theoretical knowledge and has excellent communication skills. In the present state he is fit for 'internship' roles. He has good potential. He has to re"/>
        <s v="Prajal has not revised and could not answer questions like ensemble methods and hyper-parameters of a DT model,  He looked unprepared. He has been advised to revise her notes of stats, MLF, MLT and MLP. He has also been asked to go through the ML model li"/>
        <s v="- She has demonstrated good skills in machine learning and appears to be a suitable candidate for roles related to ML.&#10;- Her CGPA is relatively lower, primarily due to weaker performance during the foundational courses.&#10;- She exited the program after comp"/>
        <s v="- The candidate needs to refresh their understanding of unsupervised machine learning algorithms. Overall, they appear to be a good candidate.&#10;-It would be beneficial for the candidate to work on machine learning projects involving more complex datasets t"/>
        <s v="Samta has not revised and could not answer questions like ensemble methods and hyper-parameters of a DT model, She looked unprepared. She has been advised to revise her notes of stats, MLF, MLT and MLP. She has also been asked to go through the ML model l"/>
        <s v="Rishav has very poor understanding of the app dev concepts, most of the answers were very vague or incorrect. Needs to go through the concepts from basics."/>
        <s v="The student has good grasp of the technologies used in his projects. His theoritical understanding and communication is alsp good and can explain concepts."/>
        <s v="Overall, the student described about the roles he wishes to work for, specifically software engineering and also data engineering&#10;But needs more preparation with respect to web application design / cloud concepts to be ready. Can start with web developmen"/>
        <s v="Taniya has not revised and could not answer questions like filling NaN values, outliers, She looked unprepared. She has been advised to revise her notes of stats, MLF, MLT and MLP. She has also been asked to go through the ML model lifecycle. She has to r"/>
        <s v="Nitya could answer most of the questions in the fields of Machine Learning &amp; Data Science. She has sound theoretical knowledge and has excellent communication skills. In the present state she is fit for 'internship' roles. She has good potential. She has "/>
        <s v="Amisha is currently working as Reserach Associate in Flame University, and has good experience in Computer Vision tasks. She has been advised to build he skills in ML model deployment through MLOps course, and fine tuning transformer models for various ta"/>
        <s v="Harshit could answer most of the questions in the fields of Machine Learning &amp; Data Science, his answers were jittery. He has good theoretical knowledge and average communication skills. In the present state, he is fit for 'internship' roles. He has to pr"/>
        <s v="She has completed a diploma in programming and does not have any professional experience. However, she demonstrates a good understanding of the course project she worked on. She was also able to answer questions related to problem solving, data structures"/>
        <s v="He is also good and have good practical experience. he also answered most of problem solving and dsa and DBMs question. Need some recap on DSA. But overall looks good."/>
        <s v="Aviral has not revised and could not answer questions like filling NaN values, outliers, ensemble methods, He looked unprepared and could not answer the difference between the DT and Randomforest classifier. He has been advised to revise her notes of stat"/>
        <s v="Rohit could answer most of the questions in the fields of Machine Learning &amp; Data Science. He has good theoretical knowledge and average communication skills. In the present state, he is fit for 'internship' roles. He has to practice DSA and SQL questions"/>
        <s v="Nivediate has not completed the Diploma in Data Science &amp; she has MLP and MLP project in the current term. Her foundational level knowledge is satisfactory, but she lacks knowledge of ML Model lifecycle. She has been given question bank of the important q"/>
        <s v="In her reattempt, Ravisha could answer most of the questions in the fields of Machine Learning &amp; Data Science. She has good theoretical knowledge now. In the present state, he is fit for 'internship' roles. She has to practice DSA and SQL questions."/>
        <s v="- Good at web development stack (only Python based)&#10;- Need to revise DSA &#10;- Some knowledge of web arch. will help&#10;- Okay in DBMS"/>
        <s v="He was able to answer and modification for development part. &#10;He answered the DSA and DBMA question but due to communication problem he was not looking confident. &#10;He need to focus more on communication part and also revise the DSA including problem solvi"/>
        <s v="- The student has demonstrated a good understanding of machine learning concepts.&#10;-Possesses strong communication skills.&#10;-Suggestion: It is recommended to work on more machine learning–related projects to further enhance practical expertise."/>
        <s v="Himanshu could not answer questions such as dropout, DT models, or the effect of increasing the number of columns in the dataset on the ML model satisfactorily. He looked unprepared. He has been given detailed feedback and asked to revise his concepts bef"/>
        <s v="Shiva could answer most of the questions in the fields of Machine Learning &amp; Data Science. He has good theoretical knowledge and good communication skills. In the present state, he is fit for 'internship' roles. He has to practice DSA and SQL questions."/>
        <s v="This was Aditri's second attempt and this time she was able to answer most of the questions. She looked confident as she was well prepared. She has been advised to practice DSA daily."/>
        <s v="Earlier 2 weeks were given to this student for reapplying. I feel 2 weeks is not enough. Atleast a month should be given to student for preparation before they appear for the next session."/>
        <s v="- Grades are not great, but he is learnable, has good practical exposure&#10;- Good communication&#10;- Has learnt several tools all by himself and used in projects and previous internship"/>
        <s v="- Could not answers many basic questions&#10;- Sugegsted to revisit MLT, DL courses, learn pytorch, do independent projects&#10;- Needs to work on her communication too"/>
        <s v="- Decent in answering technical questions.&#10;- Decent grades&#10;- Good communication"/>
        <s v="Trisha has not revised and could not answer questions like hyperparameters of a DT model, ensemble methods, bagging, and boosting. She looked unprepared and could not answer the difference between bagging and boosting. She has been advised to revise her n"/>
        <s v="Anjali could answer most of the questions in the fields of Machine Learning &amp; Data Science. She has sound theoretical knowledge and has excellent communication skills. In the present state she is fit for 'internship' roles. She has to keep practicing her "/>
        <s v="Shubham is doing an internship at Khel.ai and he appeared in this 1-o-1 just to get hang of an interview He has not done the revision and looked unprepared. He has average theoretical knowledge and communication skills. At present, he is suitable for 'int"/>
        <s v="Satya:&#10;- Student is below average in basics of programming&#10;- She needs PDSA with implementations&#10;- Practice on Moderate problems on leetcode/hacker rank&#10;- Suggested to reattend after 1-month"/>
        <s v="Satya:&#10;- Student is very good in programming and DSA&#10;- He is very good in backend APIs&#10;- Solved more than 500 problems in DSA&#10;- Strong repositories in his git&#10;- Immediately can be referred/recruited"/>
        <s v="-He have done many projects but looks like understanding is less.&#10;-He could not answer on DSA, DBMS. Need tio revise these,&#10;-He also need more practice on problem solving and hands-on"/>
        <s v="- He was good in understanding of application but he have made only course work applications.&#10;- He answerd all questions on DSA and was able to write code for one problem. Also solved more than 250 problems on leet code plateform.&#10;- He answered DBMS quest"/>
        <s v="Umesh is working as a DevOps Engineer. He has average theoretical knowledge in DS domain and communication skills. At present, he is suitable for Data Scientist and ML Engineer roles. "/>
        <s v="She has not revised and could not answer questions like IQR, filling Nan values. She looked unprepared She has been advised to revise her notes of stats, MLF, MLT and MLP. He has also been asked to go through the ML model lifecycle. She has to reappear on"/>
        <s v="Nishant could answer most of the questions in the fields of Machine Learning &amp; Data Science. He has good theoretical knowledge and good communication skills. In the present state, he is fit for 'internship' roles. He has to practice DSA and SQL questions."/>
        <s v="Sudharshini could answer most of the questions in the fields of Machine Learning &amp; Data Science. She has good theoretical knowledge and good communication skills. In the present state, she is fit for 'internship' roles. She has to practice DSA and SQL que"/>
        <s v="Shaswatt could answer most of the questions in the fields of Machine Learning &amp; Data Science. He has good theoretical knowledge and good communication skills. In the present state, he is fit for 'internship' roles. He has to practice DSA and SQL questions"/>
        <s v="Ritik could not answer the questions confidently, and he was doing guess work most of the times. He looked unprepared. He has been advised to revise stats, MLF, MLT and MLP notes, and reattempt on 3rd April. "/>
        <s v="Nikhil is working as an SME currently and has completed a 3-month internship at the brain centre. He has average theoretical knowledge in DS domain and communication skills. At present, he is suitable for Data Scientist and Computer Vision Engineer roles."/>
        <s v="Jakirat is currently pursuing an internship and has requested an update of his status at the placement cell from internship to job. He has a strong foundation in machine learning, but since he is studying deep learning this term, his grasp of DL concepts "/>
        <s v="Deepanshi has a good understanding of machine learning concepts. It is recommended that she revises the core topics and works on more ML-related projects to strengthen her profile. Her CGPA is slightly on the lower side."/>
        <s v="- Have good understanding of projects done&#10;- Need to gain more lnowledge about technology stack&#10;- Revise DSA"/>
        <s v="- Need to explore (get more clarity) on technology stack&#10;- Revise DSA&#10;- Get better understanding Web Architechture&#10;- Improve communication"/>
        <s v="- Needs to revise key ML concepts such as overfitting, underfitting, and both supervised and unsupervised learning algorithms.&#10;- Should work on a wider range of ML projects, including those involving imbalanced datasets and other real-world challenges."/>
        <s v="Rajiv could answer most of the questions in the fields of Machine Learning &amp; Data Science. He has good theoretical knowledge and average communication skills. In the present state, he is fit for 'internship' roles. He has to practice DSA and SQL questions"/>
        <s v="Pranitha could answer most of the questions in the fields of Machine Learning &amp; Data Science. She has good theoretical knowledge and average communication skills. In the present state, She is fit for 'internship' roles. She has to practice DSA and SQL que"/>
        <s v="Paramananda could answer most of the questions in the fields of Machine Learning &amp; Data Science. He has average theoretical knowledge and average communication skills. In the present state, he is fit for 'internship' roles. He has to practice DSA and SQL "/>
        <s v="Deveshu could answer most of the questions, but his answers were not confident. He looked unprepared and he was answering questions using guess work. He has been advised to keep pratciing DSA. In the present state, he is fit for data scientist/analyst rol"/>
        <s v="Kanchi was not confident answering even basic questions like dropout, ensemble techniques, optimizers. She has been advised to revise her notes. She has internship experience. She has been asked to reattempt after a week 0n 6th April."/>
        <s v="Karshnee could answer most of the questions confidently. She has good theoretical knowledge and excellent communication skills. In the present state,  she is fit for internship roles in Data Science and ML. She has been advised to keep on practicing DSA a"/>
        <s v="Sidhant is a dual-degree student with 1 year of experience as a software engineer. He could answer most of the questions. He has good theoretical knowledge and average communication skills. He has been advised to practice DSA regularly. In the present sta"/>
        <s v="Hitesh could answer most of the questions, but his responses were jittery. He has good theoretical knowledge but below-average communication skills. He has been advised to keep practicing DSA. In the present state, he is eligible for internship roles. He "/>
        <s v="- Need to be more confident when answering the questions&#10;- Revise the theory - DSA, SQL, Basics of Web Apps&#10;- Improve CV -- add more relevant projects"/>
        <s v="- Good in communication&#10;- Revise Web application basic theory&#10;- Improve your knowledge on tech stack"/>
        <s v="Satya:&#10;- Hacker rank 30+ easy problems. Recommended moderate problems.&#10;- Coding of java is good&#10;- Flask/restful refer the backend concepts&#10;- DSA: Really good in linked list/Stacks/queues. 3.5 out 5 rated&#10;- She is good in AWS cloud and having good project "/>
        <s v="Achal was very underconfident while answering. He could answer 50% of the questions, and he needs to revise his concepts. He has been asked to reattempt on 7th April."/>
        <s v="Atharva is a standalone student , currently in BS level He could answer most of the questions. He has good theoretical knowledge and average communication skills. He has been advised to practice DSA regularly. In the present state, he is fit for internshi"/>
        <s v="Khushi is a dual degree student. She has done MS in Economics, and currently pursuing BS. She could answer 50% of the questions. She has not revised the ML concepts and could not answer questions on PCA, Ensemble techniques. She has been advised to revise"/>
        <s v="Aarush is a dual degree student with a BTech final year from Amity University. He has exited BS after Diploma in DS; however, he is thinking of rejoining. He has above-average theoretical knowledge and excellent communication skills. He has experience of "/>
        <s v="Aniket is a standalone student, currently pursuing a PGD towards an MTech through the BS route. He has above-average theoretical knowledge and good communication skills. He has been advised to practice DSA (to clear the first hiring round), include his pr"/>
        <s v="Apoorva is a dual degree student with a BSc (Honours) Computer Science from Delhi University. She has completed her BSc in the BS program. She has 6 months of internship experience and mentorship experience. She has been advised to practice DSA to clear t"/>
        <s v="Hariom was very underconfident while answering. He could not explain SVD, SVM model and hyperparameters of a DT model. He looked unprepared. He has been advised to revise his concepts and reattempt on 7th April."/>
        <s v="He could answer most of the questions. He has above average theoretical knowledge and communication skills. He has been advised to keep practicing DSA questions"/>
        <s v="- Good practical exposure&#10;- Already doing an internship at IIT Indore&#10;- However, could nto explain about various tools, techniques such as Github Actions, Docker mentioned in his resume"/>
        <s v="- Update the changes in the resume as mentioned during the call"/>
        <s v="- He has more inclination towards managerial jobs for which he has alos demonstrated his capabilities through Paradox events handling, however, he could not answer many basic data science questions"/>
        <s v="- Update the changes in the resume as mentioned during the call&#10;- She has already done two internships in the analyst role."/>
        <s v="- Revise MLT, MLP, DL and LLM.&#10;- Work on at least one non-course project.&#10;- Learn libraries such as PyTorch."/>
        <s v="- Good in communication.&#10;-Resume is text heavy.&#10;-Basic understanding of concepts but more depth is required."/>
        <s v="-Resume looks basic.Try adding some end to end project in your resume.&#10;-Revise Mathematical &amp; geomatrical intitution behind algorithm."/>
        <s v="- Looks good in application development understanding&#10;- Need to revise DSA/DBMS core concepts.&#10;- Need more practice on problem solving"/>
        <s v="- Looks good in application development understanding&#10;- Created some addition projects based on real life problems other than course projects&#10;- Need to revise DSA/DBMS core concepts.&#10;"/>
        <s v="She said, already ionformed to placement team that she is not well."/>
        <s v="The candidate did not appear fully prepared; he was unable to run his projects successfully and struggled to answer questions on core concepts of DSA, SQL, and DBMS.&#10;His problem-solving skills were good.&#10;He needs to revisit core concepts and gain more han"/>
        <s v="- student has good understanding of the projects that she has done. student has good problem solving. student need to revise about DBMS and DSA. "/>
        <s v="- student said he want to work on backend development, due to which he has very less knowledge of frontend. but he need to have knowlege of both. student need to revise core concepts."/>
        <s v="In the reattempt, Areeba was well prepared and could answer most of the questions. She has been advised to keep on practicing DSA. In the present state, she is fit for ML/DS intern roles. She has good potential."/>
        <s v="Samta could answer most of the questions. She has good theoretical knowledge and average communication skills. She has been advised to keep practicing DSA. In the present state, she is eligible for internship roles. communication skills."/>
        <s v="In the reattempt, Himanshu was well prepared and could answer most of the questions. He has been advised to do DLP and MLOps courses as these courses would enable him to acquire much-needed skills for the industry. Additionally, he has been advised to kee"/>
        <s v="In the reattempt, Ritik was still not prepared and could not provide explanations of the SVM and Naive Bayes models. He could not answer the questions on the hyperparameters of a DT model. He has been advised to prepare well."/>
        <s v="In the reattempt, Hariom was well prepared and could answer most of the questions. He has been advised to do DLP and MLOps courses as these courses would enable him to acquire much-needed skills for the industry. Additionally, he has been advised to keep "/>
        <s v="-The candidate did not appear fully prepared&#10;-Was able to explain project and simple conceptual questions.&#10;-Struggled in mathematical aspects of algorithm."/>
        <s v="- Has six-month internship experience, which is very good.&#10;- Has a non-course project, which shows initiative.&#10;- Decent knowledge of ML.&#10;- Is ready for placements. Can continue the good work."/>
        <s v="Shubham could answer most of the questions. He has good theoretical knowledge and communication skills. He has been advised to keep practicing DSA. In the present state, he is eligible for internship roles. communication skills."/>
        <s v="Achal was very underconfident while answering. He was not well. He has been asked to give 1-o-1 on 28th April (with me) "/>
        <s v="- Conceptually quite good.&#10;- CGPA is a bit low. Has to compute the CGPA for DS courses and present that or offer a suitable explanation.&#10;- Needs to do at least one non-course project and add that to the resume."/>
        <s v="His earlier feedback- He has more inclination towards managerial jobs, for which he has also demonstrated his capabilities through Paradox events handling; however, he could not answer many basic data science questions. In reattempt also, he could not ans"/>
        <s v="- Conceptually decent.&#10;- Needs to work on more non-course projects and add them to the resume."/>
        <s v="- Needs to put in quite some work to revise MLT and DL-Gen-AI fundamentals.&#10;- Needs to work on at least one non-course project and add it to the resume."/>
        <s v="- Needs to revise MLT and DL. Conceptual clarity is not there.&#10;- Be thorough with the projects mentioned in the resume.&#10;- Work on at least one more non-course project."/>
        <s v="- Work on at least one good non-course, non-Kaggle project.&#10;- Revise fundamentals of MLT and DL.&#10;- Work on a response for low CGPA question in the interview."/>
        <s v="- Need to improve communication, revise the core understanding of DSA and DBMS.&#10;- Presention skill was not good, He was not able to explain confidently"/>
        <s v="He is more intrested in DS domain, he just applied because he comleted DP. His more work and intrest in DS projects. &#10;He was not able to recall core concept of DSA and DBMS and not looking to ready for Application domain"/>
        <s v="-Need to revisse ML concepts especially mathematical intution of various algortihms.&#10;-Add measurable impact, even estimated, to strengthen credibility&#10;-Focus on 2-3 strong projects and go deep rather than covering many features"/>
        <s v="-Good exposure to real tools like PyTorch, FastAPI, Streamlit&#10;-Decent breadth across ML, DL, data analytics, and deployment&#10;-Some projects feel slightly over-engineered, focus could be sharper on core problem and impact"/>
        <s v="Dipshikha could answer most of the questions. She has good theoretical knowledge and average communication skills. She has been advised to keep practicing DSA. In the present state, she is eligible for internship roles. She has to work on her communicatio"/>
        <s v="Khushi could not answer basic questions like 'Ensemble Models', Decision Tree model, Random Forest classifier etc satisfactorily. She looked unprepared. In the present state, she is not fit for any role in DS/ML domain."/>
        <s v="Gautam is a dual-degree student with a Mechanical engineering background. He has already done one internship in the DS domain. He could answer most of the questions. He has decent theoretical knowledge and communication skills. He has been advised to keep"/>
        <s v="Sneha could not answer basic questions like 'Ensemble Models', NLP tasks etc. She looked unprepared. In the present state, she is not fit for any role in DS/ML domain."/>
        <s v="VAikhari could answer most of the questions. She has decent theoretical knowledge and good communication skills. She has been advised to keep practicing DSA. In the present state, she is eligible for internship roles. She has to work on her communication "/>
        <s v="Nivedita could answer most of the questions. She has good theoretical knowledge and average communication skills. She has been advised to keep practicing DSA. In the present state, she is eligible for internship roles. She has to work on her communication"/>
        <s v="Rishi is a dual-degree student with a Computer engineering background. He has already done one internship in the cybersecurity domain. He could answer most of the questions. He has average theoretical knowledge and communication skills. He has been advise"/>
        <s v="Kaif could answer most of the questions satisfactorily. In the present state, he is fit for internship roles in the ML/DS domain. He has been advised to keep practicing DSA and SQL."/>
        <s v="Vishakha has completed her BTech in CSE from Mumbai University, and in BS, she has completed diplomas. She is currently employed as a Software Developer as full time. In ML , she could not answer basic questions like DT , SVM models. She has been advised "/>
        <s v="Abhishek is a standalone student, and he has completed both diplomas. He looked unprepared and could not answer basic questions like bagging, boosting, DT model etc. He has been advised to reappear after ONE WEEK ON 21ST mAY AFTER revising MLF, MLT, and M"/>
        <s v="PRAJWAL COULD NOT PREPARE FOR REATTEMPT DUE TO SOME MEDICAL EMERGENCY. HE HAS BEEN ADVISED TO REAPPEAR ON 21ST MAY WITH ME."/>
        <s v="Jay is a dual degree student with another degree in Chemistry. He has already secured a job, and he is registered for the employment. He has good fundamentals, and in his current state, he is fit for FT roles in the NLP and Vision domains."/>
        <s v="Anup is a dual degree student. He could answer mos of the questions. He has decent theoretical knowledge. He has been advised to keep practicing DSA. He has good potential."/>
        <s v="She needs a bit of revision on machine learning algorithms. It would be helpful to work on projects, or if she has already done projects, she should ensure that she understands the fundamentals behind the algorithms, the meaning of the evaluation metrics "/>
        <s v="- Has to revise MLT, MLP and DL concepts.&#10;- Has to work on at least one non-course project and add it to the resume.&#10;- Mention work on Hackathons."/>
        <s v="- Is good with projects. Continue the good work there.&#10;- Should revise some aspects of the theory before the interviews."/>
        <s v="The student has a working knowledge of LLMs and AI but needs to work on the theory behind it."/>
        <s v="Arya looked prepared in the reattempt and she could answer most of the questions. Now, she has decent theoretical knowledge. She has been advised to keep practicing DSA. In the present state, she is eligible for intern roles in DS/ML. "/>
        <s v="Akula looked prepared in the reattempt, and she could answer most of the questions. Now, she has decent theoretical knowledge. She has been advised to keep practicing DSA. In the present state, she is eligible for intern roles in DS/ML. "/>
        <s v="Tarika is a working professional with around 2 years of experience with 10 years break. She has an MBA degree, and currently she is a research intern in BS program. She could answer most of the questions and she looked well prepared. She has good potentia"/>
        <s v="The student should strengthen their understanding of core machine learning concepts and work on more complex ML projects to gain deeper practical understanding. Additionally, the student should also focus on deep learning concepts to improve future job pr"/>
        <s v="The student is currently not placement-ready and needs to strengthen the fundamentals of machine learning concepts, including overfitting, underfitting, and the mathematical foundations behind ML models. The student should also focus on understanding diff"/>
        <s v="Samyuktha could answer most of the questions. She has been advised to revise MLP notes and practice DSA."/>
        <s v="Satyaki could answer most of the questions. He has been advised to revise MLP notes and practice DSA."/>
        <s v="Ankit could answer most of the questions. He has been advised to revise MLP notes and practice DSA."/>
        <s v="Saumyabrata could answer most of the questions. He has been advised to revise MLP notes and practice DSA."/>
        <s v="Mafaz could answer most of the questions. He has been advised to revise MLP notes and practice DSA."/>
        <s v="Shreya could answer most of the questions. She has been advised to revise MLP notes and practice DSA."/>
        <s v="Student has  good knowledge of programming and data structures, students is able to write simple code snippets, pseudo code for selection sort. Students just need to work on communication skill a bit, to articulate clearly. "/>
        <s v="He has good understanding and experience in application development. He need to revise some core understanding on DSA otherwise all looks good"/>
        <s v="He have done very limited work in application development whatever required as course work, nothing else. Also he was not able to answer very basic core concept of DSA and DBM, so he must revisit on core concepts and problem solving. Also need more handso"/>
        <s v="Already worked for Boeing and Visa. Good communication. Having knowledge on Flask / Angular. Also worked on data engineering during internship"/>
        <s v="Anurag looked upprepared and could not answer questions like DT and SVM models. He has been asked to reapapear after 2 weeks."/>
        <s v="This was Abhishek's reattempt and he looked unprepaared. He could now anser qestions on DT and SVM models."/>
        <s v="Darshan could answer most of the questions. He has good potential. He has been advised to keep practicing DSA."/>
        <s v="Sarwar could answer most of the questions. He has to work on his communication skills. He has also been advised to keep practicing DSA."/>
        <s v="Shivam could answer most of the questions. He has to improve his communication skills, as he stammers currently."/>
        <s v="Pinki could answer most of the questions. She has to improve her communication skills."/>
        <s v="Bhargavi could answer most of the questions. She has good potential."/>
        <s v="Abhishek could not answer very basic questions like loss functions in regression models. He has been advised to revise MLF, MLT and MLP notes, and reattempt after 2 weeks."/>
        <s v="Satya:&#10;- Basic Python questions with implementations&#10;- Question on single-linked list&#10;- Sorting techniques&#10;- Flask questions-redirect()/url_for()&#10;- API request methods&#10;- JWT token process from Vue component&#10;- Basic SQL commands&#10;- She is really good and re"/>
        <s v="- He was looking fine in knowledge wise, answered most of the question well&#10;- Also answered DBMS core question, In DSA need some revision.&#10;- Only main negative point is his CGPA is very less so he must need to improve.&#10;- Overall looks ready for internship"/>
        <s v="- The student has some surface level idea of the concepts.&#10;- Currently has worked on Flask, but needs to work on Node and Express&#10;- Need to work on system design and backend basics&#10;- Can be recommended for Internship"/>
        <s v="Student is able to answer simple coding questions in js and python, able to answer question related to react.js, student needs to work on DSA."/>
        <s v="she have done very limited work in app dev as a course work. Also she was not able to answer very basic core concept of DSA and DBMS, App dev so she must revise all the core concepts. She is unprepared now. She can learn new technologies and also cretate "/>
        <s v="overall performance was good, student has also done some interships, needs to brush up concepts learned in the coursework. recommended as backend developer."/>
        <s v="student is recommended for intership only. Needs to revise all the concepts he has learned in the coursework. He should also learn new technologies apart from what he has learned in App Dev and create some projects on that."/>
        <s v="Hiya answered most of the questions and concepts clearly and confidently. She has already been offered internships by KPMG and Sysfore. She has good potential. She has been advised to keep practicing DSA."/>
        <s v="This was Achal's reattempt, and he could not explain the Logistic Regression and DT models. He looked unprepared, and in his present state, he is not eligible for any role in ML/DS domain."/>
        <s v="This was Harsh's reattempt, and his performance was marginal. He could answer 60% of the questions. He has been cleared; however, he has been advised to keep revising the ML concepts. He has also been given a question bank."/>
        <s v="This was Khushi's reattempt, and she answered most of the questions and concepts clearly and confidently. She has been advised to hone her DSA skills through regular practice."/>
        <s v="In this reattempt, Ravi could answer and explain most of the concepts. He has been advised to keep practicing DSA to clear the firsts hiring round."/>
        <s v="This was first attempt of Saksham, and he could answer most of the questions and concepts. He is fit for intern roles in ML/DS domain. He has been advised to keep practicing DSA."/>
        <s v="This was first attempt of Aman, and he could answer most of the questions and concepts. He is fit for intern roles in the ML/DS domain. He has been advised to keep practicing DSA."/>
        <s v="In this reattempt, Samadhan could answer and explain most of the concepts. He has been advised to keep practicing DSA to clear the firsts hiring round."/>
        <s v="This was Murlidhar's reattempt, and his performance was marginal. He could answer 60% of the questions. He has been cleared; however, he has been advised to keep revising the ML concepts. "/>
        <s v="Adithya was able to answer most of the questions and concepts, but he needs to revise more in-depth. He has internship experiences, and in the current state, he is eligible for ML Engineer, Data Scientist, and Data Analyst roles."/>
        <s v="Nitish was able to explain most of the questions. In his current state, he is eligible for intern roles in the ML/DS domain. He has to work on his communication skills."/>
        <s v="Manish could answer most of the questions. He looked very anxious while answering. He has been shared with a question bank to practice. He has also been advised to keep practicing DSA. He can develop good potential."/>
        <s v="Saquib is currently doing an internship at Flame University. He could answer most of the questions. He has been advised to keep working on DSA, MLOps, and SQL."/>
        <s v="Saumya could answer most of the questions. She has been advised to keep practicing DSA. She has good potential."/>
        <s v="Vikas was able to explain most of the questions. In his current state, he is eligible for intern roles in the ML/DS domain. He has to work on his communication skills."/>
        <s v="Ajiz was not prepared for his rettempt.He himself told that he had not done the revision."/>
        <s v="In reattempt, Abhishek could answer most of the questions. He has been given a question bank to practice. He has also been advised to keep practicing DS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heet15" cacheId="0" dataCaption="" compact="0" compactData="0">
  <location ref="E3:H5" firstHeaderRow="0" firstDataRow="0" firstDataCol="1"/>
  <pivotFields>
    <pivotField name="Emai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1on1" axis="axisCol" compact="0" outline="0" multipleItemSelectionAllowed="1" showAll="0" sortType="ascending">
      <items>
        <item x="1"/>
        <item x="0"/>
        <item t="default"/>
      </items>
    </pivotField>
  </pivotFields>
  <colFields>
    <field x="1"/>
  </colFields>
  <dataFields>
    <dataField name="COUNTA of Email" fld="0" subtotal="count" baseField="0"/>
  </dataFields>
</pivotTableDefinition>
</file>

<file path=xl/pivotTables/pivotTable2.xml><?xml version="1.0" encoding="utf-8"?>
<pivotTableDefinition xmlns="http://schemas.openxmlformats.org/spreadsheetml/2006/main" name="Stats" cacheId="1" dataCaption="" colGrandTotals="0" compact="0" compactData="0">
  <location ref="G3:H14" firstHeaderRow="0" firstDataRow="1" firstDataCol="1"/>
  <pivotFields>
    <pivotField name="Roll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Domain" axis="axisCol" compact="0" outline="0" multipleItemSelectionAllowed="1" showAll="0" sortType="ascending">
      <items>
        <item x="0"/>
        <item h="1" x="1"/>
        <item t="default"/>
      </items>
    </pivotField>
    <pivotField name="Instructor" axis="axisRow" compact="0" outline="0" multipleItemSelectionAllowed="1" showAll="0" sortType="ascending">
      <items>
        <item x="12"/>
        <item x="5"/>
        <item x="9"/>
        <item x="4"/>
        <item x="6"/>
        <item x="8"/>
        <item x="7"/>
        <item x="15"/>
        <item x="0"/>
        <item x="13"/>
        <item x="11"/>
        <item x="3"/>
        <item x="10"/>
        <item x="1"/>
        <item x="18"/>
        <item x="14"/>
        <item x="16"/>
        <item x="17"/>
        <item x="2"/>
        <item t="default"/>
      </items>
    </pivotField>
    <pivotField name="Readiness of the student for placement" compact="0" outline="0" multipleItemSelectionAllowed="1" showAll="0">
      <items>
        <item x="0"/>
        <item x="1"/>
        <item x="2"/>
        <item t="default"/>
      </items>
    </pivotField>
    <pivotField name="Feedba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s>
  <rowFields>
    <field x="2"/>
  </rowFields>
  <colFields>
    <field x="1"/>
  </colFields>
  <dataFields>
    <dataField name="Slot Counts" fld="0" subtotal="count" baseField="0"/>
  </dataFields>
</pivotTableDefinition>
</file>

<file path=xl/pivotTables/pivotTable3.xml><?xml version="1.0" encoding="utf-8"?>
<pivotTableDefinition xmlns="http://schemas.openxmlformats.org/spreadsheetml/2006/main" name="Stats 2" cacheId="1" dataCaption="" compact="0" compactData="0">
  <location ref="J3:K7" firstHeaderRow="0" firstDataRow="1" firstDataCol="0" rowPageCount="1" colPageCount="1"/>
  <pivotFields>
    <pivotField name="Roll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Domain" axis="axisPage" compact="0" outline="0" multipleItemSelectionAllowed="1" showAll="0">
      <items>
        <item x="0"/>
        <item h="1" x="1"/>
        <item t="default"/>
      </items>
    </pivotField>
    <pivotField name="Instructor" compact="0" outline="0" multipleItemSelectionAllowed="1" showAll="0">
      <items>
        <item x="0"/>
        <item x="1"/>
        <item x="2"/>
        <item x="3"/>
        <item x="4"/>
        <item x="5"/>
        <item x="6"/>
        <item x="7"/>
        <item x="8"/>
        <item x="9"/>
        <item x="10"/>
        <item x="11"/>
        <item x="12"/>
        <item x="13"/>
        <item x="14"/>
        <item x="15"/>
        <item x="16"/>
        <item x="17"/>
        <item x="18"/>
        <item t="default"/>
      </items>
    </pivotField>
    <pivotField name="Cleared 1on1" axis="axisRow" compact="0" outline="0" multipleItemSelectionAllowed="1" showAll="0" sortType="ascending">
      <items>
        <item x="2"/>
        <item x="0"/>
        <item x="1"/>
        <item t="default"/>
      </items>
    </pivotField>
    <pivotField name="Feedba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s>
  <rowFields>
    <field x="3"/>
  </rowFields>
  <pageFields>
    <pageField fld="1"/>
  </pageFields>
  <dataFields>
    <dataField name="Student Count" fld="0" subtotal="count" baseField="0"/>
  </dataFields>
</pivotTableDefinition>
</file>

<file path=xl/tables/table1.xml><?xml version="1.0" encoding="utf-8"?>
<table xmlns="http://schemas.openxmlformats.org/spreadsheetml/2006/main" headerRowCount="0" ref="A1:H1" displayName="Form_Responses8" name="Form_Responses8"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Booked Slot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C842" displayName="Table_1" name="Table_1" id="4">
  <tableColumns count="3">
    <tableColumn name="Email" id="1"/>
    <tableColumn name="Full Name (as per IIC Portal) " id="2"/>
    <tableColumn name="Contact Num" id="3"/>
  </tableColumns>
  <tableStyleInfo name="Sheet17-style" showColumnStripes="0" showFirstColumn="1" showLastColumn="1" showRowStripes="1"/>
</table>
</file>

<file path=xl/tables/table3.xml><?xml version="1.0" encoding="utf-8"?>
<table xmlns="http://schemas.openxmlformats.org/spreadsheetml/2006/main" ref="A1:L53" displayName="Form_Responses7" name="Form_Responses7" id="2">
  <tableColumns count="12">
    <tableColumn name="Timestamp" id="1"/>
    <tableColumn name="Student Name" id="2"/>
    <tableColumn name="Student Email" id="3"/>
    <tableColumn name="Mobile Number" id="4"/>
    <tableColumn name="Overall CGPA" id="5"/>
    <tableColumn name="Upload your resume" id="6"/>
    <tableColumn name="Upload your progress card._x000a__x000a_Step 1: Go to Student Dashboard_x000a__x000a_Step 2: Click on the menu on your left side-bar and go to &quot;Documents for Download&quot; section. _x000a__x000a_Step 3: Search for &quot;2025 Sep Progress Card&quot; and download it. _x000a__x000a_Step 4: Convert your resume into a single PDF, upload the PDF to your Google Drive, change the sharing settings to ‘Anyone with the link can view,’ and paste the link below." id="7"/>
    <tableColumn name="Plan" id="8"/>
    <tableColumn name="Which domain?  " id="9"/>
    <tableColumn name="Slots (Timing in IST) – Data Science" id="10"/>
    <tableColumn name="Slots (Timing in IST) – Programming" id="11"/>
    <tableColumn name="Email Address" id="12"/>
  </tableColumns>
  <tableStyleInfo name="FR6-style" showColumnStripes="0" showFirstColumn="1" showLastColumn="1" showRowStripes="1"/>
</table>
</file>

<file path=xl/tables/table4.xml><?xml version="1.0" encoding="utf-8"?>
<table xmlns="http://schemas.openxmlformats.org/spreadsheetml/2006/main" ref="A1:L33" displayName="Form_Responses6" name="Form_Responses6" id="3">
  <tableColumns count="12">
    <tableColumn name="Timestamp" id="1"/>
    <tableColumn name="Student Name" id="2"/>
    <tableColumn name="Student Email" id="3"/>
    <tableColumn name="Mobile Number" id="4"/>
    <tableColumn name="Overall CGPA" id="5"/>
    <tableColumn name="Upload your resume" id="6"/>
    <tableColumn name="Upload your progress card._x000a__x000a_Step 1: Go to Student Dashboard_x000a__x000a_Step 2: Click on the menu on your left side-bar and go to &quot;Documents for Download&quot; section. _x000a__x000a_Step 3: Search for &quot;2025 Sep Progress Card&quot; and download it. _x000a__x000a_Step 4: Convert your resume into a single PDF, upload the PDF to your Google Drive, change the sharing settings to ‘Anyone with the link can view,’ and paste the link below." id="7"/>
    <tableColumn name="Plan" id="8"/>
    <tableColumn name="Which domain?  " id="9"/>
    <tableColumn name="Slots (Timing in IST) – Data Science" id="10"/>
    <tableColumn name="Slots (Timing in IST) – Programming" id="11"/>
    <tableColumn name="Email Address" id="12"/>
  </tableColumns>
  <tableStyleInfo name="FR5-style" showColumnStripes="0" showFirstColumn="1" showLastColumn="1" showRowStripes="1"/>
</table>
</file>

<file path=xl/tables/table5.xml><?xml version="1.0" encoding="utf-8"?>
<table xmlns="http://schemas.openxmlformats.org/spreadsheetml/2006/main" ref="A1:K68" displayName="Form_Responses5" name="Form_Responses5" id="5">
  <tableColumns count="11">
    <tableColumn name="Timestamp" id="1"/>
    <tableColumn name="Student Name" id="2"/>
    <tableColumn name="Student Email" id="3"/>
    <tableColumn name="Mobile Number" id="4"/>
    <tableColumn name="Overall CGPA" id="5"/>
    <tableColumn name="Upload your resume" id="6"/>
    <tableColumn name="Upload your progress card._x000a__x000a_Step 1: Go to Student Dashboard_x000a__x000a_Step 2: Click on the menu on your left side-bar and go to &quot;Documents for Download&quot; section. _x000a__x000a_Step 3: Search for &quot;2025 Sep Progress Card&quot; and download it. _x000a__x000a_Step 4: Convert your resume into a single PDF, upload the PDF to your Google Drive, change the sharing settings to ‘Anyone with the link can view,’ and paste the link below." id="7"/>
    <tableColumn name="Plan" id="8"/>
    <tableColumn name="Which domain?  " id="9"/>
    <tableColumn name="Slots (Timing in IST) – Data Science" id="10"/>
    <tableColumn name="Slots (Timing in IST) – Programming" id="11"/>
  </tableColumns>
  <tableStyleInfo name="FR2-style" showColumnStripes="0" showFirstColumn="1" showLastColumn="1" showRowStripes="1"/>
</table>
</file>

<file path=xl/tables/table6.xml><?xml version="1.0" encoding="utf-8"?>
<table xmlns="http://schemas.openxmlformats.org/spreadsheetml/2006/main" ref="A1:K15" displayName="Form_Responses4" name="Form_Responses4" id="6">
  <tableColumns count="11">
    <tableColumn name="Timestamp" id="1"/>
    <tableColumn name="Student Name" id="2"/>
    <tableColumn name="Student Email" id="3"/>
    <tableColumn name="Mobile Number" id="4"/>
    <tableColumn name="Overall CGPA" id="5"/>
    <tableColumn name="Upload your resume" id="6"/>
    <tableColumn name="Upload your progress card._x000a__x000a_Step 1: Go to Student Dashboard_x000a__x000a_Step 2: Click on the menu on your left side-bar and go to &quot;Documents for Download&quot; section. _x000a__x000a_Step 3: Search for &quot;2025 Sep Progress Card&quot; and download it. _x000a__x000a_Step 4: Convert your resume into a single PDF, upload the PDF to your Google Drive, change the sharing settings to ‘Anyone with the link can view,’ and paste the link below." id="7"/>
    <tableColumn name="Which domain?  " id="8"/>
    <tableColumn name="Slots (Timing in IST) – Data Science" id="9"/>
    <tableColumn name="Slots (Timing in IST) – Programming" id="10"/>
    <tableColumn name="Plan" id="11"/>
  </tableColumns>
  <tableStyleInfo name="FR4-style" showColumnStripes="0" showFirstColumn="1" showLastColumn="1" showRowStripes="1"/>
</table>
</file>

<file path=xl/tables/table7.xml><?xml version="1.0" encoding="utf-8"?>
<table xmlns="http://schemas.openxmlformats.org/spreadsheetml/2006/main" ref="A1:L44" displayName="Form_Responses2" name="Form_Responses2" id="7">
  <tableColumns count="12">
    <tableColumn name="Timestamp" id="1"/>
    <tableColumn name="Student Name" id="2"/>
    <tableColumn name="Student Email" id="3"/>
    <tableColumn name="Mobile Number" id="4"/>
    <tableColumn name="Overall CGPA" id="5"/>
    <tableColumn name="Upload your resume" id="6"/>
    <tableColumn name="Upload your progress card._x000a__x000a_Step 1: Go to Student Dashboard_x000a__x000a_Step 2: Click on the menu on your left side-bar and go to &quot;Documents for Download&quot; section. _x000a__x000a_Step 3: Search for &quot;2025 Sep Progress Card&quot; and download it. _x000a__x000a_Step 4: Convert your resume into a single PDF, upload the PDF to your Google Drive, change the sharing settings to ‘Anyone with the link can view,’ and paste the link below." id="7"/>
    <tableColumn name="Which domain?  " id="8"/>
    <tableColumn name="Slots (Timing in IST) – Data Science - Internship" id="9"/>
    <tableColumn name="Slots (Timing in IST) – Data Science - Employment" id="10"/>
    <tableColumn name="Slots (Timing in IST) – Programming - Internship" id="11"/>
    <tableColumn name="Slots (Timing in IST) – Programming - Employment" id="12"/>
  </tableColumns>
  <tableStyleInfo name="FR0-style" showColumnStripes="0" showFirstColumn="1" showLastColumn="1" showRowStripes="1"/>
</table>
</file>

<file path=xl/tables/table8.xml><?xml version="1.0" encoding="utf-8"?>
<table xmlns="http://schemas.openxmlformats.org/spreadsheetml/2006/main" ref="A1:L35" displayName="Form_Responses3" name="Form_Responses3" id="8">
  <tableColumns count="12">
    <tableColumn name="Timestamp" id="1"/>
    <tableColumn name="Student Name" id="2"/>
    <tableColumn name="Student Email" id="3"/>
    <tableColumn name="Mobile Number" id="4"/>
    <tableColumn name="Overall CGPA" id="5"/>
    <tableColumn name="Upload your resume" id="6"/>
    <tableColumn name="Upload your progress card._x000a__x000a_Step 1: Go to Student Dashboard_x000a__x000a_Step 2: Click on the menu on your left side-bar and go to &quot;Documents for Download&quot; section. _x000a__x000a_Step 3: Search for &quot;2025 Sep Progress Card&quot; and download it. _x000a__x000a_Step 4: Convert your resume into a single PDF, upload the PDF to your Google Drive, change the sharing settings to ‘Anyone with the link can view,’ and paste the link below." id="7"/>
    <tableColumn name="Which domain?  " id="8"/>
    <tableColumn name="Slots (Timing in IST) – Data Science" id="9"/>
    <tableColumn name="Slots (Timing in IST) – Data Science - Employment" id="10"/>
    <tableColumn name="Slots (Timing in IST) – Programming" id="11"/>
    <tableColumn name="Slots (Timing in IST) – Programming - Employment" id="12"/>
  </tableColumns>
  <tableStyleInfo name="FR3-style" showColumnStripes="0" showFirstColumn="1" showLastColumn="1" showRowStripes="1"/>
</table>
</file>

<file path=xl/tables/table9.xml><?xml version="1.0" encoding="utf-8"?>
<table xmlns="http://schemas.openxmlformats.org/spreadsheetml/2006/main" ref="A1:L45" displayName="Form_Responses" name="Form_Responses" id="9">
  <tableColumns count="12">
    <tableColumn name="Timestamp" id="1"/>
    <tableColumn name="Student Name" id="2"/>
    <tableColumn name="Student Email" id="3"/>
    <tableColumn name="Mobile Number" id="4"/>
    <tableColumn name="Overall CGPA" id="5"/>
    <tableColumn name="Upload your resume" id="6"/>
    <tableColumn name="Upload your progress card._x000a__x000a_Step 1: Go to Student Dashboard_x000a__x000a_Step 2: Click on the menu on your left side-bar and go to &quot;Documents for Download&quot; section. _x000a__x000a_Step 3: Search for &quot;2025 Sep Progress Card&quot; and download it. _x000a__x000a_Step 4: Convert your resume into a single PDF, upload the PDF to your Google Drive, change the sharing settings to ‘Anyone with the link can view,’ and paste the link below." id="7"/>
    <tableColumn name="Which domain?  " id="8"/>
    <tableColumn name="Slots (Timing in IST) – Data Science - Internship" id="9"/>
    <tableColumn name="Slots (Timing in IST) – Data Science - Employment" id="10"/>
    <tableColumn name="Slots (Timing in IST) – Programming - Internship" id="11"/>
    <tableColumn name="Slots (Timing in IST) – Programming - Employment" id="12"/>
  </tableColumns>
  <tableStyleInfo name="FR1-style" showColumnStripes="0" showFirstColumn="1" showLastColumn="1" showRowStripes="1"/>
</table>
</file>

<file path=xl/tables/table10.xml><?xml version="1.0" encoding="utf-8"?>
<table xmlns="http://schemas.openxmlformats.org/spreadsheetml/2006/main" headerRowCount="0" ref="A3:E95" displayName="Table_2" name="Table_2" id="10">
  <tableColumns count="5">
    <tableColumn name="Column1" id="1"/>
    <tableColumn name="Column2" id="2"/>
    <tableColumn name="Column3" id="3"/>
    <tableColumn name="Column4" id="4"/>
    <tableColumn name="Column5" id="5"/>
  </tableColumns>
  <tableStyleInfo name="Summary-style" showColumnStripes="0" showFirstColumn="1" showLastColumn="1" showRowStripes="1"/>
</table>
</file>

<file path=xl/tables/table11.xml><?xml version="1.0" encoding="utf-8"?>
<table xmlns="http://schemas.openxmlformats.org/spreadsheetml/2006/main" headerRowCount="0" ref="H21" displayName="Table_3" name="Table_3" id="11">
  <tableColumns count="1">
    <tableColumn name="Column1" id="1"/>
  </tableColumns>
  <tableStyleInfo name="Summary-style 2" showColumnStripes="0" showFirstColumn="1" showLastColumn="1" showRowStripes="1"/>
</table>
</file>

<file path=xl/tables/table12.xml><?xml version="1.0" encoding="utf-8"?>
<table xmlns="http://schemas.openxmlformats.org/spreadsheetml/2006/main" headerRowCount="0" ref="H23" displayName="Table_4" name="Table_4" id="12">
  <tableColumns count="1">
    <tableColumn name="Column1" id="1"/>
  </tableColumns>
  <tableStyleInfo name="Summary-style 3" showColumnStripes="0" showFirstColumn="1" showLastColumn="1" showRowStripes="1"/>
</table>
</file>

<file path=xl/tables/table13.xml><?xml version="1.0" encoding="utf-8"?>
<table xmlns="http://schemas.openxmlformats.org/spreadsheetml/2006/main" headerRowCount="0" ref="H25" displayName="Table_5" name="Table_5" id="13">
  <tableColumns count="1">
    <tableColumn name="Column1" id="1"/>
  </tableColumns>
  <tableStyleInfo name="Summary-style 4" showColumnStripes="0" showFirstColumn="1" showLastColumn="1" showRowStripes="1"/>
</table>
</file>

<file path=xl/tables/table14.xml><?xml version="1.0" encoding="utf-8"?>
<table xmlns="http://schemas.openxmlformats.org/spreadsheetml/2006/main" headerRowCount="0" ref="H26" displayName="Table_6" name="Table_6" id="14">
  <tableColumns count="1">
    <tableColumn name="Column1" id="1"/>
  </tableColumns>
  <tableStyleInfo name="Summary-style 5" showColumnStripes="0" showFirstColumn="1" showLastColumn="1" showRowStripes="1"/>
</table>
</file>

<file path=xl/tables/table15.xml><?xml version="1.0" encoding="utf-8"?>
<table xmlns="http://schemas.openxmlformats.org/spreadsheetml/2006/main" headerRowCount="0" ref="F29:H77" displayName="Table_7" name="Table_7" id="15">
  <tableColumns count="3">
    <tableColumn name="Column1" id="1"/>
    <tableColumn name="Column2" id="2"/>
    <tableColumn name="Column3" id="3"/>
  </tableColumns>
  <tableStyleInfo name="Summary-style 6" showColumnStripes="0" showFirstColumn="1" showLastColumn="1" showRowStripes="1"/>
</table>
</file>

<file path=xl/tables/table16.xml><?xml version="1.0" encoding="utf-8"?>
<table xmlns="http://schemas.openxmlformats.org/spreadsheetml/2006/main" headerRowCount="0" ref="A96:S139" displayName="Table_8" name="Table_8" id="16">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Summary-style 7" showColumnStripes="0" showFirstColumn="1" showLastColumn="1" showRowStripes="1"/>
</table>
</file>

<file path=xl/tables/table17.xml><?xml version="1.0" encoding="utf-8"?>
<table xmlns="http://schemas.openxmlformats.org/spreadsheetml/2006/main" headerRowCount="0" ref="H140:P140" displayName="Table_9" name="Table_9" id="1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ummary-style 8" showColumnStripes="0" showFirstColumn="1" showLastColumn="1" showRowStripes="1"/>
</table>
</file>

<file path=xl/tables/table18.xml><?xml version="1.0" encoding="utf-8"?>
<table xmlns="http://schemas.openxmlformats.org/spreadsheetml/2006/main" headerRowCount="0" ref="N141:P142" displayName="Table_10" name="Table_10" id="18">
  <tableColumns count="3">
    <tableColumn name="Column1" id="1"/>
    <tableColumn name="Column2" id="2"/>
    <tableColumn name="Column3" id="3"/>
  </tableColumns>
  <tableStyleInfo name="Summary-style 9" showColumnStripes="0" showFirstColumn="1" showLastColumn="1" showRowStripes="1"/>
</table>
</file>

<file path=xl/tables/table19.xml><?xml version="1.0" encoding="utf-8"?>
<table xmlns="http://schemas.openxmlformats.org/spreadsheetml/2006/main" headerRowCount="0" ref="N144:P144" displayName="Table_11" name="Table_11" id="19">
  <tableColumns count="3">
    <tableColumn name="Column1" id="1"/>
    <tableColumn name="Column2" id="2"/>
    <tableColumn name="Column3" id="3"/>
  </tableColumns>
  <tableStyleInfo name="Summary-style 10" showColumnStripes="0" showFirstColumn="1" showLastColumn="1" showRowStripes="1"/>
</table>
</file>

<file path=xl/tables/table20.xml><?xml version="1.0" encoding="utf-8"?>
<table xmlns="http://schemas.openxmlformats.org/spreadsheetml/2006/main" headerRowCount="0" ref="N145:O145" displayName="Table_12" name="Table_12" id="20">
  <tableColumns count="2">
    <tableColumn name="Column1" id="1"/>
    <tableColumn name="Column2" id="2"/>
  </tableColumns>
  <tableStyleInfo name="Summary-style 11" showColumnStripes="0" showFirstColumn="1" showLastColumn="1" showRowStripes="1"/>
</table>
</file>

<file path=xl/tables/table21.xml><?xml version="1.0" encoding="utf-8"?>
<table xmlns="http://schemas.openxmlformats.org/spreadsheetml/2006/main" headerRowCount="0" ref="H146:P150" displayName="Table_13" name="Table_13" id="2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ummary-style 12" showColumnStripes="0" showFirstColumn="1" showLastColumn="1" showRowStripes="1"/>
</table>
</file>

<file path=xl/tables/table22.xml><?xml version="1.0" encoding="utf-8"?>
<table xmlns="http://schemas.openxmlformats.org/spreadsheetml/2006/main" headerRowCount="0" ref="C183:D183" displayName="Table_14" name="Table_14" id="22">
  <tableColumns count="2">
    <tableColumn name="Column1" id="1"/>
    <tableColumn name="Column2" id="2"/>
  </tableColumns>
  <tableStyleInfo name="Summary-style 13" showColumnStripes="0" showFirstColumn="1" showLastColumn="1" showRowStripes="1"/>
</table>
</file>

<file path=xl/tables/table23.xml><?xml version="1.0" encoding="utf-8"?>
<table xmlns="http://schemas.openxmlformats.org/spreadsheetml/2006/main" headerRowCount="0" ref="C184:D184" displayName="Table_15" name="Table_15" id="23">
  <tableColumns count="2">
    <tableColumn name="Column1" id="1"/>
    <tableColumn name="Column2" id="2"/>
  </tableColumns>
  <tableStyleInfo name="Summary-style 14" showColumnStripes="0" showFirstColumn="1" showLastColumn="1" showRowStripes="1"/>
</table>
</file>

<file path=xl/tables/table24.xml><?xml version="1.0" encoding="utf-8"?>
<table xmlns="http://schemas.openxmlformats.org/spreadsheetml/2006/main" headerRowCount="0" ref="A190:E195" displayName="Table_16" name="Table_16" id="24">
  <tableColumns count="5">
    <tableColumn name="Column1" id="1"/>
    <tableColumn name="Column2" id="2"/>
    <tableColumn name="Column3" id="3"/>
    <tableColumn name="Column4" id="4"/>
    <tableColumn name="Column5" id="5"/>
  </tableColumns>
  <tableStyleInfo name="Summary-style 15" showColumnStripes="0" showFirstColumn="1" showLastColumn="1" showRowStripes="1"/>
</table>
</file>

<file path=xl/tables/table25.xml><?xml version="1.0" encoding="utf-8"?>
<table xmlns="http://schemas.openxmlformats.org/spreadsheetml/2006/main" headerRowCount="0" ref="F190:F194" displayName="Table_17" name="Table_17" id="25">
  <tableColumns count="1">
    <tableColumn name="Column1" id="1"/>
  </tableColumns>
  <tableStyleInfo name="Summary-style 16" showColumnStripes="0" showFirstColumn="1" showLastColumn="1" showRowStripes="1"/>
</table>
</file>

<file path=xl/tables/table26.xml><?xml version="1.0" encoding="utf-8"?>
<table xmlns="http://schemas.openxmlformats.org/spreadsheetml/2006/main" headerRowCount="0" ref="A196:P203" displayName="Table_18" name="Table_18" id="26">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Summary-style 17" showColumnStripes="0" showFirstColumn="1" showLastColumn="1" showRowStripes="1"/>
</table>
</file>

<file path=xl/tables/table27.xml><?xml version="1.0" encoding="utf-8"?>
<table xmlns="http://schemas.openxmlformats.org/spreadsheetml/2006/main" headerRowCount="0" ref="H205:P205" displayName="Table_19" name="Table_19" id="2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ummary-style 18" showColumnStripes="0" showFirstColumn="1" showLastColumn="1" showRowStripes="1"/>
</table>
</file>

<file path=xl/tables/table28.xml><?xml version="1.0" encoding="utf-8"?>
<table xmlns="http://schemas.openxmlformats.org/spreadsheetml/2006/main" headerRowCount="0" ref="H209:P209" displayName="Table_20" name="Table_20" id="2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ummary-style 19" showColumnStripes="0" showFirstColumn="1" showLastColumn="1" showRowStripes="1"/>
</table>
</file>

<file path=xl/tables/table29.xml><?xml version="1.0" encoding="utf-8"?>
<table xmlns="http://schemas.openxmlformats.org/spreadsheetml/2006/main" headerRowCount="0" ref="A5:C106" displayName="Table_21" name="Table_21" id="29">
  <tableColumns count="3">
    <tableColumn name="Column1" id="1"/>
    <tableColumn name="Column2" id="2"/>
    <tableColumn name="Column3" id="3"/>
  </tableColumns>
  <tableStyleInfo name="FS - Jan26-style" showColumnStripes="0" showFirstColumn="1" showLastColumn="1" showRowStripes="1"/>
</table>
</file>

<file path=xl/tables/table30.xml><?xml version="1.0" encoding="utf-8"?>
<table xmlns="http://schemas.openxmlformats.org/spreadsheetml/2006/main" headerRowCount="0" ref="D43:D87" displayName="Table_22" name="Table_22" id="30">
  <tableColumns count="1">
    <tableColumn name="Column1" id="1"/>
  </tableColumns>
  <tableStyleInfo name="FS - Jan26-style 2" showColumnStripes="0" showFirstColumn="1" showLastColumn="1" showRowStripes="1"/>
</table>
</file>

<file path=xl/tables/table31.xml><?xml version="1.0" encoding="utf-8"?>
<table xmlns="http://schemas.openxmlformats.org/spreadsheetml/2006/main" headerRowCount="0" ref="A107:Q151" displayName="Table_23" name="Table_23" id="3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S - Jan26-style 3" showColumnStripes="0" showFirstColumn="1" showLastColumn="1" showRowStripes="1"/>
</table>
</file>

<file path=xl/tables/table32.xml><?xml version="1.0" encoding="utf-8"?>
<table xmlns="http://schemas.openxmlformats.org/spreadsheetml/2006/main" headerRowCount="0" ref="F152:N152" displayName="Table_24" name="Table_24" id="3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S - Jan26-style 4" showColumnStripes="0" showFirstColumn="1" showLastColumn="1" showRowStripes="1"/>
</table>
</file>

<file path=xl/tables/table33.xml><?xml version="1.0" encoding="utf-8"?>
<table xmlns="http://schemas.openxmlformats.org/spreadsheetml/2006/main" headerRowCount="0" ref="L153:N154" displayName="Table_25" name="Table_25" id="33">
  <tableColumns count="3">
    <tableColumn name="Column1" id="1"/>
    <tableColumn name="Column2" id="2"/>
    <tableColumn name="Column3" id="3"/>
  </tableColumns>
  <tableStyleInfo name="FS - Jan26-style 5" showColumnStripes="0" showFirstColumn="1" showLastColumn="1" showRowStripes="1"/>
</table>
</file>

<file path=xl/tables/table34.xml><?xml version="1.0" encoding="utf-8"?>
<table xmlns="http://schemas.openxmlformats.org/spreadsheetml/2006/main" headerRowCount="0" ref="L156:N156" displayName="Table_26" name="Table_26" id="34">
  <tableColumns count="3">
    <tableColumn name="Column1" id="1"/>
    <tableColumn name="Column2" id="2"/>
    <tableColumn name="Column3" id="3"/>
  </tableColumns>
  <tableStyleInfo name="FS - Jan26-style 6" showColumnStripes="0" showFirstColumn="1" showLastColumn="1" showRowStripes="1"/>
</table>
</file>

<file path=xl/tables/table35.xml><?xml version="1.0" encoding="utf-8"?>
<table xmlns="http://schemas.openxmlformats.org/spreadsheetml/2006/main" headerRowCount="0" ref="L157:M157" displayName="Table_27" name="Table_27" id="35">
  <tableColumns count="2">
    <tableColumn name="Column1" id="1"/>
    <tableColumn name="Column2" id="2"/>
  </tableColumns>
  <tableStyleInfo name="FS - Jan26-style 7" showColumnStripes="0" showFirstColumn="1" showLastColumn="1" showRowStripes="1"/>
</table>
</file>

<file path=xl/tables/table36.xml><?xml version="1.0" encoding="utf-8"?>
<table xmlns="http://schemas.openxmlformats.org/spreadsheetml/2006/main" headerRowCount="0" ref="F158:N162" displayName="Table_28" name="Table_28" id="3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S - Jan26-style 8" showColumnStripes="0" showFirstColumn="1" showLastColumn="1" showRowStripes="1"/>
</table>
</file>

<file path=xl/tables/table37.xml><?xml version="1.0" encoding="utf-8"?>
<table xmlns="http://schemas.openxmlformats.org/spreadsheetml/2006/main" headerRowCount="0" ref="A202:C207" displayName="Table_29" name="Table_29" id="37">
  <tableColumns count="3">
    <tableColumn name="Column1" id="1"/>
    <tableColumn name="Column2" id="2"/>
    <tableColumn name="Column3" id="3"/>
  </tableColumns>
  <tableStyleInfo name="FS - Jan26-style 9" showColumnStripes="0" showFirstColumn="1" showLastColumn="1" showRowStripes="1"/>
</table>
</file>

<file path=xl/tables/table38.xml><?xml version="1.0" encoding="utf-8"?>
<table xmlns="http://schemas.openxmlformats.org/spreadsheetml/2006/main" headerRowCount="0" ref="D202:D206" displayName="Table_30" name="Table_30" id="38">
  <tableColumns count="1">
    <tableColumn name="Column1" id="1"/>
  </tableColumns>
  <tableStyleInfo name="FS - Jan26-style 10" showColumnStripes="0" showFirstColumn="1" showLastColumn="1" showRowStripes="1"/>
</table>
</file>

<file path=xl/tables/table39.xml><?xml version="1.0" encoding="utf-8"?>
<table xmlns="http://schemas.openxmlformats.org/spreadsheetml/2006/main" headerRowCount="0" ref="A208:N215" displayName="Table_31" name="Table_31" id="39">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FS - Jan26-style 11" showColumnStripes="0" showFirstColumn="1" showLastColumn="1" showRowStripes="1"/>
</table>
</file>

<file path=xl/tables/table40.xml><?xml version="1.0" encoding="utf-8"?>
<table xmlns="http://schemas.openxmlformats.org/spreadsheetml/2006/main" headerRowCount="0" ref="F217:N217" displayName="Table_32" name="Table_32" id="4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S - Jan26-style 12" showColumnStripes="0" showFirstColumn="1" showLastColumn="1" showRowStripes="1"/>
</table>
</file>

<file path=xl/tables/table41.xml><?xml version="1.0" encoding="utf-8"?>
<table xmlns="http://schemas.openxmlformats.org/spreadsheetml/2006/main" headerRowCount="0" ref="F221:N221" displayName="Table_33" name="Table_33" id="4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S - Jan26-style 13" showColumnStripes="0" showFirstColumn="1" showLastColumn="1" showRowStripes="1"/>
</table>
</file>

<file path=xl/tables/table42.xml><?xml version="1.0" encoding="utf-8"?>
<table xmlns="http://schemas.openxmlformats.org/spreadsheetml/2006/main" headerRowCount="0" ref="F4:N20" displayName="Table_34" name="Table_34" id="4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D - Jan26-style" showColumnStripes="0" showFirstColumn="1" showLastColumn="1" showRowStripes="1"/>
</table>
</file>

<file path=xl/tables/table43.xml><?xml version="1.0" encoding="utf-8"?>
<table xmlns="http://schemas.openxmlformats.org/spreadsheetml/2006/main" headerRowCount="0" ref="A5:E56" displayName="Table_35" name="Table_35" id="43">
  <tableColumns count="5">
    <tableColumn name="Column1" id="1"/>
    <tableColumn name="Column2" id="2"/>
    <tableColumn name="Column3" id="3"/>
    <tableColumn name="Column4" id="4"/>
    <tableColumn name="Column5" id="5"/>
  </tableColumns>
  <tableStyleInfo name="SD - Jan26-style 2" showColumnStripes="0" showFirstColumn="1" showLastColumn="1" showRowStripes="1"/>
</table>
</file>

<file path=xl/tables/table44.xml><?xml version="1.0" encoding="utf-8"?>
<table xmlns="http://schemas.openxmlformats.org/spreadsheetml/2006/main" headerRowCount="0" ref="I21:O24" displayName="Table_36" name="Table_36" id="44">
  <tableColumns count="7">
    <tableColumn name="Column1" id="1"/>
    <tableColumn name="Column2" id="2"/>
    <tableColumn name="Column3" id="3"/>
    <tableColumn name="Column4" id="4"/>
    <tableColumn name="Column5" id="5"/>
    <tableColumn name="Column6" id="6"/>
    <tableColumn name="Column7" id="7"/>
  </tableColumns>
  <tableStyleInfo name="SD - Jan26-style 3" showColumnStripes="0" showFirstColumn="1" showLastColumn="1" showRowStripes="1"/>
</table>
</file>

<file path=xl/tables/table45.xml><?xml version="1.0" encoding="utf-8"?>
<table xmlns="http://schemas.openxmlformats.org/spreadsheetml/2006/main" headerRowCount="0" ref="I25:N33" displayName="Table_37" name="Table_37" id="45">
  <tableColumns count="6">
    <tableColumn name="Column1" id="1"/>
    <tableColumn name="Column2" id="2"/>
    <tableColumn name="Column3" id="3"/>
    <tableColumn name="Column4" id="4"/>
    <tableColumn name="Column5" id="5"/>
    <tableColumn name="Column6" id="6"/>
  </tableColumns>
  <tableStyleInfo name="SD - Jan26-style 4" showColumnStripes="0" showFirstColumn="1" showLastColumn="1" showRowStripes="1"/>
</table>
</file>

<file path=xl/tables/table46.xml><?xml version="1.0" encoding="utf-8"?>
<table xmlns="http://schemas.openxmlformats.org/spreadsheetml/2006/main" headerRowCount="0" ref="F34:N40" displayName="Table_38" name="Table_38" id="4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D - Jan26-style 5" showColumnStripes="0" showFirstColumn="1" showLastColumn="1" showRowStripes="1"/>
</table>
</file>

<file path=xl/tables/table47.xml><?xml version="1.0" encoding="utf-8"?>
<table xmlns="http://schemas.openxmlformats.org/spreadsheetml/2006/main" headerRowCount="0" ref="I41:N56" displayName="Table_39" name="Table_39" id="47">
  <tableColumns count="6">
    <tableColumn name="Column1" id="1"/>
    <tableColumn name="Column2" id="2"/>
    <tableColumn name="Column3" id="3"/>
    <tableColumn name="Column4" id="4"/>
    <tableColumn name="Column5" id="5"/>
    <tableColumn name="Column6" id="6"/>
  </tableColumns>
  <tableStyleInfo name="SD - Jan26-style 6" showColumnStripes="0" showFirstColumn="1" showLastColumn="1" showRowStripes="1"/>
</table>
</file>

<file path=xl/tables/table48.xml><?xml version="1.0" encoding="utf-8"?>
<table xmlns="http://schemas.openxmlformats.org/spreadsheetml/2006/main" headerRowCount="0" ref="I57:N74" displayName="Table_40" name="Table_40" id="48">
  <tableColumns count="6">
    <tableColumn name="Column1" id="1"/>
    <tableColumn name="Column2" id="2"/>
    <tableColumn name="Column3" id="3"/>
    <tableColumn name="Column4" id="4"/>
    <tableColumn name="Column5" id="5"/>
    <tableColumn name="Column6" id="6"/>
  </tableColumns>
  <tableStyleInfo name="SD - Jan26-style 7" showColumnStripes="0" showFirstColumn="1" showLastColumn="1" showRowStripes="1"/>
</table>
</file>

<file path=xl/tables/table49.xml><?xml version="1.0" encoding="utf-8"?>
<table xmlns="http://schemas.openxmlformats.org/spreadsheetml/2006/main" headerRowCount="0" ref="D59:E74" displayName="Table_41" name="Table_41" id="49">
  <tableColumns count="2">
    <tableColumn name="Column1" id="1"/>
    <tableColumn name="Column2" id="2"/>
  </tableColumns>
  <tableStyleInfo name="SD - Jan26-style 8" showColumnStripes="0" showFirstColumn="1" showLastColumn="1" showRowStripes="1"/>
</table>
</file>

<file path=xl/tables/table50.xml><?xml version="1.0" encoding="utf-8"?>
<table xmlns="http://schemas.openxmlformats.org/spreadsheetml/2006/main" headerRowCount="0" ref="I86:N125" displayName="Table_42" name="Table_42" id="50">
  <tableColumns count="6">
    <tableColumn name="Column1" id="1"/>
    <tableColumn name="Column2" id="2"/>
    <tableColumn name="Column3" id="3"/>
    <tableColumn name="Column4" id="4"/>
    <tableColumn name="Column5" id="5"/>
    <tableColumn name="Column6" id="6"/>
  </tableColumns>
  <tableStyleInfo name="SD - Jan26-style 9" showColumnStripes="0" showFirstColumn="1" showLastColumn="1" showRowStripes="1"/>
</table>
</file>

<file path=xl/tables/table51.xml><?xml version="1.0" encoding="utf-8"?>
<table xmlns="http://schemas.openxmlformats.org/spreadsheetml/2006/main" headerRowCount="0" ref="I186:N186" displayName="Table_43" name="Table_43" id="51">
  <tableColumns count="6">
    <tableColumn name="Column1" id="1"/>
    <tableColumn name="Column2" id="2"/>
    <tableColumn name="Column3" id="3"/>
    <tableColumn name="Column4" id="4"/>
    <tableColumn name="Column5" id="5"/>
    <tableColumn name="Column6" id="6"/>
  </tableColumns>
  <tableStyleInfo name="SD - Jan26-style 10" showColumnStripes="0" showFirstColumn="1" showLastColumn="1" showRowStripes="1"/>
</table>
</file>

<file path=xl/tables/table52.xml><?xml version="1.0" encoding="utf-8"?>
<table xmlns="http://schemas.openxmlformats.org/spreadsheetml/2006/main" headerRowCount="0" ref="I187:N187" displayName="Table_44" name="Table_44" id="52">
  <tableColumns count="6">
    <tableColumn name="Column1" id="1"/>
    <tableColumn name="Column2" id="2"/>
    <tableColumn name="Column3" id="3"/>
    <tableColumn name="Column4" id="4"/>
    <tableColumn name="Column5" id="5"/>
    <tableColumn name="Column6" id="6"/>
  </tableColumns>
  <tableStyleInfo name="SD - Jan26-style 11" showColumnStripes="0" showFirstColumn="1" showLastColumn="1" showRowStripes="1"/>
</table>
</file>

<file path=xl/tables/table53.xml><?xml version="1.0" encoding="utf-8"?>
<table xmlns="http://schemas.openxmlformats.org/spreadsheetml/2006/main" headerRowCount="0" ref="A5:B53" displayName="Table_45" name="Table_45" id="53">
  <tableColumns count="2">
    <tableColumn name="Column1" id="1"/>
    <tableColumn name="Column2" id="2"/>
  </tableColumns>
  <tableStyleInfo name="Sheet1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IPkUX12m-iJKOtWNXdyuwn80rTHIhoIY/view?usp=drivesdk" TargetMode="External"/><Relationship Id="rId42" Type="http://schemas.openxmlformats.org/officeDocument/2006/relationships/hyperlink" Target="https://drive.google.com/file/d/1G1Nmmtbv-x2CsxBM3mAbyWIcFoV9BdHT/view?usp=sharing" TargetMode="External"/><Relationship Id="rId41" Type="http://schemas.openxmlformats.org/officeDocument/2006/relationships/hyperlink" Target="https://drive.google.com/file/d/13ix8NdlWD8nn3bg2d10jah7_-sOIVhvq/view?usp=sharing" TargetMode="External"/><Relationship Id="rId44" Type="http://schemas.openxmlformats.org/officeDocument/2006/relationships/hyperlink" Target="https://drive.google.com/file/d/1FbqkkMNhuXEWx3Vc4MMmfqwXpELAJDBN/view?usp=sharing" TargetMode="External"/><Relationship Id="rId43" Type="http://schemas.openxmlformats.org/officeDocument/2006/relationships/hyperlink" Target="https://drive.google.com/file/d/1p0G3_ultsLtSBiUGz78g_4wUPmTOqCUn/view?usp=sharing" TargetMode="External"/><Relationship Id="rId46" Type="http://schemas.openxmlformats.org/officeDocument/2006/relationships/hyperlink" Target="https://drive.google.com/file/d/1k0beckzE_-ZrLSB0dZohKhjW1kzYfnBP/view?usp=sharing" TargetMode="External"/><Relationship Id="rId45" Type="http://schemas.openxmlformats.org/officeDocument/2006/relationships/hyperlink" Target="https://drive.google.com/file/d/1D5zVWMZzTy4OT-4-n2nHgRp8eOTGu33h/view?usp=sharing" TargetMode="External"/><Relationship Id="rId106" Type="http://schemas.openxmlformats.org/officeDocument/2006/relationships/vmlDrawing" Target="../drawings/vmlDrawing1.vml"/><Relationship Id="rId105" Type="http://schemas.openxmlformats.org/officeDocument/2006/relationships/drawing" Target="../drawings/drawing3.xml"/><Relationship Id="rId104" Type="http://schemas.openxmlformats.org/officeDocument/2006/relationships/hyperlink" Target="https://drive.google.com/file/d/1Pnl_keG3ML4ltTH1U71ovZFPxzUPbw7m/view?usp=sharing" TargetMode="External"/><Relationship Id="rId108" Type="http://schemas.openxmlformats.org/officeDocument/2006/relationships/table" Target="../tables/table3.xml"/><Relationship Id="rId48" Type="http://schemas.openxmlformats.org/officeDocument/2006/relationships/hyperlink" Target="https://drive.google.com/file/d/12KUUXjnzsmmHMCu3qQ_cinAgPG6BO_73/view?usp=drive_link" TargetMode="External"/><Relationship Id="rId47" Type="http://schemas.openxmlformats.org/officeDocument/2006/relationships/hyperlink" Target="https://drive.google.com/file/d/1Fl4SnyUshmiL53jTlxuAr3J3QUGkjFLX/view?usp=drive_link" TargetMode="External"/><Relationship Id="rId49" Type="http://schemas.openxmlformats.org/officeDocument/2006/relationships/hyperlink" Target="https://drive.google.com/file/d/1ziNYeG2tAcb9GpluFiB1wPMbk5dkjLD5/view?usp=drivesdk" TargetMode="External"/><Relationship Id="rId103" Type="http://schemas.openxmlformats.org/officeDocument/2006/relationships/hyperlink" Target="https://drive.google.com/file/d/1_dXDqRmolyJoobPNt0PIV8JAcIc1lhxY/view?usp=sharing" TargetMode="External"/><Relationship Id="rId102" Type="http://schemas.openxmlformats.org/officeDocument/2006/relationships/hyperlink" Target="https://drive.google.com/file/d/1mZVR3klWRe-JQZNlj5x1x9jszhkZ30_9/view?usp=sharing" TargetMode="External"/><Relationship Id="rId101" Type="http://schemas.openxmlformats.org/officeDocument/2006/relationships/hyperlink" Target="https://drive.google.com/file/d/1KvuAx4KseZ9dR661mqvTbcHiUiBjP-rU/view?usp=sharing" TargetMode="External"/><Relationship Id="rId100" Type="http://schemas.openxmlformats.org/officeDocument/2006/relationships/hyperlink" Target="https://drive.google.com/file/d/1b8kJhhwTNoJ1k3M_c35ATHX8pK--6ooM/view?usp=sharing" TargetMode="External"/><Relationship Id="rId31" Type="http://schemas.openxmlformats.org/officeDocument/2006/relationships/hyperlink" Target="https://drive.google.com/file/d/1DW8D37UW4Rhg5gMdy2tj8TkTPMA_KiIJ/view?usp=drive_link" TargetMode="External"/><Relationship Id="rId30" Type="http://schemas.openxmlformats.org/officeDocument/2006/relationships/hyperlink" Target="https://drive.google.com/file/d/1a15v6jAsWEvY3EoIQfYk14DkWOy1-P6i/view?usp=drive_link" TargetMode="External"/><Relationship Id="rId33" Type="http://schemas.openxmlformats.org/officeDocument/2006/relationships/hyperlink" Target="https://drive.google.com/file/d/1njgX8yM21P04_RCJ-rPHIO1284Ue7BJo/view?usp=drive_link" TargetMode="External"/><Relationship Id="rId32" Type="http://schemas.openxmlformats.org/officeDocument/2006/relationships/hyperlink" Target="https://drive.google.com/file/d/1SZn-N-9r_Wz9R_YwsgeYhw0JLy2Upzbm/view?usp=drive_link" TargetMode="External"/><Relationship Id="rId35" Type="http://schemas.openxmlformats.org/officeDocument/2006/relationships/hyperlink" Target="https://drive.google.com/file/d/1imaIp-tK405dRHi_0ZduvBqmX-d8c6G0/view?usp=drivesdk" TargetMode="External"/><Relationship Id="rId34" Type="http://schemas.openxmlformats.org/officeDocument/2006/relationships/hyperlink" Target="https://drive.google.com/file/d/1oFKkuTGEfncGcIY6bZH-OKDEu3nFyHUy/view?usp=drive_link" TargetMode="External"/><Relationship Id="rId37" Type="http://schemas.openxmlformats.org/officeDocument/2006/relationships/hyperlink" Target="https://drive.google.com/file/d/1tden2CsZtn674Zey7tujeBcc8ZXGWS7n/view?usp=sharing" TargetMode="External"/><Relationship Id="rId36" Type="http://schemas.openxmlformats.org/officeDocument/2006/relationships/hyperlink" Target="https://drive.google.com/file/d/1lSVn-m783kDepxK3VQqSqwAy1Rlyl8My/view?usp=drivesdk" TargetMode="External"/><Relationship Id="rId39" Type="http://schemas.openxmlformats.org/officeDocument/2006/relationships/hyperlink" Target="https://drive.google.com/file/d/16Ueuohz139HlgYNoqdBYWF5EZq_JEp_9/view?usp=drivesdk" TargetMode="External"/><Relationship Id="rId38" Type="http://schemas.openxmlformats.org/officeDocument/2006/relationships/hyperlink" Target="https://drive.google.com/file/d/1Gpg3_ZQ4ybQZ_MMGK1sWZMJi5YpuK90W/view?usp=sharing" TargetMode="External"/><Relationship Id="rId20" Type="http://schemas.openxmlformats.org/officeDocument/2006/relationships/hyperlink" Target="https://drive.google.com/file/d/1-aVk61y8QHF2cpQL-5dFxAFw7DR48WhC/view?usp=sharing" TargetMode="External"/><Relationship Id="rId22" Type="http://schemas.openxmlformats.org/officeDocument/2006/relationships/hyperlink" Target="https://drive.google.com/file/d/147eP9Hs5KWGSAiFGHrzD94IiLC-CGknh/view?usp=sharing" TargetMode="External"/><Relationship Id="rId21" Type="http://schemas.openxmlformats.org/officeDocument/2006/relationships/hyperlink" Target="https://drive.google.com/file/d/1I9nSTF_NIAoHtVsZk-_5ssn0HWg3fUIV/view?usp=sharing" TargetMode="External"/><Relationship Id="rId24" Type="http://schemas.openxmlformats.org/officeDocument/2006/relationships/hyperlink" Target="https://drive.google.com/file/d/1dr2ap37uMy9pAN48mAIO98noiuZAAbNP/view?usp=sharing" TargetMode="External"/><Relationship Id="rId23" Type="http://schemas.openxmlformats.org/officeDocument/2006/relationships/hyperlink" Target="https://drive.google.com/drive/folders/15cf4vd8QrsJuNSo1S7XkCRJkQSN02Bk-?usp=sharing" TargetMode="External"/><Relationship Id="rId26" Type="http://schemas.openxmlformats.org/officeDocument/2006/relationships/hyperlink" Target="https://drive.google.com/file/d/1bt4OhQCj51FEUjM6gZaC3T5GKL8NWxu4/view?usp=sharing" TargetMode="External"/><Relationship Id="rId25" Type="http://schemas.openxmlformats.org/officeDocument/2006/relationships/hyperlink" Target="https://drive.google.com/file/d/1hCoEceiSBzDPu5HWPjRJamQvFM9dhj6W/view?usp=sharing" TargetMode="External"/><Relationship Id="rId28" Type="http://schemas.openxmlformats.org/officeDocument/2006/relationships/hyperlink" Target="https://drive.google.com/file/d/1BRzQeprmL_xbkCfiy4bWQsPJro6n6fQg/view?usp=drivesdk" TargetMode="External"/><Relationship Id="rId27" Type="http://schemas.openxmlformats.org/officeDocument/2006/relationships/hyperlink" Target="https://drive.google.com/file/d/1FJ8g3v3IysXpR3oNcaMDh6Ld15Oow8TV/view?usp=drivesdk" TargetMode="External"/><Relationship Id="rId29" Type="http://schemas.openxmlformats.org/officeDocument/2006/relationships/hyperlink" Target="https://drive.google.com/file/d/16d_6WIyvZ_oxteiK4u7ylrvsigL7KSwb/view?usp=drive_link" TargetMode="External"/><Relationship Id="rId95" Type="http://schemas.openxmlformats.org/officeDocument/2006/relationships/hyperlink" Target="https://drive.google.com/file/d/1Tij6rslpAjVLicDDggixGtswMWNJgImS/view?usp=sharing" TargetMode="External"/><Relationship Id="rId94" Type="http://schemas.openxmlformats.org/officeDocument/2006/relationships/hyperlink" Target="https://drive.google.com/file/d/1rqigoWIAzfdzpGvg-NENFkNsg6dIAs9d/view?usp=sharing" TargetMode="External"/><Relationship Id="rId97" Type="http://schemas.openxmlformats.org/officeDocument/2006/relationships/hyperlink" Target="https://drive.google.com/file/d/1a1k1lQRkAqXhXsP4XnEUIor8rs3zEcPS/view?usp=sharing" TargetMode="External"/><Relationship Id="rId96" Type="http://schemas.openxmlformats.org/officeDocument/2006/relationships/hyperlink" Target="https://drive.google.com/file/d/1mAuz7PgPUfAoOV97zUbWvP6m-v1z3IVx/view?usp=sharing" TargetMode="External"/><Relationship Id="rId11" Type="http://schemas.openxmlformats.org/officeDocument/2006/relationships/hyperlink" Target="https://drive.google.com/file/d/1dnkJ-vM-XWS0jQYbzdgkCt5cmVFlGiI3/view?usp=drivesdk" TargetMode="External"/><Relationship Id="rId99" Type="http://schemas.openxmlformats.org/officeDocument/2006/relationships/hyperlink" Target="https://drive.google.com/file/d/1zopi9XjsWXBJRc70wTgEPcMJ6dwLw6F9/view?usp=sharing" TargetMode="External"/><Relationship Id="rId10" Type="http://schemas.openxmlformats.org/officeDocument/2006/relationships/hyperlink" Target="https://drive.google.com/file/d/1kxHHAYjV-0l-9BYvueiHc1NBdYGYWdxE/view?usp=sharing" TargetMode="External"/><Relationship Id="rId98" Type="http://schemas.openxmlformats.org/officeDocument/2006/relationships/hyperlink" Target="https://drive.google.com/file/d/1GD9I9nOajHaoxMcQrN_BZrR2D9qB8GYv/view?usp=sharing" TargetMode="External"/><Relationship Id="rId13" Type="http://schemas.openxmlformats.org/officeDocument/2006/relationships/hyperlink" Target="https://drive.google.com/file/d/12FnWB0j_Ezsh66xPIf2lDDBsnIy2UIbD/view?usp=sharing" TargetMode="External"/><Relationship Id="rId12" Type="http://schemas.openxmlformats.org/officeDocument/2006/relationships/hyperlink" Target="https://drive.google.com/file/d/1j7b48SLkwWMnmm6Lo2z1_Ny8u0_B8t-9/view?usp=drivesdk" TargetMode="External"/><Relationship Id="rId91" Type="http://schemas.openxmlformats.org/officeDocument/2006/relationships/hyperlink" Target="https://drive.google.com/file/d/1xRR_xqUbQ2SbqtsmJKPksufdIQMRFP6p/view?usp=sharing" TargetMode="External"/><Relationship Id="rId90" Type="http://schemas.openxmlformats.org/officeDocument/2006/relationships/hyperlink" Target="https://drive.google.com/file/d/1XTtZ72YsF8MZFshrXHPsgr36fGsGuVlC/view?usp=sharing" TargetMode="External"/><Relationship Id="rId93" Type="http://schemas.openxmlformats.org/officeDocument/2006/relationships/hyperlink" Target="https://drive.google.com/file/d/1psor718YKY_FTemErGOEOk4fmUGzhX1f/view?usp=sharing" TargetMode="External"/><Relationship Id="rId92" Type="http://schemas.openxmlformats.org/officeDocument/2006/relationships/hyperlink" Target="https://drive.google.com/file/d/1rw7xj5WLGl8GqftwZNKPzbzSnToZ2laD/view?usp=drive_link" TargetMode="External"/><Relationship Id="rId15" Type="http://schemas.openxmlformats.org/officeDocument/2006/relationships/hyperlink" Target="https://drive.google.com/file/d/1YKeu4fMigVOgPUkD8ABpTDiDHRCrC22r/view?usp=drivesdk" TargetMode="External"/><Relationship Id="rId14" Type="http://schemas.openxmlformats.org/officeDocument/2006/relationships/hyperlink" Target="https://drive.google.com/file/d/1PE8Ju7_dNpRVATTaeR9sjkKFt8ASdldy/view?usp=sharing" TargetMode="External"/><Relationship Id="rId17" Type="http://schemas.openxmlformats.org/officeDocument/2006/relationships/hyperlink" Target="https://drive.google.com/file/d/1bNjKxB2lJR57hnNxit6GrieFf6n2Hfod/view?usp=sharing" TargetMode="External"/><Relationship Id="rId16" Type="http://schemas.openxmlformats.org/officeDocument/2006/relationships/hyperlink" Target="https://drive.google.com/file/d/1gP4-zU_j3moB2WMJpavurLQSgKaqW8CW/view?usp=drivesdk" TargetMode="External"/><Relationship Id="rId19" Type="http://schemas.openxmlformats.org/officeDocument/2006/relationships/hyperlink" Target="https://drive.google.com/file/d/1gjHj2KHfSH9PHa6LZBzLc6AHpa32Askh/view?usp=sharing" TargetMode="External"/><Relationship Id="rId18" Type="http://schemas.openxmlformats.org/officeDocument/2006/relationships/hyperlink" Target="https://drive.google.com/file/d/14BxzLGnxzbMj5nedQ9qOqY0xioaBmu_y/view?usp=sharing" TargetMode="External"/><Relationship Id="rId84" Type="http://schemas.openxmlformats.org/officeDocument/2006/relationships/hyperlink" Target="https://drive.google.com/file/d/1sIcg5_NPOIlpfFkcUMhBH5oR9Dd_0nCU/view?usp=drivesdk" TargetMode="External"/><Relationship Id="rId83" Type="http://schemas.openxmlformats.org/officeDocument/2006/relationships/hyperlink" Target="https://drive.google.com/file/d/1qoju7aS9GsB7oipcpx73KWLfJozgQE28/view?usp=drivesdk" TargetMode="External"/><Relationship Id="rId86" Type="http://schemas.openxmlformats.org/officeDocument/2006/relationships/hyperlink" Target="https://drive.google.com/file/d/13Ejj0sIciJ4V2FH9RjIkyq6nsitrgmJ0/view?usp=sharing" TargetMode="External"/><Relationship Id="rId85" Type="http://schemas.openxmlformats.org/officeDocument/2006/relationships/hyperlink" Target="https://drive.google.com/file/d/1BRFlndqHUXMD5ECEdQj-Vaz-wOBh04Gc/view?usp=sharing" TargetMode="External"/><Relationship Id="rId88" Type="http://schemas.openxmlformats.org/officeDocument/2006/relationships/hyperlink" Target="https://drive.google.com/file/d/1r-SADzmGOP2h2iO4neVkBlkEbUK3lk0B/view?usp=sharing" TargetMode="External"/><Relationship Id="rId87" Type="http://schemas.openxmlformats.org/officeDocument/2006/relationships/hyperlink" Target="https://drive.google.com/drive/folders/1a0jYoxINKTim4WrX6f6C9SisM7xmz-Vw?usp=sharing" TargetMode="External"/><Relationship Id="rId89" Type="http://schemas.openxmlformats.org/officeDocument/2006/relationships/hyperlink" Target="https://drive.google.com/file/d/1MMeXnkcMRC8gjZbNnAy6lDqrnZ3kwQEw/view?usp=sharing" TargetMode="External"/><Relationship Id="rId80" Type="http://schemas.openxmlformats.org/officeDocument/2006/relationships/hyperlink" Target="https://drive.google.com/file/d/1XasjA669qQjsXL_I915LaOrYpQ0Ln4ui/view?usp=drivesdk" TargetMode="External"/><Relationship Id="rId82" Type="http://schemas.openxmlformats.org/officeDocument/2006/relationships/hyperlink" Target="https://drive.google.com/file/d/1lO4qX-vqy6x-MtKC4syRSGzrao64BLPY/view?usp=sharing" TargetMode="External"/><Relationship Id="rId81" Type="http://schemas.openxmlformats.org/officeDocument/2006/relationships/hyperlink" Target="https://docs.google.com/document/d/1D5OlM8JbeVHn2rFX956AhdaeyrkK5eNFk1IrtNA09no/edit?usp=sharing" TargetMode="External"/><Relationship Id="rId1" Type="http://schemas.openxmlformats.org/officeDocument/2006/relationships/comments" Target="../comments1.xml"/><Relationship Id="rId2" Type="http://schemas.openxmlformats.org/officeDocument/2006/relationships/hyperlink" Target="https://drive.google.com/drive/folders/1plpMz8e5gglH438PJktEqfaQJnctTDw1?usp=sharing" TargetMode="External"/><Relationship Id="rId3" Type="http://schemas.openxmlformats.org/officeDocument/2006/relationships/hyperlink" Target="https://drive.google.com/file/d/1P6xYEABg8k22XoPIwllrRK3i_TLL1zp9/view?usp=sharing" TargetMode="External"/><Relationship Id="rId4" Type="http://schemas.openxmlformats.org/officeDocument/2006/relationships/hyperlink" Target="https://drive.google.com/file/d/19ttHHHHE-JCq1lQV9NVX1zERzjKihUfF/view?usp=drive_link" TargetMode="External"/><Relationship Id="rId9" Type="http://schemas.openxmlformats.org/officeDocument/2006/relationships/hyperlink" Target="https://drive.google.com/file/d/1NAazOZbu1df-SDPtu4dui42cOlqB33IJ/view?usp=drive_link" TargetMode="External"/><Relationship Id="rId5" Type="http://schemas.openxmlformats.org/officeDocument/2006/relationships/hyperlink" Target="https://drive.google.com/file/d/104nryzwyTS7FFFtk2SRj3W6-gmzFSbvZ/view?usp=drivesdk" TargetMode="External"/><Relationship Id="rId6" Type="http://schemas.openxmlformats.org/officeDocument/2006/relationships/hyperlink" Target="https://drive.google.com/file/d/10Xx36gjUQpW9BReDRIhUKnQZXjNmSbH8/view?usp=drivesdk" TargetMode="External"/><Relationship Id="rId7" Type="http://schemas.openxmlformats.org/officeDocument/2006/relationships/hyperlink" Target="https://drive.google.com/file/d/1YWHD3jAHOFa5Kaq-FloX-AIujtLq4u0f/view?usp=sharing" TargetMode="External"/><Relationship Id="rId8" Type="http://schemas.openxmlformats.org/officeDocument/2006/relationships/hyperlink" Target="https://drive.google.com/file/d/1f4FyNWMyVH4cBz_oZeu4rVoJz5XQzrNd/view?usp=sharing" TargetMode="External"/><Relationship Id="rId73" Type="http://schemas.openxmlformats.org/officeDocument/2006/relationships/hyperlink" Target="https://drive.google.com/file/d/1L68Kes5MHHVp4uzDfXlNWSRdSDpZfD-4/view?usp=drivesdk" TargetMode="External"/><Relationship Id="rId72" Type="http://schemas.openxmlformats.org/officeDocument/2006/relationships/hyperlink" Target="https://drive.google.com/file/d/1FQdlztLwEPAvE6VlPvfaIZrD0iEUqtg5/view?usp=sharing" TargetMode="External"/><Relationship Id="rId75" Type="http://schemas.openxmlformats.org/officeDocument/2006/relationships/hyperlink" Target="https://drive.google.com/file/d/1q-fuKCYdKP47EYv4CwIwZQKJCM1ZJJ-A/view?usp=sharing" TargetMode="External"/><Relationship Id="rId74" Type="http://schemas.openxmlformats.org/officeDocument/2006/relationships/hyperlink" Target="https://drive.google.com/file/d/11ZcDbRJIlvc4KCmZePHAhYKSyIWR5kTS/view?usp=drivesdk" TargetMode="External"/><Relationship Id="rId77" Type="http://schemas.openxmlformats.org/officeDocument/2006/relationships/hyperlink" Target="https://drive.google.com/file/d/14DlK4ajl14lN9ZQNLoJhsR21QoyOwsT-/view?usp=sharing" TargetMode="External"/><Relationship Id="rId76" Type="http://schemas.openxmlformats.org/officeDocument/2006/relationships/hyperlink" Target="https://drive.google.com/file/d/1J3BHa8zz8jC5BSubH2FQ1gzNhknREZsT/view?usp=sharing" TargetMode="External"/><Relationship Id="rId79" Type="http://schemas.openxmlformats.org/officeDocument/2006/relationships/hyperlink" Target="https://drive.google.com/file/d/11irWen5Fj5M5cZt2FH6YrLokg2McoGGT/view?usp=drive_link" TargetMode="External"/><Relationship Id="rId78" Type="http://schemas.openxmlformats.org/officeDocument/2006/relationships/hyperlink" Target="https://drive.google.com/file/d/1hX2DT-LPlHjFzvvBhCNPD1o7_1Q4rHn5/view?usp=sharing" TargetMode="External"/><Relationship Id="rId71" Type="http://schemas.openxmlformats.org/officeDocument/2006/relationships/hyperlink" Target="https://drive.google.com/file/d/1xZr5oa2vTk-UJjA9yGj8le5m4cYwCzWg/view?usp=sharing" TargetMode="External"/><Relationship Id="rId70" Type="http://schemas.openxmlformats.org/officeDocument/2006/relationships/hyperlink" Target="https://drive.google.com/file/d/1d1QqJioNJJRRWyp-g6mxkmJrq-wxsraV/view?usp=drivesdk" TargetMode="External"/><Relationship Id="rId62" Type="http://schemas.openxmlformats.org/officeDocument/2006/relationships/hyperlink" Target="https://drive.google.com/file/d/1T1YzqXUiw2G_k2nVdtN3Wuzmhib66-oe/view?usp=drivesdk" TargetMode="External"/><Relationship Id="rId61" Type="http://schemas.openxmlformats.org/officeDocument/2006/relationships/hyperlink" Target="https://drive.google.com/file/d/15nSUCe9-4oKLb0yErT-dhCP0Z_yw6eea/view?usp=drivesdk" TargetMode="External"/><Relationship Id="rId64" Type="http://schemas.openxmlformats.org/officeDocument/2006/relationships/hyperlink" Target="https://drive.google.com/file/d/1O06XLBiYr9fZ3QiEzFplRBOBYvKZyuaS/view?usp=drive_link" TargetMode="External"/><Relationship Id="rId63" Type="http://schemas.openxmlformats.org/officeDocument/2006/relationships/hyperlink" Target="https://drive.google.com/file/d/1eyfd-nKG1JBhJAJ-viY-_jpEtss_brjJ/view?usp=drive_link" TargetMode="External"/><Relationship Id="rId66" Type="http://schemas.openxmlformats.org/officeDocument/2006/relationships/hyperlink" Target="https://drive.google.com/file/d/1q8Qak1ATuHxIOt0XCo1RkZ3Toe2mzhUe/view?usp=drivesdk" TargetMode="External"/><Relationship Id="rId65" Type="http://schemas.openxmlformats.org/officeDocument/2006/relationships/hyperlink" Target="https://drive.google.com/file/d/1q9sr5vpfPJMEbxg4uZ4au1Pmt8hYluRA/view?usp=drivesdk" TargetMode="External"/><Relationship Id="rId68" Type="http://schemas.openxmlformats.org/officeDocument/2006/relationships/hyperlink" Target="https://drive.google.com/file/d/1ie3HlSQtIKLp3bkyz5JUht4NEIbHvFBN/view?usp=sharing" TargetMode="External"/><Relationship Id="rId67" Type="http://schemas.openxmlformats.org/officeDocument/2006/relationships/hyperlink" Target="https://drive.google.com/file/d/1FlYkjhEchru5bQPMVpqCCksMrOwN8bdH/view?usp=sharing" TargetMode="External"/><Relationship Id="rId60" Type="http://schemas.openxmlformats.org/officeDocument/2006/relationships/hyperlink" Target="https://drive.google.com/file/d/1rZrT4ctEFVmpJQaqxIHtNjy9ef4z0bOF/view?usp=sharing" TargetMode="External"/><Relationship Id="rId69" Type="http://schemas.openxmlformats.org/officeDocument/2006/relationships/hyperlink" Target="https://drive.google.com/drive/folders/15zpwSWGoKbaSisg10MF7jsTZXp40nrmH" TargetMode="External"/><Relationship Id="rId51" Type="http://schemas.openxmlformats.org/officeDocument/2006/relationships/hyperlink" Target="https://drive.google.com/file/d/15H-XMiv68KBywfGHlNgySOPx_5k9ouDj/view?usp=sharing" TargetMode="External"/><Relationship Id="rId50" Type="http://schemas.openxmlformats.org/officeDocument/2006/relationships/hyperlink" Target="https://drive.google.com/file/d/1ecHarDtIurfssl8JRof5RTCGfCoJeG2T/view?usp=drivesdk" TargetMode="External"/><Relationship Id="rId53" Type="http://schemas.openxmlformats.org/officeDocument/2006/relationships/hyperlink" Target="https://drive.google.com/file/d/1K8K5805B3YITKbFk4iYdnIE8fV_w7WtG/view?usp=sharing" TargetMode="External"/><Relationship Id="rId52" Type="http://schemas.openxmlformats.org/officeDocument/2006/relationships/hyperlink" Target="https://drive.google.com/file/d/1vFis3tWzd4yZ3CsMduQl3O2tHfY5UIl9/view?usp=sharing" TargetMode="External"/><Relationship Id="rId55" Type="http://schemas.openxmlformats.org/officeDocument/2006/relationships/hyperlink" Target="https://drive.google.com/file/d/1mLPXxrGK-iO9228n_s7pRaW9CVyA0fcf/view?usp=sharing" TargetMode="External"/><Relationship Id="rId54" Type="http://schemas.openxmlformats.org/officeDocument/2006/relationships/hyperlink" Target="https://drive.google.com/file/d/1MKS-98fG94yM2TNPFXIU8LcAwO7pYBNw/view?usp=sharing" TargetMode="External"/><Relationship Id="rId57" Type="http://schemas.openxmlformats.org/officeDocument/2006/relationships/hyperlink" Target="https://drive.google.com/file/d/14Q3xZ1Oua43WkHEGl7dNz9JrbSgM6zs7/view?usp=drivesdk" TargetMode="External"/><Relationship Id="rId56" Type="http://schemas.openxmlformats.org/officeDocument/2006/relationships/hyperlink" Target="https://drive.google.com/file/d/138-VEks1l9-jvmVItVBVw8c85BhMsRDm/view?usp=sharing" TargetMode="External"/><Relationship Id="rId59" Type="http://schemas.openxmlformats.org/officeDocument/2006/relationships/hyperlink" Target="https://drive.google.com/file/d/13mqGaH_fKw1OuqL0Oo71MIOOHIg3dObr/view?usp=sharing" TargetMode="External"/><Relationship Id="rId58" Type="http://schemas.openxmlformats.org/officeDocument/2006/relationships/hyperlink" Target="https://drive.google.com/file/d/1K7-aBwGqZ9iZrR7BwmN7fyZ-XdTLt5SO/view?usp=drivesdk"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xRqZgrClW1OZ5FE8Ypk05hUX4E5NMmMF/view?usp=sharing" TargetMode="External"/><Relationship Id="rId42" Type="http://schemas.openxmlformats.org/officeDocument/2006/relationships/hyperlink" Target="https://drive.google.com/file/d/1JAZ9xQoIKz8mrAGKVlhlRivzibY_Zq1Z/view?usp=sharing" TargetMode="External"/><Relationship Id="rId41" Type="http://schemas.openxmlformats.org/officeDocument/2006/relationships/hyperlink" Target="https://drive.google.com/file/d/1UOx5EBwfNbBxGbiWA7kf-QBIh8IqpMtL/view?usp=sharing" TargetMode="External"/><Relationship Id="rId44" Type="http://schemas.openxmlformats.org/officeDocument/2006/relationships/hyperlink" Target="https://drive.google.com/file/d/1QMDxtQbYdYlG5lzo-4ZLU1F2clyuhcT1/view?usp=sharing" TargetMode="External"/><Relationship Id="rId43" Type="http://schemas.openxmlformats.org/officeDocument/2006/relationships/hyperlink" Target="https://drive.google.com/file/d/1a9_P4_4C13BWcYyW5bG-IEMsFgXNt3zj/view?usp=sharing" TargetMode="External"/><Relationship Id="rId46" Type="http://schemas.openxmlformats.org/officeDocument/2006/relationships/hyperlink" Target="https://drive.google.com/file/d/1y9CPtFvjTftiA6BfqmpZ3w_BjaalB8cQ/view?usp=drivesdk" TargetMode="External"/><Relationship Id="rId45" Type="http://schemas.openxmlformats.org/officeDocument/2006/relationships/hyperlink" Target="https://drive.google.com/file/d/1BRFlndqHUXMD5ECEdQj-Vaz-wOBh04Gc/view?usp=drivesdk" TargetMode="External"/><Relationship Id="rId48" Type="http://schemas.openxmlformats.org/officeDocument/2006/relationships/hyperlink" Target="https://drive.google.com/file/d/1gwIw3m8TYhK6uAkioCKFTjIv7cFObI1D/view?usp=sharing" TargetMode="External"/><Relationship Id="rId47" Type="http://schemas.openxmlformats.org/officeDocument/2006/relationships/hyperlink" Target="https://docs.google.com/document/d/1zzkUISYcYB0pUsPj9rbD4Le6m0kh__Aji58kZOu7cjs/edit?usp=sharing" TargetMode="External"/><Relationship Id="rId49" Type="http://schemas.openxmlformats.org/officeDocument/2006/relationships/hyperlink" Target="https://drive.google.com/file/d/1jRsb5lSEGao48OXi8qeJfleKnSI18ZWP/view?usp=sharing" TargetMode="External"/><Relationship Id="rId31" Type="http://schemas.openxmlformats.org/officeDocument/2006/relationships/hyperlink" Target="https://drive.google.com/file/d/1kUrgnXrHUcEAXnY2dnrruZufLVXCxmRZ/view?usp=sharing" TargetMode="External"/><Relationship Id="rId30" Type="http://schemas.openxmlformats.org/officeDocument/2006/relationships/hyperlink" Target="https://drive.google.com/file/d/1omR9TB8LXjUCebNoOM7LI2HMDKebTpkY/view?usp=sharing" TargetMode="External"/><Relationship Id="rId33" Type="http://schemas.openxmlformats.org/officeDocument/2006/relationships/hyperlink" Target="https://drive.google.com/file/d/1TLkQuvM3F_8C3taoEVPk2iD255XPEtBf/view?usp=drivesdk" TargetMode="External"/><Relationship Id="rId32" Type="http://schemas.openxmlformats.org/officeDocument/2006/relationships/hyperlink" Target="https://drive.google.com/file/d/1kUrgnXrHUcEAXnY2dnrruZufLVXCxmRZ/view?usp=sharing" TargetMode="External"/><Relationship Id="rId35" Type="http://schemas.openxmlformats.org/officeDocument/2006/relationships/hyperlink" Target="https://drive.google.com/file/d/1xE09sPkfU-VCAFgMOX_aT-2Z9l_sQH7X/view?usp=sharing" TargetMode="External"/><Relationship Id="rId34" Type="http://schemas.openxmlformats.org/officeDocument/2006/relationships/hyperlink" Target="https://drive.google.com/file/d/1gmbB0rn4vzxoLo-be7ugHWdmgT8g-8-X/view?usp=drivesdk" TargetMode="External"/><Relationship Id="rId37" Type="http://schemas.openxmlformats.org/officeDocument/2006/relationships/hyperlink" Target="https://drive.google.com/file/d/1fA8bUHbdweCICgwIiXeJAIDq-Wypw5w6/view?usp=drivesdk" TargetMode="External"/><Relationship Id="rId36" Type="http://schemas.openxmlformats.org/officeDocument/2006/relationships/hyperlink" Target="https://drive.google.com/file/d/1OzLcJZA2Bfq9IEYAkQCOYcpKEcV992cj/view?usp=sharing" TargetMode="External"/><Relationship Id="rId39" Type="http://schemas.openxmlformats.org/officeDocument/2006/relationships/hyperlink" Target="https://drive.google.com/file/d/1SHQGfKyJ8FH9iKz_6IpXfVzOwHUl5yql/view?usp=sharing" TargetMode="External"/><Relationship Id="rId38" Type="http://schemas.openxmlformats.org/officeDocument/2006/relationships/hyperlink" Target="https://drive.google.com/file/d/1qas9XfSxuMx-2vt6KN4Mt0AbOD79qgsb/view?usp=drivesdk" TargetMode="External"/><Relationship Id="rId20" Type="http://schemas.openxmlformats.org/officeDocument/2006/relationships/hyperlink" Target="https://drive.google.com/file/d/1jknOGlysI5rhLjr3o2SzcPdTY7r77jgr/view?usp=sharing" TargetMode="External"/><Relationship Id="rId22" Type="http://schemas.openxmlformats.org/officeDocument/2006/relationships/hyperlink" Target="https://drive.google.com/file/d/1j7b48SLkwWMnmm6Lo2z1_Ny8u0_B8t-9/view?usp=sharing" TargetMode="External"/><Relationship Id="rId21" Type="http://schemas.openxmlformats.org/officeDocument/2006/relationships/hyperlink" Target="https://drive.google.com/file/d/1dnkJ-vM-XWS0jQYbzdgkCt5cmVFlGiI3/view?usp=sharing" TargetMode="External"/><Relationship Id="rId24" Type="http://schemas.openxmlformats.org/officeDocument/2006/relationships/hyperlink" Target="https://drive.google.com/file/d/1sbxHBnTKxcolXX5ZDSTZZ6WFVmqWzAl6/view?usp=sharing" TargetMode="External"/><Relationship Id="rId23" Type="http://schemas.openxmlformats.org/officeDocument/2006/relationships/hyperlink" Target="https://drive.google.com/file/d/1ULY_BYlZ1UgPwctDHSz8bWCoPzq_RrPX/view?usp=sharing" TargetMode="External"/><Relationship Id="rId26" Type="http://schemas.openxmlformats.org/officeDocument/2006/relationships/hyperlink" Target="https://drive.google.com/file/d/1K7-aBwGqZ9iZrR7BwmN7fyZ-XdTLt5SO/view?usp=drivesdk" TargetMode="External"/><Relationship Id="rId25" Type="http://schemas.openxmlformats.org/officeDocument/2006/relationships/hyperlink" Target="https://drive.google.com/file/d/1EV-u2QhvSsOQp4rbw7fVclO8iE4BFyhP/view?usp=drivesdk" TargetMode="External"/><Relationship Id="rId28" Type="http://schemas.openxmlformats.org/officeDocument/2006/relationships/hyperlink" Target="https://drive.google.com/file/d/1EPzEVFfYBm92ytjZa-YjuZEaYyF6C5P0/view?usp=sharing" TargetMode="External"/><Relationship Id="rId27" Type="http://schemas.openxmlformats.org/officeDocument/2006/relationships/hyperlink" Target="https://drive.google.com/file/d/1rtr9UV3cvTl_YoRUAb1hTRQa-ieuY0Jv/view?usp=sharing" TargetMode="External"/><Relationship Id="rId29" Type="http://schemas.openxmlformats.org/officeDocument/2006/relationships/hyperlink" Target="https://drive.google.com/file/d/1CQqf9-tLTVvGs8VdT9Ne0uoDvpxQO96o/view?usp=sharing" TargetMode="External"/><Relationship Id="rId11" Type="http://schemas.openxmlformats.org/officeDocument/2006/relationships/hyperlink" Target="https://drive.google.com/file/d/11sDo5chObH8qerDgg5-NtoVKTNGRnPtY/view?usp=sharing" TargetMode="External"/><Relationship Id="rId10" Type="http://schemas.openxmlformats.org/officeDocument/2006/relationships/hyperlink" Target="https://drive.google.com/file/d/1aCN3RnxdiyZ6iTOKy05d8oSXAy6Vbn7J/view?usp=sharing" TargetMode="External"/><Relationship Id="rId13" Type="http://schemas.openxmlformats.org/officeDocument/2006/relationships/hyperlink" Target="https://drive.google.com/drive/folders/1xZNIiTGuyv1Hszfso4rbI60U3Gfne1TF?usp=sharing" TargetMode="External"/><Relationship Id="rId12" Type="http://schemas.openxmlformats.org/officeDocument/2006/relationships/hyperlink" Target="https://drive.google.com/file/d/1k8faK3bMy1ZWvJjkUKFf1nU5qRIAMQsj/view?usp=sharing" TargetMode="External"/><Relationship Id="rId15" Type="http://schemas.openxmlformats.org/officeDocument/2006/relationships/hyperlink" Target="https://drive.google.com/file/d/1UpPdqNxKPc_sr1wGrrA54V7ggYuBblY8/view?usp=drive_link" TargetMode="External"/><Relationship Id="rId14" Type="http://schemas.openxmlformats.org/officeDocument/2006/relationships/hyperlink" Target="https://drive.google.com/drive/folders/1HwInnQ0S1PiIApES6OAFeyHT46fw62fe?usp=sharing" TargetMode="External"/><Relationship Id="rId17" Type="http://schemas.openxmlformats.org/officeDocument/2006/relationships/hyperlink" Target="https://drive.google.com/file/d/1njgX8yM21P04_RCJ-rPHIO1284Ue7BJo/view?usp=drive_link" TargetMode="External"/><Relationship Id="rId16" Type="http://schemas.openxmlformats.org/officeDocument/2006/relationships/hyperlink" Target="https://drive.google.com/file/d/14bQmbEdmUXmm8Av1ERL5ZGJE_Yj1qS1T/view?usp=drive_link" TargetMode="External"/><Relationship Id="rId19" Type="http://schemas.openxmlformats.org/officeDocument/2006/relationships/hyperlink" Target="https://drive.google.com/file/d/1XkL6bm4HJuJzc425LqNZMtYKdT5VOlV0/view?usp=sharing" TargetMode="External"/><Relationship Id="rId18" Type="http://schemas.openxmlformats.org/officeDocument/2006/relationships/hyperlink" Target="https://drive.google.com/file/d/1oFKkuTGEfncGcIY6bZH-OKDEu3nFyHUy/view?usp=drive_link" TargetMode="External"/><Relationship Id="rId1" Type="http://schemas.openxmlformats.org/officeDocument/2006/relationships/hyperlink" Target="https://drive.google.com/file/d/1_XKfMwRib59rb-TqGttiOE1gHSNEdEVt/view?usp=sharing" TargetMode="External"/><Relationship Id="rId2" Type="http://schemas.openxmlformats.org/officeDocument/2006/relationships/hyperlink" Target="https://drive.google.com/file/d/1zvMBwHTHK-Bu_bsdGSOYCZ6h6BGas1U1/view?usp=sharing" TargetMode="External"/><Relationship Id="rId3" Type="http://schemas.openxmlformats.org/officeDocument/2006/relationships/hyperlink" Target="https://drive.google.com/file/d/1LD_qcJGhcV_7lHjfyh2o0u-X7uwI08jZ/view?usp=drivesdk" TargetMode="External"/><Relationship Id="rId4" Type="http://schemas.openxmlformats.org/officeDocument/2006/relationships/hyperlink" Target="https://drive.google.com/file/d/1Mt2IX9ojnCtNiGz30yBc6NqBGaSGAwI5/view?usp=drivesdk" TargetMode="External"/><Relationship Id="rId9" Type="http://schemas.openxmlformats.org/officeDocument/2006/relationships/hyperlink" Target="https://drive.google.com/file/d/1zA06ykxUNA1JtZ1u3nE5qljbkrn88AH3/view?usp=sharing" TargetMode="External"/><Relationship Id="rId5" Type="http://schemas.openxmlformats.org/officeDocument/2006/relationships/hyperlink" Target="https://drive.google.com/file/d/1rZI7-SiZAOB7NUnsO9n68cEl-txaqh7W/view?usp=drivesdk" TargetMode="External"/><Relationship Id="rId6" Type="http://schemas.openxmlformats.org/officeDocument/2006/relationships/hyperlink" Target="https://drive.google.com/file/d/15mwRkXLr_nCW1QTHNTsoVpOHfm87Bm_E/view?usp=drivesdk" TargetMode="External"/><Relationship Id="rId7" Type="http://schemas.openxmlformats.org/officeDocument/2006/relationships/hyperlink" Target="https://drive.google.com/file/d/1SEX7TP0yIDthFcTAbfEem16TvQWCOXvB/view?usp=drive_link" TargetMode="External"/><Relationship Id="rId8" Type="http://schemas.openxmlformats.org/officeDocument/2006/relationships/hyperlink" Target="https://drive.google.com/file/d/19ttHHHHE-JCq1lQV9NVX1zERzjKihUfF/view?usp=sharing" TargetMode="External"/><Relationship Id="rId62" Type="http://schemas.openxmlformats.org/officeDocument/2006/relationships/hyperlink" Target="https://drive.google.com/drive/home" TargetMode="External"/><Relationship Id="rId61" Type="http://schemas.openxmlformats.org/officeDocument/2006/relationships/hyperlink" Target="https://drive.google.com/file/d/1YWHD3jAHOFa5Kaq-FloX-AIujtLq4u0f/view?usp=sharing" TargetMode="External"/><Relationship Id="rId64" Type="http://schemas.openxmlformats.org/officeDocument/2006/relationships/hyperlink" Target="https://drive.google.com/file/d/1J31ZeiohoQ68T0GdXi2rWk5pdjiIt-HP/view?usp=sharing" TargetMode="External"/><Relationship Id="rId63" Type="http://schemas.openxmlformats.org/officeDocument/2006/relationships/hyperlink" Target="https://drive.google.com/file/d/1nbHBTCuyFVYtJ9DO5U22AeI-cWkBXTe3/view?usp=drive_link" TargetMode="External"/><Relationship Id="rId65" Type="http://schemas.openxmlformats.org/officeDocument/2006/relationships/drawing" Target="../drawings/drawing4.xml"/><Relationship Id="rId67" Type="http://schemas.openxmlformats.org/officeDocument/2006/relationships/table" Target="../tables/table4.xml"/><Relationship Id="rId60" Type="http://schemas.openxmlformats.org/officeDocument/2006/relationships/hyperlink" Target="https://drive.google.com/file/d/1dUY1_cTrZU4mV49hSPcQwKx0Tke2yvN5/view?usp=drive_link" TargetMode="External"/><Relationship Id="rId51" Type="http://schemas.openxmlformats.org/officeDocument/2006/relationships/hyperlink" Target="https://drive.google.com/drive/folders/1IkTyfqBjuWGMKnxA0Ib-5-cA8tlohFgb?dmr=1&amp;ec=wgc-drive-%5Bmodule%5D-goto" TargetMode="External"/><Relationship Id="rId50" Type="http://schemas.openxmlformats.org/officeDocument/2006/relationships/hyperlink" Target="https://drive.google.com/file/d/1V2ywLMkIvJ7fkdBNgruQmBlnzGxIdJjT/view?usp=sharing" TargetMode="External"/><Relationship Id="rId53" Type="http://schemas.openxmlformats.org/officeDocument/2006/relationships/hyperlink" Target="https://drive.google.com/file/d/1r2FlywJo2bge72zHu6R5kD0199iY777H/view?usp=sharing" TargetMode="External"/><Relationship Id="rId52" Type="http://schemas.openxmlformats.org/officeDocument/2006/relationships/hyperlink" Target="https://drive.google.com/file/d/1_yUc3ihtrL02hF8Voe2Lb2AMdtkVuQMA/view?usp=drive_link" TargetMode="External"/><Relationship Id="rId55" Type="http://schemas.openxmlformats.org/officeDocument/2006/relationships/hyperlink" Target="https://drive.google.com/file/d/1GX3HJbOFImb5QFxkdt7Be8IU2uKZMAUq/view?usp=drivesdk" TargetMode="External"/><Relationship Id="rId54" Type="http://schemas.openxmlformats.org/officeDocument/2006/relationships/hyperlink" Target="https://drive.google.com/file/d/1D1vKqw-uU4rLGfYUVR7tnFNishemqCUn/view?usp=sharing" TargetMode="External"/><Relationship Id="rId57" Type="http://schemas.openxmlformats.org/officeDocument/2006/relationships/hyperlink" Target="https://drive.google.com/file/d/12FnWB0j_Ezsh66xPIf2lDDBsnIy2UIbD/view?usp=sharing" TargetMode="External"/><Relationship Id="rId56" Type="http://schemas.openxmlformats.org/officeDocument/2006/relationships/hyperlink" Target="https://drive.google.com/file/d/1nzX5rqaapgfqE69VO8J3pi7PxvOxrChr/view?usp=drivesdk" TargetMode="External"/><Relationship Id="rId59" Type="http://schemas.openxmlformats.org/officeDocument/2006/relationships/hyperlink" Target="https://drive.google.com/file/d/1wkSQwWNfrRR5i0T6_K6dJSoDzhA3RTBA/view?usp=sharing" TargetMode="External"/><Relationship Id="rId58" Type="http://schemas.openxmlformats.org/officeDocument/2006/relationships/hyperlink" Target="https://drive.google.com/file/d/1PE8Ju7_dNpRVATTaeR9sjkKFt8ASdldy/view?usp=sharing"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file/d/1TBcEzfYBGWUnlm4EyHZaBqmCsDf8sxHM/view?usp=sharing" TargetMode="External"/><Relationship Id="rId42" Type="http://schemas.openxmlformats.org/officeDocument/2006/relationships/hyperlink" Target="https://drive.google.com/file/d/1abvdrpe4oviGiLL8_HzGS2TB9m-P8QFO/view?usp=sharing" TargetMode="External"/><Relationship Id="rId41" Type="http://schemas.openxmlformats.org/officeDocument/2006/relationships/hyperlink" Target="https://drive.google.com/file/d/1pFEYk-ChoshPWyOt9AqfMsC4gOFXHibW/view?usp=sharing" TargetMode="External"/><Relationship Id="rId44" Type="http://schemas.openxmlformats.org/officeDocument/2006/relationships/hyperlink" Target="https://drive.google.com/file/d/1TtGH5gxasCbRzfmW6iywlCuAKyQarzZl/view" TargetMode="External"/><Relationship Id="rId43" Type="http://schemas.openxmlformats.org/officeDocument/2006/relationships/hyperlink" Target="https://drive.google.com/file/d/1jG6iLvelrosKIBIfHPy8tn-SnFLLlTRb/view?usp=sharing" TargetMode="External"/><Relationship Id="rId46" Type="http://schemas.openxmlformats.org/officeDocument/2006/relationships/hyperlink" Target="https://drive.google.com/file/d/1-aVk61y8QHF2cpQL-5dFxAFw7DR48WhC/view?usp=sharing" TargetMode="External"/><Relationship Id="rId45" Type="http://schemas.openxmlformats.org/officeDocument/2006/relationships/hyperlink" Target="https://drive.google.com/file/d/1fKlN6yKcK2YJ7fCyZ1iULPsoSf7wzDnw/view?usp=sharing" TargetMode="External"/><Relationship Id="rId107" Type="http://schemas.openxmlformats.org/officeDocument/2006/relationships/hyperlink" Target="https://drive.google.com/file/d/1mBe6YRky67sMXAlvjJJsjNSJH6vj0tGH/view?usp=sharing" TargetMode="External"/><Relationship Id="rId106" Type="http://schemas.openxmlformats.org/officeDocument/2006/relationships/hyperlink" Target="https://drive.google.com/file/d/1GVeMonNOMJ62Mcq0dIBsqYdT1FBGIoyS/view?usp=sharing" TargetMode="External"/><Relationship Id="rId105" Type="http://schemas.openxmlformats.org/officeDocument/2006/relationships/hyperlink" Target="https://drive.google.com/file/d/1kUrgnXrHUcEAXnY2dnrruZufLVXCxmRZ/view?usp=sharing" TargetMode="External"/><Relationship Id="rId104" Type="http://schemas.openxmlformats.org/officeDocument/2006/relationships/hyperlink" Target="https://drive.google.com/file/d/13jqcGIZZ7fNcaYwVZIUD57M6zKPEfvld/view?usp=sharing" TargetMode="External"/><Relationship Id="rId109" Type="http://schemas.openxmlformats.org/officeDocument/2006/relationships/hyperlink" Target="https://drive.google.com/file/d/1hiH1Yybmb73ySIoTfYxRGCcrsfkMfpGi/view?usp=drivesdk" TargetMode="External"/><Relationship Id="rId108" Type="http://schemas.openxmlformats.org/officeDocument/2006/relationships/hyperlink" Target="https://drive.google.com/file/d/1kcVhDIfv6xvjL80xocZd7aGWx_yZoNjo/view?usp=sharing" TargetMode="External"/><Relationship Id="rId48" Type="http://schemas.openxmlformats.org/officeDocument/2006/relationships/hyperlink" Target="https://drive.google.com/file/d/1JAZ9xQoIKz8mrAGKVlhlRivzibY_Zq1Z/view?usp=sharing" TargetMode="External"/><Relationship Id="rId47" Type="http://schemas.openxmlformats.org/officeDocument/2006/relationships/hyperlink" Target="https://drive.google.com/file/d/1-wsCVyPgfCy1OCx4vpdCVGW3uTfKHuPO/view?usp=sharing" TargetMode="External"/><Relationship Id="rId49" Type="http://schemas.openxmlformats.org/officeDocument/2006/relationships/hyperlink" Target="https://drive.google.com/file/d/1GMZnDMqrezL6PvnDBAKVDT6pfZEHGZRa/view?usp=sharing" TargetMode="External"/><Relationship Id="rId103" Type="http://schemas.openxmlformats.org/officeDocument/2006/relationships/hyperlink" Target="https://drive.google.com/file/d/1p5HWknnbV7SUvpXnUcc4qkRyOeE_j1l3/view?usp=sharing" TargetMode="External"/><Relationship Id="rId102" Type="http://schemas.openxmlformats.org/officeDocument/2006/relationships/hyperlink" Target="https://drive.google.com/file/d/1GdLympUhsuhjeDRe60ia_VrVNk7pukfG/view?usp=sharing" TargetMode="External"/><Relationship Id="rId101" Type="http://schemas.openxmlformats.org/officeDocument/2006/relationships/hyperlink" Target="https://drive.google.com/file/d/13FxjqlV--iJdkhvB4e5FyrpNu72hP22r/view?usp=sharing" TargetMode="External"/><Relationship Id="rId100" Type="http://schemas.openxmlformats.org/officeDocument/2006/relationships/hyperlink" Target="https://drive.google.com/file/d/1sIcg5_NPOIlpfFkcUMhBH5oR9Dd_0nCU/view?usp=sharing" TargetMode="External"/><Relationship Id="rId31" Type="http://schemas.openxmlformats.org/officeDocument/2006/relationships/hyperlink" Target="https://drive.google.com/file/d/1Fe5GCN7CWf7JaXJdzOHNAxQMh2JZCjcx/view?usp=sharing" TargetMode="External"/><Relationship Id="rId30" Type="http://schemas.openxmlformats.org/officeDocument/2006/relationships/hyperlink" Target="https://drive.google.com/file/d/1omR9TB8LXjUCebNoOM7LI2HMDKebTpkY/view?usp=sharing" TargetMode="External"/><Relationship Id="rId33" Type="http://schemas.openxmlformats.org/officeDocument/2006/relationships/hyperlink" Target="https://drive.google.com/file/d/1AZDapGfVcCNex0zn6MrXSjWbHnGstavW/view?usp=sharing" TargetMode="External"/><Relationship Id="rId32" Type="http://schemas.openxmlformats.org/officeDocument/2006/relationships/hyperlink" Target="https://drive.google.com/file/d/1wBEQXKtbguYP0k9U84boTdmxWOV7o3rx/view?usp=sharing" TargetMode="External"/><Relationship Id="rId35" Type="http://schemas.openxmlformats.org/officeDocument/2006/relationships/hyperlink" Target="https://drive.google.com/file/d/1q9sr5vpfPJMEbxg4uZ4au1Pmt8hYluRA/view?usp=drivesdk" TargetMode="External"/><Relationship Id="rId34" Type="http://schemas.openxmlformats.org/officeDocument/2006/relationships/hyperlink" Target="https://drive.google.com/file/d/1wiIuK53QB5yeHQITI8lREGsZrsDXw_8D/view?usp=sharing" TargetMode="External"/><Relationship Id="rId37" Type="http://schemas.openxmlformats.org/officeDocument/2006/relationships/hyperlink" Target="https://drive.google.com/file/d/1xX7x1mouzmy5JOdoVJATlD7TG4ibZhab/view?usp=sharing" TargetMode="External"/><Relationship Id="rId36" Type="http://schemas.openxmlformats.org/officeDocument/2006/relationships/hyperlink" Target="https://drive.google.com/file/d/1q8Qak1ATuHxIOt0XCo1RkZ3Toe2mzhUe/view?usp=drivesdk" TargetMode="External"/><Relationship Id="rId39" Type="http://schemas.openxmlformats.org/officeDocument/2006/relationships/hyperlink" Target="https://drive.google.com/file/d/1U_gfc9Bk7DtVxKrDg8K4FXcu_Xthr-Xv/view?usp=sharing" TargetMode="External"/><Relationship Id="rId38" Type="http://schemas.openxmlformats.org/officeDocument/2006/relationships/hyperlink" Target="https://drive.google.com/file/d/1NZ-fPg5ICHO_gCvBcDgTJFTal9VuTQa0/view?usp=sharing" TargetMode="External"/><Relationship Id="rId20" Type="http://schemas.openxmlformats.org/officeDocument/2006/relationships/hyperlink" Target="https://drive.google.com/file/d/1nSZKXyoo4q1cG94R91V_B5dzxMIgYNhY/view?usp=drive_link" TargetMode="External"/><Relationship Id="rId22" Type="http://schemas.openxmlformats.org/officeDocument/2006/relationships/hyperlink" Target="https://drive.google.com/file/d/1PE8Ju7_dNpRVATTaeR9sjkKFt8ASdldy/view?usp=sharing" TargetMode="External"/><Relationship Id="rId21" Type="http://schemas.openxmlformats.org/officeDocument/2006/relationships/hyperlink" Target="https://drive.google.com/file/d/12FnWB0j_Ezsh66xPIf2lDDBsnIy2UIbD/view?usp=sharing" TargetMode="External"/><Relationship Id="rId24" Type="http://schemas.openxmlformats.org/officeDocument/2006/relationships/hyperlink" Target="https://drive.google.com/file/d/1Q2o7F_CmF2yddPTRNHbfI9ITMt76aQWd/view?usp=sharing" TargetMode="External"/><Relationship Id="rId23" Type="http://schemas.openxmlformats.org/officeDocument/2006/relationships/hyperlink" Target="https://drive.google.com/file/d/1l6POI80q2n358eFGV2XjZjdVUySqfIpL/view?usp=sharing" TargetMode="External"/><Relationship Id="rId129" Type="http://schemas.openxmlformats.org/officeDocument/2006/relationships/hyperlink" Target="https://drive.google.com/file/d/1DV0x7UX7KsMynxN5flA9obQQL9v5_a0B/view?usp=sharing" TargetMode="External"/><Relationship Id="rId128" Type="http://schemas.openxmlformats.org/officeDocument/2006/relationships/hyperlink" Target="https://drive.google.com/drive/folders/1SDR5XKoMgW_eHSSZ1gMzfc9Sso-Aqg7C?usp=sharing" TargetMode="External"/><Relationship Id="rId127" Type="http://schemas.openxmlformats.org/officeDocument/2006/relationships/hyperlink" Target="https://drive.google.com/drive/folders/1SDR5XKoMgW_eHSSZ1gMzfc9Sso-Aqg7C?usp=sharing" TargetMode="External"/><Relationship Id="rId126" Type="http://schemas.openxmlformats.org/officeDocument/2006/relationships/hyperlink" Target="https://drive.google.com/file/d/1Kvc82c-KvjGsxMmPICtiDlmhMVHXkqKz/view?usp=sharing" TargetMode="External"/><Relationship Id="rId26" Type="http://schemas.openxmlformats.org/officeDocument/2006/relationships/hyperlink" Target="https://drive.google.com/file/d/1eTqf5G7rCLwKnfIL7trnxWI_S8Kvg2HM/view?usp=sharing" TargetMode="External"/><Relationship Id="rId121" Type="http://schemas.openxmlformats.org/officeDocument/2006/relationships/hyperlink" Target="https://drive.google.com/file/d/1enpgknm5N9TmyDsh9xjbJxNhrPeJxHUL/view?usp=sharing" TargetMode="External"/><Relationship Id="rId25" Type="http://schemas.openxmlformats.org/officeDocument/2006/relationships/hyperlink" Target="https://drive.google.com/file/d/197OfHJ_ZBtTEDUF8Lj6exVeC8-wGzoe-/view?usp=sharing" TargetMode="External"/><Relationship Id="rId120" Type="http://schemas.openxmlformats.org/officeDocument/2006/relationships/hyperlink" Target="https://drive.google.com/file/d/1XTtZ72YsF8MZFshrXHPsgr36fGsGuVlC/view?usp=sharing" TargetMode="External"/><Relationship Id="rId28" Type="http://schemas.openxmlformats.org/officeDocument/2006/relationships/hyperlink" Target="https://drive.google.com/file/d/1xnwCggBHUeT24FLcoUKHHB6dlJrzNxus/view?usp=sharing" TargetMode="External"/><Relationship Id="rId27" Type="http://schemas.openxmlformats.org/officeDocument/2006/relationships/hyperlink" Target="https://drive.google.com/file/d/1jmC2JyXmeqk1tKcbHBJcnB44eGOuDSLN/view?usp=sharing" TargetMode="External"/><Relationship Id="rId125" Type="http://schemas.openxmlformats.org/officeDocument/2006/relationships/hyperlink" Target="https://drive.google.com/file/d/1iyAhhY6b1ZTGxtZUfbcI9guRgWT6kzRh/view?usp=sharing" TargetMode="External"/><Relationship Id="rId29" Type="http://schemas.openxmlformats.org/officeDocument/2006/relationships/hyperlink" Target="https://drive.google.com/file/d/1CQqf9-tLTVvGs8VdT9Ne0uoDvpxQO96o/view?usp=sharing" TargetMode="External"/><Relationship Id="rId124" Type="http://schemas.openxmlformats.org/officeDocument/2006/relationships/hyperlink" Target="https://drive.google.com/file/d/1gmbB0rn4vzxoLo-be7ugHWdmgT8g-8-X/view?usp=drivesdk" TargetMode="External"/><Relationship Id="rId123" Type="http://schemas.openxmlformats.org/officeDocument/2006/relationships/hyperlink" Target="https://drive.google.com/file/d/1TLkQuvM3F_8C3taoEVPk2iD255XPEtBf/view?usp=drivesdk" TargetMode="External"/><Relationship Id="rId122" Type="http://schemas.openxmlformats.org/officeDocument/2006/relationships/hyperlink" Target="https://drive.google.com/file/d/1eDbxbBtMd8HoXr6ogPDQKl5xVQ0WGGBv/view?usp=sharing" TargetMode="External"/><Relationship Id="rId95" Type="http://schemas.openxmlformats.org/officeDocument/2006/relationships/hyperlink" Target="https://drive.google.com/file/d/1QvorqAKU8pCe3XomlnOdDeynMj-BBiRO/view?usp=sharing" TargetMode="External"/><Relationship Id="rId94" Type="http://schemas.openxmlformats.org/officeDocument/2006/relationships/hyperlink" Target="https://drive.google.com/file/d/1r-SADzmGOP2h2iO4neVkBlkEbUK3lk0B/view?usp=sharing" TargetMode="External"/><Relationship Id="rId97" Type="http://schemas.openxmlformats.org/officeDocument/2006/relationships/hyperlink" Target="https://drive.google.com/file/d/1t-0MOuczF_qheJwIGqblM_3Cd_hXbws9/view?usp=sharing" TargetMode="External"/><Relationship Id="rId96" Type="http://schemas.openxmlformats.org/officeDocument/2006/relationships/hyperlink" Target="https://drive.google.com/file/d/1rw7xj5WLGl8GqftwZNKPzbzSnToZ2laD/view?usp=drive_link" TargetMode="External"/><Relationship Id="rId11" Type="http://schemas.openxmlformats.org/officeDocument/2006/relationships/hyperlink" Target="https://drive.google.com/file/d/1dmiW_Ajp-5EDBriIXby6j5QUpu36h7Yp/view?usp=sharing" TargetMode="External"/><Relationship Id="rId99" Type="http://schemas.openxmlformats.org/officeDocument/2006/relationships/hyperlink" Target="https://drive.google.com/file/d/1ob27G7-RMdgEJNxWgullGTox9pdWp0bC/view?usp=sharing" TargetMode="External"/><Relationship Id="rId10" Type="http://schemas.openxmlformats.org/officeDocument/2006/relationships/hyperlink" Target="https://drive.google.com/file/d/10Xx36gjUQpW9BReDRIhUKnQZXjNmSbH8/view?usp=sharing" TargetMode="External"/><Relationship Id="rId98" Type="http://schemas.openxmlformats.org/officeDocument/2006/relationships/hyperlink" Target="https://drive.google.com/file/d/1tBADokdx1igwsoMnfKvi8l2GCax7uxqM/view?usp=sharing" TargetMode="External"/><Relationship Id="rId13" Type="http://schemas.openxmlformats.org/officeDocument/2006/relationships/hyperlink" Target="https://drive.google.com/file/d/1LD_qcJGhcV_7lHjfyh2o0u-X7uwI08jZ/view?usp=drivesdk" TargetMode="External"/><Relationship Id="rId12" Type="http://schemas.openxmlformats.org/officeDocument/2006/relationships/hyperlink" Target="https://drive.google.com/file/d/130cZHgmpf-W7PUlQJ41WU8osKcXQvxyW/view?usp=sharing" TargetMode="External"/><Relationship Id="rId91" Type="http://schemas.openxmlformats.org/officeDocument/2006/relationships/hyperlink" Target="https://drive.google.com/file/d/1ISz5lKeh1EDPDqIsrEBqac2OTG9rr_QK/view?usp=drivesdk" TargetMode="External"/><Relationship Id="rId90" Type="http://schemas.openxmlformats.org/officeDocument/2006/relationships/hyperlink" Target="https://drive.google.com/file/d/1WhRX0uocF9EEshcS6jD7M6Cf7XSwXcrN/view?usp=drivesdk" TargetMode="External"/><Relationship Id="rId93" Type="http://schemas.openxmlformats.org/officeDocument/2006/relationships/hyperlink" Target="https://drive.google.com/drive/folders/1a0jYoxINKTim4WrX6f6C9SisM7xmz-Vw?usp=sharing" TargetMode="External"/><Relationship Id="rId92" Type="http://schemas.openxmlformats.org/officeDocument/2006/relationships/hyperlink" Target="https://drive.google.com/file/d/1yfR8btU-5LRB3G7uUdxlZmA3kMD3g4jQ/view?usp=drivesdk" TargetMode="External"/><Relationship Id="rId118" Type="http://schemas.openxmlformats.org/officeDocument/2006/relationships/hyperlink" Target="https://drive.google.com/file/d/1ecHarDtIurfssl8JRof5RTCGfCoJeG2T/view?usp=sharing" TargetMode="External"/><Relationship Id="rId117" Type="http://schemas.openxmlformats.org/officeDocument/2006/relationships/hyperlink" Target="https://drive.google.com/file/d/1iDU05CK2gi-RPP4QxOParWSixbPRBm_U/view?usp=drive_link" TargetMode="External"/><Relationship Id="rId116" Type="http://schemas.openxmlformats.org/officeDocument/2006/relationships/hyperlink" Target="https://drive.google.com/file/d/1iuJ8Ot__r58ThXHsNpVbgPiC5W4Uc6nm/view?usp=sharing" TargetMode="External"/><Relationship Id="rId115" Type="http://schemas.openxmlformats.org/officeDocument/2006/relationships/hyperlink" Target="https://drive.google.com/file/d/1ZuU1_xsiYUit7qSIk9w6S0lr3H3j1SiP/view?usp=sharing" TargetMode="External"/><Relationship Id="rId119" Type="http://schemas.openxmlformats.org/officeDocument/2006/relationships/hyperlink" Target="https://drive.google.com/file/d/1dNSk5-MwbYsDmOEdvHp3Y26DU4r49Q1L/view?usp=sharing" TargetMode="External"/><Relationship Id="rId15" Type="http://schemas.openxmlformats.org/officeDocument/2006/relationships/hyperlink" Target="https://drive.google.com/file/d/164rXzQicQDVHlNAU5Ih9xMmFFkaITr-M/view?usp=sharing" TargetMode="External"/><Relationship Id="rId110" Type="http://schemas.openxmlformats.org/officeDocument/2006/relationships/hyperlink" Target="https://drive.google.com/file/d/1EaeiSTG26e5s6pVxdpOA1OBA1d_21j6u/view?usp=drivesdk" TargetMode="External"/><Relationship Id="rId14" Type="http://schemas.openxmlformats.org/officeDocument/2006/relationships/hyperlink" Target="https://drive.google.com/file/d/1Mt2IX9ojnCtNiGz30yBc6NqBGaSGAwI5/view?usp=drivesdk" TargetMode="External"/><Relationship Id="rId17" Type="http://schemas.openxmlformats.org/officeDocument/2006/relationships/hyperlink" Target="https://drive.google.com/file/d/1jRsb5lSEGao48OXi8qeJfleKnSI18ZWP/view?usp=sharing" TargetMode="External"/><Relationship Id="rId16" Type="http://schemas.openxmlformats.org/officeDocument/2006/relationships/hyperlink" Target="https://drive.google.com/file/d/1QOQeKWtuGhF5cwH56HAjkmSv8KR3RIAd/view?usp=sharing" TargetMode="External"/><Relationship Id="rId19" Type="http://schemas.openxmlformats.org/officeDocument/2006/relationships/hyperlink" Target="https://drive.google.com/file/d/1uROuR8Zvz4Gfk2xNV2Yb5MmERV6a3gaA/view?usp=drive_link" TargetMode="External"/><Relationship Id="rId114" Type="http://schemas.openxmlformats.org/officeDocument/2006/relationships/hyperlink" Target="https://drive.google.com/file/d/1aCN3RnxdiyZ6iTOKy05d8oSXAy6Vbn7J/view?usp=drivesdk" TargetMode="External"/><Relationship Id="rId18" Type="http://schemas.openxmlformats.org/officeDocument/2006/relationships/hyperlink" Target="https://drive.google.com/file/d/1V2ywLMkIvJ7fkdBNgruQmBlnzGxIdJjT/view?usp=sharing" TargetMode="External"/><Relationship Id="rId113" Type="http://schemas.openxmlformats.org/officeDocument/2006/relationships/hyperlink" Target="https://drive.google.com/file/d/1zA06ykxUNA1JtZ1u3nE5qljbkrn88AH3/view?usp=drivesdk" TargetMode="External"/><Relationship Id="rId112" Type="http://schemas.openxmlformats.org/officeDocument/2006/relationships/hyperlink" Target="https://drive.google.com/file/d/19_QcuwAdT6vOy4-woAyRfarETH1L7-yd/view?usp=sharing" TargetMode="External"/><Relationship Id="rId111" Type="http://schemas.openxmlformats.org/officeDocument/2006/relationships/hyperlink" Target="https://drive.google.com/file/d/1RTKFcFXn97DxVyTgUp7f-EFqVzJ0Ve-h/view?usp=sharing" TargetMode="External"/><Relationship Id="rId84" Type="http://schemas.openxmlformats.org/officeDocument/2006/relationships/hyperlink" Target="https://drive.google.com/file/d/1QTkpw9ZFYSGA9_AJ_BPYwDgngLSKEA1X/view?usp=sharing" TargetMode="External"/><Relationship Id="rId83" Type="http://schemas.openxmlformats.org/officeDocument/2006/relationships/hyperlink" Target="https://drive.google.com/file/d/1g6kyGKHQK3Sf9zWKE2JNQsZF3zAh976I/view?usp=sharing" TargetMode="External"/><Relationship Id="rId86" Type="http://schemas.openxmlformats.org/officeDocument/2006/relationships/hyperlink" Target="https://drive.google.com/file/d/1Tp61WCJSWJe6EX18N6Q2ftvx_UVu1HPv/view?usp=drive_link" TargetMode="External"/><Relationship Id="rId85" Type="http://schemas.openxmlformats.org/officeDocument/2006/relationships/hyperlink" Target="https://drive.google.com/file/d/1-8KyRYQUNdewcqOHKW2yK-tIYuKqR-rE/view?usp=drive_link" TargetMode="External"/><Relationship Id="rId88" Type="http://schemas.openxmlformats.org/officeDocument/2006/relationships/hyperlink" Target="https://drive.google.com/file/d/1AR7tccXE5zXs4J0FudRDGtEUVqHXP0f2/view?usp=sharing" TargetMode="External"/><Relationship Id="rId87" Type="http://schemas.openxmlformats.org/officeDocument/2006/relationships/hyperlink" Target="https://drive.google.com/drive/folders/14kZIBPyTEeQJMXAt5__5ukHL2_XZHaoR?usp=sharing" TargetMode="External"/><Relationship Id="rId89" Type="http://schemas.openxmlformats.org/officeDocument/2006/relationships/hyperlink" Target="https://drive.google.com/file/d/1FQUSt5CtWDI-pvNgKpFC7bPduiVjYwEX/view?usp=drivesdk" TargetMode="External"/><Relationship Id="rId80" Type="http://schemas.openxmlformats.org/officeDocument/2006/relationships/hyperlink" Target="https://drive.google.com/file/d/1GV0ZRpBLzbaUNBg_93usBs0NNAt66i4e/view?usp=drive_link" TargetMode="External"/><Relationship Id="rId82" Type="http://schemas.openxmlformats.org/officeDocument/2006/relationships/hyperlink" Target="https://drive.google.com/file/d/1Ppviq-6-YGKCN8jYL4zhNA7SO4TvMK6C/view?usp=sharing" TargetMode="External"/><Relationship Id="rId81" Type="http://schemas.openxmlformats.org/officeDocument/2006/relationships/hyperlink" Target="https://drive.google.com/file/d/1UWhU4-IUWhREU0yzEe3A86iKtNdiSkT9/view?usp=drive_link" TargetMode="External"/><Relationship Id="rId1" Type="http://schemas.openxmlformats.org/officeDocument/2006/relationships/hyperlink" Target="https://drive.google.com/file/d/1rZI7-SiZAOB7NUnsO9n68cEl-txaqh7W/view?usp=drive_link" TargetMode="External"/><Relationship Id="rId2" Type="http://schemas.openxmlformats.org/officeDocument/2006/relationships/hyperlink" Target="https://drive.google.com/file/d/15mwRkXLr_nCW1QTHNTsoVpOHfm87Bm_E/view?usp=drive_link" TargetMode="External"/><Relationship Id="rId3" Type="http://schemas.openxmlformats.org/officeDocument/2006/relationships/hyperlink" Target="https://drive.google.com/file/d/1V0lrKfEIRVPJGxFO_eczcKDEDyNgnlrv/view?usp=sharing" TargetMode="External"/><Relationship Id="rId4" Type="http://schemas.openxmlformats.org/officeDocument/2006/relationships/hyperlink" Target="https://drive.google.com/file/d/1FQdlztLwEPAvE6VlPvfaIZrD0iEUqtg5/view?usp=sharing" TargetMode="External"/><Relationship Id="rId9" Type="http://schemas.openxmlformats.org/officeDocument/2006/relationships/hyperlink" Target="https://drive.google.com/file/d/104nryzwyTS7FFFtk2SRj3W6-gmzFSbvZ/view?usp=sharing" TargetMode="External"/><Relationship Id="rId5" Type="http://schemas.openxmlformats.org/officeDocument/2006/relationships/hyperlink" Target="https://drive.google.com/file/d/1UuLj2GSfpvm_fyIK9c-z9GjQvWlAExZQ/view?usp=sharing" TargetMode="External"/><Relationship Id="rId6" Type="http://schemas.openxmlformats.org/officeDocument/2006/relationships/hyperlink" Target="https://drive.google.com/file/d/1Q5eHi_yiYp0jEq1q23-Feq7_eOk0t8Hk/view?usp=sharing" TargetMode="External"/><Relationship Id="rId7" Type="http://schemas.openxmlformats.org/officeDocument/2006/relationships/hyperlink" Target="https://drive.google.com/file/d/1Ns_mYzSMTjETrzkrej4xzQtKYtlEWQpI/view?usp=drivesdk" TargetMode="External"/><Relationship Id="rId8" Type="http://schemas.openxmlformats.org/officeDocument/2006/relationships/hyperlink" Target="https://drive.google.com/file/d/1SvkkqMmszEemQNIMMjUqRXSbNn160f_8/view?usp=drivesdk" TargetMode="External"/><Relationship Id="rId73" Type="http://schemas.openxmlformats.org/officeDocument/2006/relationships/hyperlink" Target="https://drive.google.com/file/d/12QCuUsiXcSGbuEBJMl2BuyaO_5Yjt4uH/view?usp=drivesdk" TargetMode="External"/><Relationship Id="rId72" Type="http://schemas.openxmlformats.org/officeDocument/2006/relationships/hyperlink" Target="https://drive.google.com/file/d/1vSXJVBaETCluhYBoRYxspgdXobxhOcrp/view?usp=drivesdk" TargetMode="External"/><Relationship Id="rId75" Type="http://schemas.openxmlformats.org/officeDocument/2006/relationships/hyperlink" Target="https://drive.google.com/file/d/1hJqumiytZix0hXIVn_YUiDikBhN1N4rf/view?usp=sharing" TargetMode="External"/><Relationship Id="rId74" Type="http://schemas.openxmlformats.org/officeDocument/2006/relationships/hyperlink" Target="https://drive.google.com/file/d/16E0Zq9jOoMK2Qbw0cLwB7-eu6RvKgi1d/view?usp=drivesdk" TargetMode="External"/><Relationship Id="rId77" Type="http://schemas.openxmlformats.org/officeDocument/2006/relationships/hyperlink" Target="https://drive.google.com/file/d/10GF4lehH31we8hNMhhA6YS5sFjQmbZjR/view?usp=drive_link" TargetMode="External"/><Relationship Id="rId76" Type="http://schemas.openxmlformats.org/officeDocument/2006/relationships/hyperlink" Target="https://drive.google.com/file/d/1hJqumiytZix0hXIVn_YUiDikBhN1N4rf/view?usp=sharing" TargetMode="External"/><Relationship Id="rId79" Type="http://schemas.openxmlformats.org/officeDocument/2006/relationships/hyperlink" Target="https://drive.google.com/file/d/1OVxl-oQNW79MZyerRYW-pp26VZBQGUf8/view?usp=sharing" TargetMode="External"/><Relationship Id="rId78" Type="http://schemas.openxmlformats.org/officeDocument/2006/relationships/hyperlink" Target="https://drive.google.com/file/d/1CNhRLKjVEoTKD1h-rORfqHWtgflbGQAI/view?usp=drive_link" TargetMode="External"/><Relationship Id="rId71" Type="http://schemas.openxmlformats.org/officeDocument/2006/relationships/hyperlink" Target="https://drive.google.com/file/d/1a3R9JiyxNh_t4-wEUwaIJxtMd_e34k8t/view?usp=drivesdk" TargetMode="External"/><Relationship Id="rId70" Type="http://schemas.openxmlformats.org/officeDocument/2006/relationships/hyperlink" Target="https://drive.google.com/file/d/1r38XbsiLFPSV0_CHULKBhsjU62ZucdWM/view?usp=drivesdk" TargetMode="External"/><Relationship Id="rId137" Type="http://schemas.openxmlformats.org/officeDocument/2006/relationships/table" Target="../tables/table5.xml"/><Relationship Id="rId132" Type="http://schemas.openxmlformats.org/officeDocument/2006/relationships/hyperlink" Target="https://drive.google.com/file/d/1mZVR3klWRe-JQZNlj5x1x9jszhkZ30_9/view?usp=sharing" TargetMode="External"/><Relationship Id="rId131" Type="http://schemas.openxmlformats.org/officeDocument/2006/relationships/hyperlink" Target="https://drive.google.com/file/d/1JIennw0QOZP4_edmiiDQZk3f1AcmEdq4/view?usp=sharing" TargetMode="External"/><Relationship Id="rId130" Type="http://schemas.openxmlformats.org/officeDocument/2006/relationships/hyperlink" Target="https://drive.google.com/file/d/1GGSvEQ4K5FT3uu8tlrz6Z8ReG6PDtpTj/view?usp=drivesdk" TargetMode="External"/><Relationship Id="rId135" Type="http://schemas.openxmlformats.org/officeDocument/2006/relationships/drawing" Target="../drawings/drawing5.xml"/><Relationship Id="rId134" Type="http://schemas.openxmlformats.org/officeDocument/2006/relationships/hyperlink" Target="https://drive.google.com/file/d/1lSVn-m783kDepxK3VQqSqwAy1Rlyl8My/view?usp=sharing" TargetMode="External"/><Relationship Id="rId133" Type="http://schemas.openxmlformats.org/officeDocument/2006/relationships/hyperlink" Target="https://drive.google.com/file/d/1imaIp-tK405dRHi_0ZduvBqmX-d8c6G0/view?usp=sharing" TargetMode="External"/><Relationship Id="rId62" Type="http://schemas.openxmlformats.org/officeDocument/2006/relationships/hyperlink" Target="https://drive.google.com/file/d/1uc0kOGcffBKR3PxD5CttyeTlDKyeBJBe/view?usp=sharing" TargetMode="External"/><Relationship Id="rId61" Type="http://schemas.openxmlformats.org/officeDocument/2006/relationships/hyperlink" Target="https://drive.google.com/file/d/1VgOgZrIJA09gql0hZwAwVctf3XX7h8J2/view?usp=sharing" TargetMode="External"/><Relationship Id="rId64" Type="http://schemas.openxmlformats.org/officeDocument/2006/relationships/hyperlink" Target="https://drive.google.com/file/d/1M1oUOgDYgU1NnWfTVY0-cg-hA2Bsk2cK/view?usp=sharinghttps://drive.google.com/file/d/1fuU2GPnHRbfjlikx2z7_KdTiFDrdvrYH/view?usp=drive_link" TargetMode="External"/><Relationship Id="rId63" Type="http://schemas.openxmlformats.org/officeDocument/2006/relationships/hyperlink" Target="https://drive.google.com/file/d/1fuU2GPnHRbfjlikx2z7_KdTiFDrdvrYH/view?usp=drive_link" TargetMode="External"/><Relationship Id="rId66" Type="http://schemas.openxmlformats.org/officeDocument/2006/relationships/hyperlink" Target="https://drive.google.com/file/d/1XnZmgVybvAVjzXpWT2jR3Gb79Rd0angb/view?usp=sharing" TargetMode="External"/><Relationship Id="rId65" Type="http://schemas.openxmlformats.org/officeDocument/2006/relationships/hyperlink" Target="https://drive.google.com/file/d/1z-ORuucTnq0AW1FMQCKLuJh0Qx1a9Vnv/view?usp=sharing" TargetMode="External"/><Relationship Id="rId68" Type="http://schemas.openxmlformats.org/officeDocument/2006/relationships/hyperlink" Target="https://drive.google.com/file/d/1j7b48SLkwWMnmm6Lo2z1_Ny8u0_B8t-9/view?usp=sharing" TargetMode="External"/><Relationship Id="rId67" Type="http://schemas.openxmlformats.org/officeDocument/2006/relationships/hyperlink" Target="https://drive.google.com/drive/folders/1N0hhJZcFLQ_f1OzISYIga6gtNzIKs_EU?usp=sharing" TargetMode="External"/><Relationship Id="rId60" Type="http://schemas.openxmlformats.org/officeDocument/2006/relationships/hyperlink" Target="https://drive.google.com/drive/folders/1HwInnQ0S1PiIApES6OAFeyHT46fw62fe?usp=sharing" TargetMode="External"/><Relationship Id="rId69" Type="http://schemas.openxmlformats.org/officeDocument/2006/relationships/hyperlink" Target="https://drive.google.com/file/d/1MT4MDD-wIsqUgJN92dMAziI3wAseZtHS/view?usp=drivesdk" TargetMode="External"/><Relationship Id="rId51" Type="http://schemas.openxmlformats.org/officeDocument/2006/relationships/hyperlink" Target="https://drive.google.com/file/d/1Za77pmaABHQhNtKC-ItJWzxih5un-E6o/view?usp=sharing" TargetMode="External"/><Relationship Id="rId50" Type="http://schemas.openxmlformats.org/officeDocument/2006/relationships/hyperlink" Target="https://drive.google.com/file/d/1bQ6aDMlWKb0RdD2TQVW8mP-laTjv665G/view?usp=sharing" TargetMode="External"/><Relationship Id="rId53" Type="http://schemas.openxmlformats.org/officeDocument/2006/relationships/hyperlink" Target="https://drive.google.com/file/d/10UlKudGcl6GfqwSTKbeNsQyOCjrMph_6/view?usp=sharing" TargetMode="External"/><Relationship Id="rId52" Type="http://schemas.openxmlformats.org/officeDocument/2006/relationships/hyperlink" Target="https://drive.google.com/file/d/1Za77pmaABHQhNtKC-ItJWzxih5un-E6o/view?usp=sharing" TargetMode="External"/><Relationship Id="rId55" Type="http://schemas.openxmlformats.org/officeDocument/2006/relationships/hyperlink" Target="https://drive.google.com/file/d/1mpqWz-8WKBy2P8QJuVBRfALypfGGKaXM/view?usp=sharing" TargetMode="External"/><Relationship Id="rId54" Type="http://schemas.openxmlformats.org/officeDocument/2006/relationships/hyperlink" Target="https://drive.google.com/file/d/13G0RrFmjFveffWgdVLhkCQDDtxb_oicV/view?usp=sharing" TargetMode="External"/><Relationship Id="rId57" Type="http://schemas.openxmlformats.org/officeDocument/2006/relationships/hyperlink" Target="https://drive.google.com/file/d/1SEX7TP0yIDthFcTAbfEem16TvQWCOXvB/view?usp=sharing" TargetMode="External"/><Relationship Id="rId56" Type="http://schemas.openxmlformats.org/officeDocument/2006/relationships/hyperlink" Target="https://drive.google.com/file/d/1T7H0GAlEUpZTeMGFSMH79GN4d8Q2pBfi/view?usp=sharing" TargetMode="External"/><Relationship Id="rId59" Type="http://schemas.openxmlformats.org/officeDocument/2006/relationships/hyperlink" Target="https://drive.google.com/drive/folders/1xZNIiTGuyv1Hszfso4rbI60U3Gfne1TF?usp=drive_link" TargetMode="External"/><Relationship Id="rId58" Type="http://schemas.openxmlformats.org/officeDocument/2006/relationships/hyperlink" Target="https://drive.google.com/file/d/19ttHHHHE-JCq1lQV9NVX1zERzjKihUfF/view?usp=sharing" TargetMode="External"/></Relationships>
</file>

<file path=xl/worksheets/_rels/sheet6.xml.rels><?xml version="1.0" encoding="UTF-8" standalone="yes"?><Relationships xmlns="http://schemas.openxmlformats.org/package/2006/relationships"><Relationship Id="rId31" Type="http://schemas.openxmlformats.org/officeDocument/2006/relationships/table" Target="../tables/table6.xml"/><Relationship Id="rId20" Type="http://schemas.openxmlformats.org/officeDocument/2006/relationships/hyperlink" Target="https://drive.google.com/file/d/1ie85Cs5Wya4qy8ZfeNAp-lGHXTqV3Rbp/view?usp=sharing" TargetMode="External"/><Relationship Id="rId22" Type="http://schemas.openxmlformats.org/officeDocument/2006/relationships/hyperlink" Target="https://drive.google.com/file/d/1k8faK3bMy1ZWvJjkUKFf1nU5qRIAMQsj/view?usp=sharing" TargetMode="External"/><Relationship Id="rId21" Type="http://schemas.openxmlformats.org/officeDocument/2006/relationships/hyperlink" Target="https://drive.google.com/file/d/171KQ7AqGd-gyj108njMdpCyesKdugyBJ/view?usp=sharing" TargetMode="External"/><Relationship Id="rId24" Type="http://schemas.openxmlformats.org/officeDocument/2006/relationships/hyperlink" Target="https://drive.google.com/file/d/1h8fqqACdfjbxqk3SuoNW39HJuQoEpAh6/view?usp=sharing" TargetMode="External"/><Relationship Id="rId23" Type="http://schemas.openxmlformats.org/officeDocument/2006/relationships/hyperlink" Target="https://drive.google.com/file/d/1oLIi3BWHdXg_J9eWbqMSdSWy0BXJisIt/view?usp=sharing" TargetMode="External"/><Relationship Id="rId26" Type="http://schemas.openxmlformats.org/officeDocument/2006/relationships/hyperlink" Target="https://drive.google.com/file/d/1jknOGlysI5rhLjr3o2SzcPdTY7r77jgr/view?usp=sharing" TargetMode="External"/><Relationship Id="rId25" Type="http://schemas.openxmlformats.org/officeDocument/2006/relationships/hyperlink" Target="https://drive.google.com/file/d/1XkL6bm4HJuJzc425LqNZMtYKdT5VOlV0/view?usp=sharing" TargetMode="External"/><Relationship Id="rId28" Type="http://schemas.openxmlformats.org/officeDocument/2006/relationships/hyperlink" Target="https://drive.google.com/file/d/1LUWU7KY2EPm0ug60MGROJdoFgj3Mw16T/view?usp=drive_link" TargetMode="External"/><Relationship Id="rId27" Type="http://schemas.openxmlformats.org/officeDocument/2006/relationships/hyperlink" Target="https://drive.google.com/file/d/1iHzQigATsVVWtYvYPBx6MTi0Vy-_4qI8/view?usp=drive_link" TargetMode="External"/><Relationship Id="rId29" Type="http://schemas.openxmlformats.org/officeDocument/2006/relationships/drawing" Target="../drawings/drawing6.xml"/><Relationship Id="rId11" Type="http://schemas.openxmlformats.org/officeDocument/2006/relationships/hyperlink" Target="https://drive.google.com/file/d/16hi3hj0XinFFgKv5ssx1pd0RrQD7Izic/view?usp=sharing" TargetMode="External"/><Relationship Id="rId10" Type="http://schemas.openxmlformats.org/officeDocument/2006/relationships/hyperlink" Target="https://drive.google.com/file/d/1H6Q_khePBI42DV7irib2apiFWq37ebXE/view?usp=sharing" TargetMode="External"/><Relationship Id="rId13" Type="http://schemas.openxmlformats.org/officeDocument/2006/relationships/hyperlink" Target="https://drive.google.com/file/d/1AqcKEXOXC2KW1fUukE_P4rgdHtEKsCvH/view" TargetMode="External"/><Relationship Id="rId12" Type="http://schemas.openxmlformats.org/officeDocument/2006/relationships/hyperlink" Target="https://drive.google.com/file/d/1D1vKqw-uU4rLGfYUVR7tnFNishemqCUn/view?usp=sharing" TargetMode="External"/><Relationship Id="rId15" Type="http://schemas.openxmlformats.org/officeDocument/2006/relationships/hyperlink" Target="https://drive.google.com/drive/folders/1199vmxAOAw3V7P3-L7KBt9YgmHE-c0iJ?usp=sharing" TargetMode="External"/><Relationship Id="rId14" Type="http://schemas.openxmlformats.org/officeDocument/2006/relationships/hyperlink" Target="https://drive.google.com/file/d/1uTCSi8QAZyaNhdNKflSpU1exP38jZmvO/view?usp=drive_link" TargetMode="External"/><Relationship Id="rId17" Type="http://schemas.openxmlformats.org/officeDocument/2006/relationships/hyperlink" Target="https://drive.google.com/file/d/14_CdesZ2rvN6tW7-A2BwDJVPYnH6vlJ6/view?usp=sharing" TargetMode="External"/><Relationship Id="rId16" Type="http://schemas.openxmlformats.org/officeDocument/2006/relationships/hyperlink" Target="https://drive.google.com/file/d/1m28anVmeMk94rr4T04G-Zhb8E2v8oxOo/view?usp=sharing" TargetMode="External"/><Relationship Id="rId19" Type="http://schemas.openxmlformats.org/officeDocument/2006/relationships/hyperlink" Target="https://drive.google.com/file/d/1ZFzqYbqENYUFZfHtw8O9ZTzXCFf_gXuV/view?usp=sharing" TargetMode="External"/><Relationship Id="rId18" Type="http://schemas.openxmlformats.org/officeDocument/2006/relationships/hyperlink" Target="https://drive.google.com/file/d/1qXau8y-SK8CJ0fhmlP4j8hdB0XeilhCB/view?usp=sharing" TargetMode="External"/><Relationship Id="rId1" Type="http://schemas.openxmlformats.org/officeDocument/2006/relationships/hyperlink" Target="https://drive.google.com/file/d/1hU4RGh546o0MXIjwKlOo3rOhLDbMcP8U/view?usp=sharing" TargetMode="External"/><Relationship Id="rId2" Type="http://schemas.openxmlformats.org/officeDocument/2006/relationships/hyperlink" Target="https://drive.google.com/file/d/19Pyk_7vqARDAez5hbznGAdhnLNJDOs9h/view?usp=sharing" TargetMode="External"/><Relationship Id="rId3" Type="http://schemas.openxmlformats.org/officeDocument/2006/relationships/hyperlink" Target="https://drive.google.com/file/d/1WGoINZDVxJxlAgrYTzNugmrlvB5HW1Np/view?usp=sharing" TargetMode="External"/><Relationship Id="rId4" Type="http://schemas.openxmlformats.org/officeDocument/2006/relationships/hyperlink" Target="https://drive.google.com/file/d/1T7H0GAlEUpZTeMGFSMH79GN4d8Q2pBfi/view?usp=sharing" TargetMode="External"/><Relationship Id="rId9" Type="http://schemas.openxmlformats.org/officeDocument/2006/relationships/hyperlink" Target="https://drive.google.com/file/d/18rVG9IiKDx39PVTBMPbV73bnY3cc3bOl/view?usp=sharing" TargetMode="External"/><Relationship Id="rId5" Type="http://schemas.openxmlformats.org/officeDocument/2006/relationships/hyperlink" Target="https://drive.google.com/file/d/1zA06ykxUNA1JtZ1u3nE5qljbkrn88AH3/view?usp=sharing" TargetMode="External"/><Relationship Id="rId6" Type="http://schemas.openxmlformats.org/officeDocument/2006/relationships/hyperlink" Target="https://drive.google.com/file/d/1aCN3RnxdiyZ6iTOKy05d8oSXAy6Vbn7J/view?usp=sharing" TargetMode="External"/><Relationship Id="rId7" Type="http://schemas.openxmlformats.org/officeDocument/2006/relationships/hyperlink" Target="https://drive.google.com/file/d/1z0Lv5kMNniBXoqPCv7TexQ2BbKIEHlll/view?usp=sharing" TargetMode="External"/><Relationship Id="rId8" Type="http://schemas.openxmlformats.org/officeDocument/2006/relationships/hyperlink" Target="https://drive.google.com/file/d/1HI9pIHt1v1dSL7edw1t6CyHIdFUKD01r/view?usp=sharin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file/d/18Y0sj7qO0JsrpnA_cRq4iz-n4CgXTk9A/view?usp=drivesdk" TargetMode="External"/><Relationship Id="rId42" Type="http://schemas.openxmlformats.org/officeDocument/2006/relationships/hyperlink" Target="https://drive.google.com/file/d/1jvI_-bHWQqiQ58z1dznL7MfKuL06pfRe/view?usp=sharing" TargetMode="External"/><Relationship Id="rId41" Type="http://schemas.openxmlformats.org/officeDocument/2006/relationships/hyperlink" Target="https://drive.google.com/file/d/1ciyZhjlLT62fg_i5P7zcQ-wwHqk7UtNb/view?usp=drivesdk" TargetMode="External"/><Relationship Id="rId44" Type="http://schemas.openxmlformats.org/officeDocument/2006/relationships/hyperlink" Target="https://drive.google.com/file/d/1_QVEclg4C78jyyehki58PwxhrZA1woPY/view?usp=sharing" TargetMode="External"/><Relationship Id="rId43" Type="http://schemas.openxmlformats.org/officeDocument/2006/relationships/hyperlink" Target="https://drive.google.com/file/d/1x8ecInKHkeagvXoepD0k3jwmyKaH8hkk/view?usp=sharing" TargetMode="External"/><Relationship Id="rId46" Type="http://schemas.openxmlformats.org/officeDocument/2006/relationships/hyperlink" Target="https://drive.google.com/file/d/1HCoYxPKP_g1KtnugCrOKWPrDMf09MoDW/view?usp=sharing" TargetMode="External"/><Relationship Id="rId45" Type="http://schemas.openxmlformats.org/officeDocument/2006/relationships/hyperlink" Target="https://drive.google.com/file/d/1KbuiScmljFGOkujjana965h2g2PgLmkA/view?usp=sharing" TargetMode="External"/><Relationship Id="rId48" Type="http://schemas.openxmlformats.org/officeDocument/2006/relationships/hyperlink" Target="https://drive.google.com/file/d/1oFKkuTGEfncGcIY6bZH-OKDEu3nFyHUy/view?usp=drive_link" TargetMode="External"/><Relationship Id="rId47" Type="http://schemas.openxmlformats.org/officeDocument/2006/relationships/hyperlink" Target="https://drive.google.com/file/d/1njgX8yM21P04_RCJ-rPHIO1284Ue7BJo/view?usp=drive_link" TargetMode="External"/><Relationship Id="rId49" Type="http://schemas.openxmlformats.org/officeDocument/2006/relationships/hyperlink" Target="https://drive.google.com/file/d/18nR1zR7mQjwpO9lAxHWUHSDyINZOAdxG/view?usp=drivesdk" TargetMode="External"/><Relationship Id="rId31" Type="http://schemas.openxmlformats.org/officeDocument/2006/relationships/hyperlink" Target="https://drive.google.com/file/d/1Cuts0agkUm3AvyRC3BmvE0Nh676zk_sP/view?usp=drive_link" TargetMode="External"/><Relationship Id="rId30" Type="http://schemas.openxmlformats.org/officeDocument/2006/relationships/hyperlink" Target="https://drive.google.com/file/d/1aVnjKF4Xb0GkXYEI-5qNV4R0EOyRlnQU/view?usp=drive_link" TargetMode="External"/><Relationship Id="rId33" Type="http://schemas.openxmlformats.org/officeDocument/2006/relationships/hyperlink" Target="https://drive.google.com/file/d/1zaT8ZJ2jJHPAfeKp2TSEiXos49xSNRXY/view?usp=drivesdk" TargetMode="External"/><Relationship Id="rId32" Type="http://schemas.openxmlformats.org/officeDocument/2006/relationships/hyperlink" Target="https://drive.google.com/file/d/1wrhTefPDTSAqr6u3qniVKA0QHU8f48Ft/view?usp=drivesdk" TargetMode="External"/><Relationship Id="rId35" Type="http://schemas.openxmlformats.org/officeDocument/2006/relationships/hyperlink" Target="https://drive.google.com/file/d/1Q2o7F_CmF2yddPTRNHbfI9ITMt76aQWd/view?usp=sharing" TargetMode="External"/><Relationship Id="rId34" Type="http://schemas.openxmlformats.org/officeDocument/2006/relationships/hyperlink" Target="https://drive.google.com/file/d/1aMLEI-rtz_wannnKUXAPfRpMYgGQiDwK/view?usp=sharing" TargetMode="External"/><Relationship Id="rId37" Type="http://schemas.openxmlformats.org/officeDocument/2006/relationships/hyperlink" Target="https://drive.google.com/file/d/1qltq4fn_R_v5Alk4TOPjADM1IH9iywVK/view?usp=sharing" TargetMode="External"/><Relationship Id="rId36" Type="http://schemas.openxmlformats.org/officeDocument/2006/relationships/hyperlink" Target="https://drive.google.com/file/d/1tI5EhclzZ4EqDO9mQ9oH59xpeoHrPi0W/view?usp=sharing" TargetMode="External"/><Relationship Id="rId39" Type="http://schemas.openxmlformats.org/officeDocument/2006/relationships/hyperlink" Target="https://drive.google.com/drive/folders/1eBVpdlzAbDuP_u8yBM4SIjU-AT31LukX" TargetMode="External"/><Relationship Id="rId38" Type="http://schemas.openxmlformats.org/officeDocument/2006/relationships/hyperlink" Target="https://drive.google.com/drive/folders/1eBVpdlzAbDuP_u8yBM4SIjU-AT31LukX" TargetMode="External"/><Relationship Id="rId20" Type="http://schemas.openxmlformats.org/officeDocument/2006/relationships/hyperlink" Target="https://drive.google.com/file/d/1R71UwJmqYWgTQTXvBUpLBcaK39eH2Mex/view?usp=sharing" TargetMode="External"/><Relationship Id="rId22" Type="http://schemas.openxmlformats.org/officeDocument/2006/relationships/hyperlink" Target="https://drive.google.com/file/d/15nSUCe9-4oKLb0yErT-dhCP0Z_yw6eea/view?usp=drivesdk" TargetMode="External"/><Relationship Id="rId21" Type="http://schemas.openxmlformats.org/officeDocument/2006/relationships/hyperlink" Target="https://drive.google.com/file/d/1E7NuH_0XkpXQKRftBU7L6LAHKNwX3hzf/view?usp=sharing" TargetMode="External"/><Relationship Id="rId24" Type="http://schemas.openxmlformats.org/officeDocument/2006/relationships/hyperlink" Target="https://drive.google.com/file/d/1iuASNHabbR_DsJB8fkO3Vrua07sY83wl/view?usp=sharing" TargetMode="External"/><Relationship Id="rId23" Type="http://schemas.openxmlformats.org/officeDocument/2006/relationships/hyperlink" Target="https://drive.google.com/file/d/1T1YzqXUiw2G_k2nVdtN3Wuzmhib66-oe/view?usp=drivesdk" TargetMode="External"/><Relationship Id="rId26" Type="http://schemas.openxmlformats.org/officeDocument/2006/relationships/hyperlink" Target="https://drive.google.com/file/d/1MoPraEtuP2LSaC-klZ5p3MViEMFwFuN8/view?usp=sharing" TargetMode="External"/><Relationship Id="rId25" Type="http://schemas.openxmlformats.org/officeDocument/2006/relationships/hyperlink" Target="https://drive.google.com/file/d/1NpKBYx8hiJAW2AfznpwoD5keALd1N-M5/view?usp=sharing" TargetMode="External"/><Relationship Id="rId28" Type="http://schemas.openxmlformats.org/officeDocument/2006/relationships/hyperlink" Target="https://drive.google.com/file/d/1uuZ5tbpn21sINUN4LwdVacaDh5Y-rd2y/view?usp=sharing" TargetMode="External"/><Relationship Id="rId27" Type="http://schemas.openxmlformats.org/officeDocument/2006/relationships/hyperlink" Target="https://drive.google.com/file/d/1abW16VqQVyP1kvZH5b_NqOI8VoDcjD7G/view?usp=sharing" TargetMode="External"/><Relationship Id="rId29" Type="http://schemas.openxmlformats.org/officeDocument/2006/relationships/hyperlink" Target="https://drive.google.com/file/d/1XYP8sSL8nmIZCWO_OFPQsXV2tk79_uag/view?usp=sharing" TargetMode="External"/><Relationship Id="rId11" Type="http://schemas.openxmlformats.org/officeDocument/2006/relationships/hyperlink" Target="https://drive.google.com/file/d/1G7PFQvTG4FuzTuV-n-NXnXMALFKf-d95/view?usp=drive_link" TargetMode="External"/><Relationship Id="rId10" Type="http://schemas.openxmlformats.org/officeDocument/2006/relationships/hyperlink" Target="https://drive.google.com/file/d/1v4BoGSc-3JFI_xYJQ8bZcuE7Uy3lA4pU/view?usp=drive_link" TargetMode="External"/><Relationship Id="rId13" Type="http://schemas.openxmlformats.org/officeDocument/2006/relationships/hyperlink" Target="https://drive.google.com/file/d/1DMgWHobfoT7XLdSqrgqxj5gczv_cJzxY/view?usp=sharing" TargetMode="External"/><Relationship Id="rId12" Type="http://schemas.openxmlformats.org/officeDocument/2006/relationships/hyperlink" Target="https://drive.google.com/file/d/1N-2uWCwCBQE-sEJjsZ_O3ThlNA0e_CYK/view?usp=sharing" TargetMode="External"/><Relationship Id="rId90" Type="http://schemas.openxmlformats.org/officeDocument/2006/relationships/table" Target="../tables/table7.xml"/><Relationship Id="rId15" Type="http://schemas.openxmlformats.org/officeDocument/2006/relationships/hyperlink" Target="https://drive.google.com/file/d/17RfAzrZqCFU2b4LJqzrN9Y7sYQlrLqSI/view?usp=sharing" TargetMode="External"/><Relationship Id="rId14" Type="http://schemas.openxmlformats.org/officeDocument/2006/relationships/hyperlink" Target="https://drive.google.com/file/d/1NNWuU0gOL065yEIta_yVeyBUeMuOJP0G/view?usp=sharing" TargetMode="External"/><Relationship Id="rId17" Type="http://schemas.openxmlformats.org/officeDocument/2006/relationships/hyperlink" Target="https://drive.google.com/file/d/1xPbr5zqiGkiw3XDDHPB8AcwS-eLEJoRg/view?usp=sharing" TargetMode="External"/><Relationship Id="rId16" Type="http://schemas.openxmlformats.org/officeDocument/2006/relationships/hyperlink" Target="https://drive.google.com/file/d/1hWTZlzELzDEg5SpqTpjualIubRVzBhay/view?usp=sharing" TargetMode="External"/><Relationship Id="rId19" Type="http://schemas.openxmlformats.org/officeDocument/2006/relationships/hyperlink" Target="https://drive.google.com/file/d/1t5eyWCJourpwjcegCgZVxyvaH_x10iIX/view?usp=drivesdk" TargetMode="External"/><Relationship Id="rId18" Type="http://schemas.openxmlformats.org/officeDocument/2006/relationships/hyperlink" Target="https://drive.google.com/file/d/1NHxqrLSswufWnvMwJr6vmqDFfzhdz8HF/view?usp=drivesdk" TargetMode="External"/><Relationship Id="rId84" Type="http://schemas.openxmlformats.org/officeDocument/2006/relationships/hyperlink" Target="https://drive.google.com/file/d/1IyU6NHgUkLO1XKDksmZGFf5WhAqawA5f/view?usp=sharing" TargetMode="External"/><Relationship Id="rId83" Type="http://schemas.openxmlformats.org/officeDocument/2006/relationships/hyperlink" Target="https://drive.google.com/file/d/1l-wGBkiasfCbmN89lm29ffoQ1eiT9-02/view?usp=sharing" TargetMode="External"/><Relationship Id="rId86" Type="http://schemas.openxmlformats.org/officeDocument/2006/relationships/hyperlink" Target="https://drive.google.com/file/d/1iBfNwp5rU7JPhOO4oZnewtCFXaLn8dDK/view?usp=sharing" TargetMode="External"/><Relationship Id="rId85" Type="http://schemas.openxmlformats.org/officeDocument/2006/relationships/hyperlink" Target="https://drive.google.com/file/d/1NJW79IBze_d8A2L0BI_-C65dPXCW19hw/view?usp=sharing" TargetMode="External"/><Relationship Id="rId88" Type="http://schemas.openxmlformats.org/officeDocument/2006/relationships/vmlDrawing" Target="../drawings/vmlDrawing2.vml"/><Relationship Id="rId87" Type="http://schemas.openxmlformats.org/officeDocument/2006/relationships/drawing" Target="../drawings/drawing7.xml"/><Relationship Id="rId80" Type="http://schemas.openxmlformats.org/officeDocument/2006/relationships/hyperlink" Target="https://drive.google.com/file/d/1bU5tg0R3jEVjH1bO6Mlj38pbZqbKXcjV/view?usp=drivesdk" TargetMode="External"/><Relationship Id="rId82" Type="http://schemas.openxmlformats.org/officeDocument/2006/relationships/hyperlink" Target="https://drive.google.com/file/d/1vXarNe1-okuRYjgpHUwI85WwU4DcASLp/view?usp=sharing" TargetMode="External"/><Relationship Id="rId81" Type="http://schemas.openxmlformats.org/officeDocument/2006/relationships/hyperlink" Target="https://drive.google.com/file/d/1N52F2IKefK4sS03bn7zzoFbgw4z7624J/view?usp=drive_link" TargetMode="External"/><Relationship Id="rId1" Type="http://schemas.openxmlformats.org/officeDocument/2006/relationships/comments" Target="../comments2.xml"/><Relationship Id="rId2" Type="http://schemas.openxmlformats.org/officeDocument/2006/relationships/hyperlink" Target="https://drive.google.com/file/d/1ICl4XvnvDVaULmKz_QtIpuT0kIcJ7JFD/view?usp=drive_link" TargetMode="External"/><Relationship Id="rId3" Type="http://schemas.openxmlformats.org/officeDocument/2006/relationships/hyperlink" Target="https://drive.google.com/file/d/104YvqGild8Vt808vVVGOTIsyetOmMifL/view?usp=drive_link" TargetMode="External"/><Relationship Id="rId4" Type="http://schemas.openxmlformats.org/officeDocument/2006/relationships/hyperlink" Target="https://drive.google.com/file/d/1nqg7XV4IOeYGBi_FvAFJf-ebhA5alDUF/view?usp=sharing" TargetMode="External"/><Relationship Id="rId9" Type="http://schemas.openxmlformats.org/officeDocument/2006/relationships/hyperlink" Target="https://drive.google.com/file/d/16JeH8-awyX4uUeDENa1aiKvKwMdXa8Lz/view?usp=sharing" TargetMode="External"/><Relationship Id="rId5" Type="http://schemas.openxmlformats.org/officeDocument/2006/relationships/hyperlink" Target="https://drive.google.com/file/d/1OBXuDm1nYAPG9Cxwx-5Lnx0Ont2-k6uH/view?usp=sharing" TargetMode="External"/><Relationship Id="rId6" Type="http://schemas.openxmlformats.org/officeDocument/2006/relationships/hyperlink" Target="https://drive.google.com/file/d/1JPurK8Ge1SfIzFUGmCdOb9qxw92ZfV0o/view?usp=sharing" TargetMode="External"/><Relationship Id="rId7" Type="http://schemas.openxmlformats.org/officeDocument/2006/relationships/hyperlink" Target="https://drive.google.com/file/d/1l31UUR3Sfkcuvgapc01Qp2Q5MYuSEy2J/view?usp=sharing" TargetMode="External"/><Relationship Id="rId8" Type="http://schemas.openxmlformats.org/officeDocument/2006/relationships/hyperlink" Target="https://docs.google.com/document/d/1GM-rbGSFSwRbcBjh9naWdoBGLBKlgElz/edit?usp=sharing&amp;ouid=109871065382861790898&amp;rtpof=true&amp;sd=true" TargetMode="External"/><Relationship Id="rId73" Type="http://schemas.openxmlformats.org/officeDocument/2006/relationships/hyperlink" Target="https://drive.google.com/file/d/1TLkQuvM3F_8C3taoEVPk2iD255XPEtBf/view?usp=drivesdk" TargetMode="External"/><Relationship Id="rId72" Type="http://schemas.openxmlformats.org/officeDocument/2006/relationships/hyperlink" Target="https://drive.google.com/drive/folders/1Go8TqR-ioMJ8zYb8wMeSqzrABmeyaJ3x?usp=drive_link" TargetMode="External"/><Relationship Id="rId75" Type="http://schemas.openxmlformats.org/officeDocument/2006/relationships/hyperlink" Target="https://drive.google.com/file/d/1FIsbD7p0ZiIlAxB4w67DVVQf4V7kMIMX/view?usp=drive_link" TargetMode="External"/><Relationship Id="rId74" Type="http://schemas.openxmlformats.org/officeDocument/2006/relationships/hyperlink" Target="https://drive.google.com/file/d/1gmbB0rn4vzxoLo-be7ugHWdmgT8g-8-X/view?usp=drivesdk" TargetMode="External"/><Relationship Id="rId77" Type="http://schemas.openxmlformats.org/officeDocument/2006/relationships/hyperlink" Target="https://drive.google.com/file/d/189JBiJpr3DZtvy8kop9NJytM3CEkpj7h/view?usp=sharing" TargetMode="External"/><Relationship Id="rId76" Type="http://schemas.openxmlformats.org/officeDocument/2006/relationships/hyperlink" Target="https://drive.google.com/file/d/1r2bUjtiMNAEyeLmkqLopv__ejcWHBoWo/view?usp=sharing" TargetMode="External"/><Relationship Id="rId79" Type="http://schemas.openxmlformats.org/officeDocument/2006/relationships/hyperlink" Target="https://drive.google.com/file/d/1TYl72mKnRxrosy3lEQqUl5Jh4g-Tdb4g/view?usp=drivesdk" TargetMode="External"/><Relationship Id="rId78" Type="http://schemas.openxmlformats.org/officeDocument/2006/relationships/hyperlink" Target="https://drive.google.com/file/d/1s7mrOjuyjUbX5q042e1wqbeetiTbBqXA/view?usp=sharing" TargetMode="External"/><Relationship Id="rId71" Type="http://schemas.openxmlformats.org/officeDocument/2006/relationships/hyperlink" Target="https://drive.google.com/drive/folders/1fK2mCzzHgy2V8EK3W85fShMvDOZf_TME?usp=drive_link" TargetMode="External"/><Relationship Id="rId70" Type="http://schemas.openxmlformats.org/officeDocument/2006/relationships/hyperlink" Target="https://drive.google.com/file/d/1qas9XfSxuMx-2vt6KN4Mt0AbOD79qgsb/view?usp=sharing" TargetMode="External"/><Relationship Id="rId62" Type="http://schemas.openxmlformats.org/officeDocument/2006/relationships/hyperlink" Target="https://drive.google.com/file/d/15mwRkXLr_nCW1QTHNTsoVpOHfm87Bm_E/view?usp=drive_link" TargetMode="External"/><Relationship Id="rId61" Type="http://schemas.openxmlformats.org/officeDocument/2006/relationships/hyperlink" Target="https://drive.google.com/file/d/1YwcPdkKa-Q_XtNzIdFoIZX45y5OE-OwQ/view?usp=drive_link" TargetMode="External"/><Relationship Id="rId64" Type="http://schemas.openxmlformats.org/officeDocument/2006/relationships/hyperlink" Target="https://drive.google.com/file/d/1Mt2IX9ojnCtNiGz30yBc6NqBGaSGAwI5/view?usp=drivesdk" TargetMode="External"/><Relationship Id="rId63" Type="http://schemas.openxmlformats.org/officeDocument/2006/relationships/hyperlink" Target="https://drive.google.com/file/d/1LD_qcJGhcV_7lHjfyh2o0u-X7uwI08jZ/view?usp=drivesdk" TargetMode="External"/><Relationship Id="rId66" Type="http://schemas.openxmlformats.org/officeDocument/2006/relationships/hyperlink" Target="https://drive.google.com/file/d/10VWoKFkMMs8mzOokxAbWriWh5QMJo9Hv/view?usp=sharing" TargetMode="External"/><Relationship Id="rId65" Type="http://schemas.openxmlformats.org/officeDocument/2006/relationships/hyperlink" Target="https://drive.google.com/file/d/1PiOCR1XAQ5EgoWDYt_ZaxK3V65uKeHb3/view?usp=sharing" TargetMode="External"/><Relationship Id="rId68" Type="http://schemas.openxmlformats.org/officeDocument/2006/relationships/hyperlink" Target="https://drive.google.com/file/d/1Gpg3_ZQ4ybQZ_MMGK1sWZMJi5YpuK90W/view?usp=sharing" TargetMode="External"/><Relationship Id="rId67" Type="http://schemas.openxmlformats.org/officeDocument/2006/relationships/hyperlink" Target="https://drive.google.com/file/d/1tden2CsZtn674Zey7tujeBcc8ZXGWS7n/view?usp=sharing" TargetMode="External"/><Relationship Id="rId60" Type="http://schemas.openxmlformats.org/officeDocument/2006/relationships/hyperlink" Target="https://drive.google.com/drive/folders/14ueged7XoQcvr3mC-0CjMpaObvGN-mN6" TargetMode="External"/><Relationship Id="rId69" Type="http://schemas.openxmlformats.org/officeDocument/2006/relationships/hyperlink" Target="https://drive.google.com/file/d/1uymNbN4hvbWhbknV5QOTHiJJ2nWbwKAD/view?usp=sharing" TargetMode="External"/><Relationship Id="rId51" Type="http://schemas.openxmlformats.org/officeDocument/2006/relationships/hyperlink" Target="https://drive.google.com/file/d/1QkoIY9PYtn_Kn0odHCVF_eCs1GL_LL7H/view?usp=sharing" TargetMode="External"/><Relationship Id="rId50" Type="http://schemas.openxmlformats.org/officeDocument/2006/relationships/hyperlink" Target="https://drive.google.com/file/d/1hO8tVL-__8mfrnHsXPzgu8vYEwNhYXuq/view?usp=drivesdk" TargetMode="External"/><Relationship Id="rId53" Type="http://schemas.openxmlformats.org/officeDocument/2006/relationships/hyperlink" Target="https://drive.google.com/file/d/1wNijDfrP4LF9be340SUW75ueuH9BZAWA/view?usp=sharing" TargetMode="External"/><Relationship Id="rId52" Type="http://schemas.openxmlformats.org/officeDocument/2006/relationships/hyperlink" Target="https://drive.google.com/file/d/1ZIkQhOd4JUVDxQWDwnDwQ-O-tVp793Ke/view?usp=sharing" TargetMode="External"/><Relationship Id="rId55" Type="http://schemas.openxmlformats.org/officeDocument/2006/relationships/hyperlink" Target="https://drive.google.com/file/d/1fauON1AuY7RdjbIqtnKsKDr95rYzToOf/view?usp=drivesdk" TargetMode="External"/><Relationship Id="rId54" Type="http://schemas.openxmlformats.org/officeDocument/2006/relationships/hyperlink" Target="https://drive.google.com/file/d/1MpnEt5RlFbF8VyHX11MSIZWarOZtdK39/view?usp=sharing" TargetMode="External"/><Relationship Id="rId57" Type="http://schemas.openxmlformats.org/officeDocument/2006/relationships/hyperlink" Target="https://drive.google.com/file/d/1UpPdqNxKPc_sr1wGrrA54V7ggYuBblY8/view?usp=sharing" TargetMode="External"/><Relationship Id="rId56" Type="http://schemas.openxmlformats.org/officeDocument/2006/relationships/hyperlink" Target="https://drive.google.com/file/d/1-wk4Alp17pd5hTtccdTFge6LHWbag1dj/view?usp=drivesdk" TargetMode="External"/><Relationship Id="rId59" Type="http://schemas.openxmlformats.org/officeDocument/2006/relationships/hyperlink" Target="https://drive.google.com/drive/folders/14ueged7XoQcvr3mC-0CjMpaObvGN-mN6" TargetMode="External"/><Relationship Id="rId58" Type="http://schemas.openxmlformats.org/officeDocument/2006/relationships/hyperlink" Target="https://drive.google.com/file/d/14bQmbEdmUXmm8Av1ERL5ZGJE_Yj1qS1T/view?usp=sharing"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file/d/1gmbB0rn4vzxoLo-be7ugHWdmgT8g-8-X/view?usp=drivesdk" TargetMode="External"/><Relationship Id="rId42" Type="http://schemas.openxmlformats.org/officeDocument/2006/relationships/hyperlink" Target="https://drive.google.com/file/d/1qfzollNy58x96ohFuMZWqQr9ZgftfpEq/view?usp=sharing" TargetMode="External"/><Relationship Id="rId41" Type="http://schemas.openxmlformats.org/officeDocument/2006/relationships/hyperlink" Target="https://drive.google.com/file/d/1o-avkZpdw09qQgwACqZxaK6R3vGbtuyc/view?usp=sharing" TargetMode="External"/><Relationship Id="rId44" Type="http://schemas.openxmlformats.org/officeDocument/2006/relationships/hyperlink" Target="https://drive.google.com/file/d/1LUWU7KY2EPm0ug60MGROJdoFgj3Mw16T/view?usp=drivesdk" TargetMode="External"/><Relationship Id="rId43" Type="http://schemas.openxmlformats.org/officeDocument/2006/relationships/hyperlink" Target="https://drive.google.com/file/d/1oKKOodJgmmXPBbjHl_i5tF1zxpxIB6Bz/view?usp=sharing" TargetMode="External"/><Relationship Id="rId46" Type="http://schemas.openxmlformats.org/officeDocument/2006/relationships/hyperlink" Target="https://drive.google.com/file/d/1zaT8ZJ2jJHPAfeKp2TSEiXos49xSNRXY/view?usp=sharing" TargetMode="External"/><Relationship Id="rId45" Type="http://schemas.openxmlformats.org/officeDocument/2006/relationships/hyperlink" Target="https://drive.google.com/file/d/1G_QMmaFB4wekPSEsWOew199x78W4TLBb/view?usp=sharing" TargetMode="External"/><Relationship Id="rId48" Type="http://schemas.openxmlformats.org/officeDocument/2006/relationships/hyperlink" Target="https://drive.google.com/file/d/1QOQeKWtuGhF5cwH56HAjkmSv8KR3RIAd/view?usp=drive_link" TargetMode="External"/><Relationship Id="rId47" Type="http://schemas.openxmlformats.org/officeDocument/2006/relationships/hyperlink" Target="https://docs.google.com/document/d/1Ct8QqNcwRlTr6f40k70SrF5yj2dDJShssV3-a9SiPTY/edit?usp=sharing" TargetMode="External"/><Relationship Id="rId49" Type="http://schemas.openxmlformats.org/officeDocument/2006/relationships/hyperlink" Target="https://drive.google.com/file/d/1_XKfMwRib59rb-TqGttiOE1gHSNEdEVt/view?usp=sharing" TargetMode="External"/><Relationship Id="rId31" Type="http://schemas.openxmlformats.org/officeDocument/2006/relationships/hyperlink" Target="https://drive.google.com/file/d/1j-xBhK7qZC5dClp4XJrHYg31WLTukuDg/view?usp=sharing" TargetMode="External"/><Relationship Id="rId30" Type="http://schemas.openxmlformats.org/officeDocument/2006/relationships/hyperlink" Target="https://drive.google.com/file/d/1BXU2iU5i0HH_CDohoT6zJuBe_b0S0Qlb/view?usp=sharing" TargetMode="External"/><Relationship Id="rId33" Type="http://schemas.openxmlformats.org/officeDocument/2006/relationships/hyperlink" Target="https://drive.google.com/file/d/1cLhXsH7KuOcLg3-3gLUDfwMIhqyN5hlx/view?usp=sharing" TargetMode="External"/><Relationship Id="rId32" Type="http://schemas.openxmlformats.org/officeDocument/2006/relationships/hyperlink" Target="https://drive.google.com/file/d/1Kvc82c-KvjGsxMmPICtiDlmhMVHXkqKz/view?usp=sharing" TargetMode="External"/><Relationship Id="rId35" Type="http://schemas.openxmlformats.org/officeDocument/2006/relationships/hyperlink" Target="https://drive.google.com/file/d/1k5ikfdOzivddft9HmkYAJn4ZClvTa5TK/view?usp=sharing" TargetMode="External"/><Relationship Id="rId34" Type="http://schemas.openxmlformats.org/officeDocument/2006/relationships/hyperlink" Target="https://drive.google.com/file/d/1Hd5Dnokm0yF4Xiv1QxiAivkdEoF5ssSt/view?usp=sharing" TargetMode="External"/><Relationship Id="rId37" Type="http://schemas.openxmlformats.org/officeDocument/2006/relationships/hyperlink" Target="https://drive.google.com/file/d/1eyfd-nKG1JBhJAJ-viY-_jpEtss_brjJ/view?usp=sharing" TargetMode="External"/><Relationship Id="rId36" Type="http://schemas.openxmlformats.org/officeDocument/2006/relationships/hyperlink" Target="https://drive.google.com/file/d/1H6Q_khePBI42DV7irib2apiFWq37ebXE/view?usp=sharing" TargetMode="External"/><Relationship Id="rId39" Type="http://schemas.openxmlformats.org/officeDocument/2006/relationships/hyperlink" Target="https://drive.google.com/file/d/1TLkQuvM3F_8C3taoEVPk2iD255XPEtBf/view?usp=drivesdk" TargetMode="External"/><Relationship Id="rId38" Type="http://schemas.openxmlformats.org/officeDocument/2006/relationships/hyperlink" Target="https://drive.google.com/file/d/1O06XLBiYr9fZ3QiEzFplRBOBYvKZyuaS/view?usp=sharing" TargetMode="External"/><Relationship Id="rId20" Type="http://schemas.openxmlformats.org/officeDocument/2006/relationships/hyperlink" Target="https://drive.google.com/file/d/1m28anVmeMk94rr4T04G-Zhb8E2v8oxOo/view?usp=sharing" TargetMode="External"/><Relationship Id="rId22" Type="http://schemas.openxmlformats.org/officeDocument/2006/relationships/hyperlink" Target="https://drive.google.com/file/d/1xRqZgrClW1OZ5FE8Ypk05hUX4E5NMmMF/view?usp=drive_link" TargetMode="External"/><Relationship Id="rId21" Type="http://schemas.openxmlformats.org/officeDocument/2006/relationships/hyperlink" Target="https://drive.google.com/file/d/1WCm4c4Of4DRncP7WqPcpSwpT1MmmWaGN/view?usp=drive_link" TargetMode="External"/><Relationship Id="rId24" Type="http://schemas.openxmlformats.org/officeDocument/2006/relationships/hyperlink" Target="https://drive.google.com/file/d/17b2G8j1HOa1rTveYtlvTlR8VRN4My1sO/view?usp=drive_link" TargetMode="External"/><Relationship Id="rId23" Type="http://schemas.openxmlformats.org/officeDocument/2006/relationships/hyperlink" Target="https://drive.google.com/file/d/1WuBaxrmqveTCFXkvQ_9AHAA0F0sKa8L5/view?usp=drive_link" TargetMode="External"/><Relationship Id="rId26" Type="http://schemas.openxmlformats.org/officeDocument/2006/relationships/hyperlink" Target="https://drive.google.com/file/d/1SvkkqMmszEemQNIMMjUqRXSbNn160f_8/view?usp=sharing" TargetMode="External"/><Relationship Id="rId25" Type="http://schemas.openxmlformats.org/officeDocument/2006/relationships/hyperlink" Target="https://drive.google.com/file/d/1Ns_mYzSMTjETrzkrej4xzQtKYtlEWQpI/view?usp=sharing" TargetMode="External"/><Relationship Id="rId28" Type="http://schemas.openxmlformats.org/officeDocument/2006/relationships/hyperlink" Target="https://drive.google.com/file/d/1Tp61WCJSWJe6EX18N6Q2ftvx_UVu1HPv/view?usp=drive_link" TargetMode="External"/><Relationship Id="rId27" Type="http://schemas.openxmlformats.org/officeDocument/2006/relationships/hyperlink" Target="https://drive.google.com/file/d/1x8ryKjDfPJtgnivLsLd90OqckAeNvG2w/view?usp=drive_link" TargetMode="External"/><Relationship Id="rId29" Type="http://schemas.openxmlformats.org/officeDocument/2006/relationships/hyperlink" Target="https://drive.google.com/file/d/15q2VR9u5KD2RiSIkslbr5FZj75JwWZ6i/view?usp=sharing" TargetMode="External"/><Relationship Id="rId11" Type="http://schemas.openxmlformats.org/officeDocument/2006/relationships/hyperlink" Target="https://drive.google.com/file/d/1LvESCxXVX7xYxmIv9kSf_CgYI9fIv0Ll/view?usp=drive_link" TargetMode="External"/><Relationship Id="rId10" Type="http://schemas.openxmlformats.org/officeDocument/2006/relationships/hyperlink" Target="https://drive.google.com/file/d/1eqYqkXW0CojtJb9NSHOiyEipnSWUUfAa/view?usp=sharing" TargetMode="External"/><Relationship Id="rId13" Type="http://schemas.openxmlformats.org/officeDocument/2006/relationships/hyperlink" Target="https://drive.google.com/file/d/1ZUllzGsFyYICqMj0rlXoRt2vj9dAK-qP/view?usp=sharing" TargetMode="External"/><Relationship Id="rId12" Type="http://schemas.openxmlformats.org/officeDocument/2006/relationships/hyperlink" Target="https://drive.google.com/file/d/1bF7NWnv4SPJun9sdWBm7nfLUIze7iJ8F/view?usp=sharing" TargetMode="External"/><Relationship Id="rId15" Type="http://schemas.openxmlformats.org/officeDocument/2006/relationships/hyperlink" Target="https://drive.google.com/drive/folders/1DxCNiLRMTTEWCqSVbI9SSvRXaYlMnBzw?usp=sharing" TargetMode="External"/><Relationship Id="rId14" Type="http://schemas.openxmlformats.org/officeDocument/2006/relationships/hyperlink" Target="https://drive.google.com/file/d/16v4fMMffnJDyQBt71Mr4oBPKPNjjqZuz/view?usp=sharing" TargetMode="External"/><Relationship Id="rId17" Type="http://schemas.openxmlformats.org/officeDocument/2006/relationships/hyperlink" Target="https://drive.google.com/file/d/17Ko2PAmnh4ohNNagB0tPW2kT-XGiAaqR/view?usp=sharing" TargetMode="External"/><Relationship Id="rId16" Type="http://schemas.openxmlformats.org/officeDocument/2006/relationships/hyperlink" Target="https://drive.google.com/file/d/19LjDiPDybot0ylCD4TzxmNh0_kz8RgYG/view?usp=sharing" TargetMode="External"/><Relationship Id="rId19" Type="http://schemas.openxmlformats.org/officeDocument/2006/relationships/hyperlink" Target="https://drive.google.com/drive/folders/1199vmxAOAw3V7P3-L7KBt9YgmHE-c0iJ?usp=sharing" TargetMode="External"/><Relationship Id="rId18" Type="http://schemas.openxmlformats.org/officeDocument/2006/relationships/hyperlink" Target="https://drive.google.com/file/d/1vML_nkxuaJvm8jEDR2SHxdm7kxk60Cvl/view?usp=drive_link" TargetMode="External"/><Relationship Id="rId1" Type="http://schemas.openxmlformats.org/officeDocument/2006/relationships/hyperlink" Target="https://drive.google.com/file/d/1Nl9YZW3Vw2JMMPem0E-GVH8tXaZdaQ6k/view?usp=sharing" TargetMode="External"/><Relationship Id="rId2" Type="http://schemas.openxmlformats.org/officeDocument/2006/relationships/hyperlink" Target="https://drive.google.com/file/d/1qLfSx_5m0L24HPkCeCVmkEj2yNZ-DqJv/view?usp=drive_link" TargetMode="External"/><Relationship Id="rId3" Type="http://schemas.openxmlformats.org/officeDocument/2006/relationships/hyperlink" Target="https://drive.google.com/file/d/1o2PQmDjUG0lB2ZdPPwvIwoDwBIes0JUh/view?usp=drivesdk" TargetMode="External"/><Relationship Id="rId4" Type="http://schemas.openxmlformats.org/officeDocument/2006/relationships/hyperlink" Target="https://drive.google.com/file/d/1Ucq-3ay1Fi5IbJz7QuWlZcX5liyp06Yt/view?usp=drivesdk" TargetMode="External"/><Relationship Id="rId9" Type="http://schemas.openxmlformats.org/officeDocument/2006/relationships/hyperlink" Target="https://drive.google.com/file/d/1nvL01xLUhpZP-nPnmEYQE0YNT2r_O_bV/view?usp=sharing" TargetMode="External"/><Relationship Id="rId5" Type="http://schemas.openxmlformats.org/officeDocument/2006/relationships/hyperlink" Target="https://drive.google.com/file/d/11IWTqo2_TPXCqLk6fySiuXhT5YGrAwB5/view?usp=sharing" TargetMode="External"/><Relationship Id="rId6" Type="http://schemas.openxmlformats.org/officeDocument/2006/relationships/hyperlink" Target="https://drive.google.com/file/d/1ie85Cs5Wya4qy8ZfeNAp-lGHXTqV3Rbp/view?usp=sharing" TargetMode="External"/><Relationship Id="rId7" Type="http://schemas.openxmlformats.org/officeDocument/2006/relationships/hyperlink" Target="https://drive.google.com/file/d/1nmK3YhD3pvrqYIAQA3Xcl9NlEGeM8c94/view?usp=sharing" TargetMode="External"/><Relationship Id="rId8" Type="http://schemas.openxmlformats.org/officeDocument/2006/relationships/hyperlink" Target="https://drive.google.com/file/d/11Xn_dR25H7SDxcc5x0ctmSrPLuuUtdVQ/view?usp=sharing" TargetMode="External"/><Relationship Id="rId62" Type="http://schemas.openxmlformats.org/officeDocument/2006/relationships/hyperlink" Target="https://drive.google.com/file/d/1A78lLnB2s1TE5plFOJn_frQ1Ktc8JbPk/view?usp=drivesdk" TargetMode="External"/><Relationship Id="rId61" Type="http://schemas.openxmlformats.org/officeDocument/2006/relationships/hyperlink" Target="https://drive.google.com/file/d/1oaYewxCNzidaZ90h8z17aWI_d9FwHu3l/view?usp=drivesdk" TargetMode="External"/><Relationship Id="rId64" Type="http://schemas.openxmlformats.org/officeDocument/2006/relationships/hyperlink" Target="https://drive.google.com/file/d/1kcVhDIfv6xvjL80xocZd7aGWx_yZoNjo/view?usp=drive_link" TargetMode="External"/><Relationship Id="rId63" Type="http://schemas.openxmlformats.org/officeDocument/2006/relationships/hyperlink" Target="https://drive.google.com/file/d/17_cI-ot2GbgxmkhsaJWPazwswh0fIu2v/view?usp=sharing" TargetMode="External"/><Relationship Id="rId66" Type="http://schemas.openxmlformats.org/officeDocument/2006/relationships/hyperlink" Target="https://drive.google.com/file/d/1LM-hg2In2BHUFEgrawFo78l6m4VrAL3x/view?usp=sharing" TargetMode="External"/><Relationship Id="rId65" Type="http://schemas.openxmlformats.org/officeDocument/2006/relationships/hyperlink" Target="https://drive.google.com/file/d/1zdIJCKfQm16lBWSAWTPoA10S3-9voN3E/view?usp=drive_link" TargetMode="External"/><Relationship Id="rId67" Type="http://schemas.openxmlformats.org/officeDocument/2006/relationships/drawing" Target="../drawings/drawing8.xml"/><Relationship Id="rId60" Type="http://schemas.openxmlformats.org/officeDocument/2006/relationships/hyperlink" Target="https://drive.google.com/file/d/1r5aQgZVKt0QYV9eKmGXlsfEUT1hyX3N5/view?usp=sharing" TargetMode="External"/><Relationship Id="rId69" Type="http://schemas.openxmlformats.org/officeDocument/2006/relationships/table" Target="../tables/table8.xml"/><Relationship Id="rId51" Type="http://schemas.openxmlformats.org/officeDocument/2006/relationships/hyperlink" Target="https://drive.google.com/file/d/1rqrglP1MI3dYbLfWzObpHSc8tPCbs2VX/view?usp=sharing" TargetMode="External"/><Relationship Id="rId50" Type="http://schemas.openxmlformats.org/officeDocument/2006/relationships/hyperlink" Target="https://drive.google.com/file/d/1zvMBwHTHK-Bu_bsdGSOYCZ6h6BGas1U1/view?usp=sharing" TargetMode="External"/><Relationship Id="rId53" Type="http://schemas.openxmlformats.org/officeDocument/2006/relationships/hyperlink" Target="https://drive.google.com/file/d/1q9sr5vpfPJMEbxg4uZ4au1Pmt8hYluRA/view?usp=drivesdk" TargetMode="External"/><Relationship Id="rId52" Type="http://schemas.openxmlformats.org/officeDocument/2006/relationships/hyperlink" Target="https://drive.google.com/file/d/1w2qail3ISTAsAP_Mt9EHbxdrcCGUdgCB/view?usp=sharing" TargetMode="External"/><Relationship Id="rId55" Type="http://schemas.openxmlformats.org/officeDocument/2006/relationships/hyperlink" Target="https://drive.google.com/file/d/1h90LB1758gayWXjDgQQShjH2u1U31wJQ/view?usp=sharing" TargetMode="External"/><Relationship Id="rId54" Type="http://schemas.openxmlformats.org/officeDocument/2006/relationships/hyperlink" Target="https://drive.google.com/file/d/1q8Qak1ATuHxIOt0XCo1RkZ3Toe2mzhUe/view?usp=drivesdk" TargetMode="External"/><Relationship Id="rId57" Type="http://schemas.openxmlformats.org/officeDocument/2006/relationships/hyperlink" Target="https://drive.google.com/file/d/1Ep4hoUgKy6sNNW7vGSZcQkoFUXz2SeGE/view?usp=sharing" TargetMode="External"/><Relationship Id="rId56" Type="http://schemas.openxmlformats.org/officeDocument/2006/relationships/hyperlink" Target="https://drive.google.com/file/d/1nzX5rqaapgfqE69VO8J3pi7PxvOxrChr/view?usp=sharing" TargetMode="External"/><Relationship Id="rId59" Type="http://schemas.openxmlformats.org/officeDocument/2006/relationships/hyperlink" Target="https://drive.google.com/file/d/1SX5e88aONI_SfHlbDDhDF_-CQsG2W3Kg/view?usp=sharing" TargetMode="External"/><Relationship Id="rId58" Type="http://schemas.openxmlformats.org/officeDocument/2006/relationships/hyperlink" Target="https://drive.google.com/file/d/1UO-Ht79OJm-DB3cYVAX3khixvuKookCf/view?usp=sharing"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FdE5vRZ0AUTwpF4lor-Cl5HK4IIJYyBr/view?usp=sharing" TargetMode="External"/><Relationship Id="rId42" Type="http://schemas.openxmlformats.org/officeDocument/2006/relationships/hyperlink" Target="https://drive.google.com/file/d/1QIKNOmw4v7sx7ZUmmf6MA8_MGQ3SO_j3/view?usp=sharing" TargetMode="External"/><Relationship Id="rId41" Type="http://schemas.openxmlformats.org/officeDocument/2006/relationships/hyperlink" Target="https://drive.google.com/file/d/1ZgPZdWs-4-gz_Nk8DoLISIFLljBpdPld/view?usp=sharing" TargetMode="External"/><Relationship Id="rId44" Type="http://schemas.openxmlformats.org/officeDocument/2006/relationships/hyperlink" Target="https://drive.google.com/drive/folders/1vkiPiML-Mvn-Ccy-csQ1llqqBwCjeHA6?usp=sharing" TargetMode="External"/><Relationship Id="rId43" Type="http://schemas.openxmlformats.org/officeDocument/2006/relationships/hyperlink" Target="https://drive.google.com/file/d/1mb_z_i5jSq-3jkBIOFwhSH6Y6FSb34hd/view?usp=sharing" TargetMode="External"/><Relationship Id="rId46" Type="http://schemas.openxmlformats.org/officeDocument/2006/relationships/hyperlink" Target="https://drive.google.com/file/d/18chfh25ETAO_QxHf6WqW3Gl_iSk9mNcK/view?usp=sharing" TargetMode="External"/><Relationship Id="rId45" Type="http://schemas.openxmlformats.org/officeDocument/2006/relationships/hyperlink" Target="https://drive.google.com/file/d/1AtR2B02Va2xmDG8uICY4uK3B-tHv9pMP/view?usp=sharing" TargetMode="External"/><Relationship Id="rId48" Type="http://schemas.openxmlformats.org/officeDocument/2006/relationships/hyperlink" Target="https://drive.google.com/file/d/1p7lGKMC9QgpJzhIicXUJwcR0TmYxrn_U/view?usp=drive_link" TargetMode="External"/><Relationship Id="rId47" Type="http://schemas.openxmlformats.org/officeDocument/2006/relationships/hyperlink" Target="https://drive.google.com/file/d/1Mt2IX9ojnCtNiGz30yBc6NqBGaSGAwI5/view?usp=drivesdk" TargetMode="External"/><Relationship Id="rId49" Type="http://schemas.openxmlformats.org/officeDocument/2006/relationships/hyperlink" Target="https://drive.google.com/file/d/1zxSn6VUduXpMRAgg7QPsMqCpvRPfD77P/view?usp=drive_link" TargetMode="External"/><Relationship Id="rId31" Type="http://schemas.openxmlformats.org/officeDocument/2006/relationships/hyperlink" Target="https://drive.google.com/file/d/17owpwBK8XDOztVMb65SZwugPvDx5TxTd/view?usp=sharing" TargetMode="External"/><Relationship Id="rId30" Type="http://schemas.openxmlformats.org/officeDocument/2006/relationships/hyperlink" Target="https://drive.google.com/file/d/1sJTI6UbWmlqtP-iRAdGYOq4il1M3EBQP/view?usp=sharing" TargetMode="External"/><Relationship Id="rId33" Type="http://schemas.openxmlformats.org/officeDocument/2006/relationships/hyperlink" Target="https://drive.google.com/file/d/1YjS8nIXDIMFaZc05ErRxzn4oddepUtSs/view?usp=drive_link" TargetMode="External"/><Relationship Id="rId32" Type="http://schemas.openxmlformats.org/officeDocument/2006/relationships/hyperlink" Target="https://drive.google.com/file/d/1OSdsf-K_mhaINRnT4A-7bhWPtKid1Est/view?usp=drive_link" TargetMode="External"/><Relationship Id="rId35" Type="http://schemas.openxmlformats.org/officeDocument/2006/relationships/hyperlink" Target="https://drive.google.com/drive/folders/1u2SZDdmETHMdoxLpGK2te0m46KpK4W5b?usp=sharing" TargetMode="External"/><Relationship Id="rId34" Type="http://schemas.openxmlformats.org/officeDocument/2006/relationships/hyperlink" Target="https://drive.google.com/drive/folders/1u2SZDdmETHMdoxLpGK2te0m46KpK4W5b?usp=sharing" TargetMode="External"/><Relationship Id="rId37" Type="http://schemas.openxmlformats.org/officeDocument/2006/relationships/hyperlink" Target="https://drive.google.com/file/d/1lIIjxU9wRsvSqkTxIDJ5Yg0HroeKUmsi/view?usp=sharing" TargetMode="External"/><Relationship Id="rId36" Type="http://schemas.openxmlformats.org/officeDocument/2006/relationships/hyperlink" Target="https://drive.google.com/file/d/1-lOxwgw9zWIPMTzSdpMIxPGg5cRhf6D3/view?usp=sharing" TargetMode="External"/><Relationship Id="rId39" Type="http://schemas.openxmlformats.org/officeDocument/2006/relationships/hyperlink" Target="https://drive.google.com/file/d/1OBXuDm1nYAPG9Cxwx-5Lnx0Ont2-k6uH/view?usp=sharing" TargetMode="External"/><Relationship Id="rId38" Type="http://schemas.openxmlformats.org/officeDocument/2006/relationships/hyperlink" Target="https://drive.google.com/file/d/1nqg7XV4IOeYGBi_FvAFJf-ebhA5alDUF/view?usp=sharing" TargetMode="External"/><Relationship Id="rId20" Type="http://schemas.openxmlformats.org/officeDocument/2006/relationships/hyperlink" Target="https://drive.google.com/file/d/17NVSrZH4a6YLyB0QmBk6O_RD9UFQuxDU/view?usp=sharing" TargetMode="External"/><Relationship Id="rId22" Type="http://schemas.openxmlformats.org/officeDocument/2006/relationships/hyperlink" Target="https://drive.google.com/file/d/1Z4MqYh1eYb5zS1qK5UPDMyVfesNA-5Eo/view?usp=sharing" TargetMode="External"/><Relationship Id="rId21" Type="http://schemas.openxmlformats.org/officeDocument/2006/relationships/hyperlink" Target="https://drive.google.com/file/d/1pOj_ZE1E26W04SFCJGoly7MVc71fYpKV/view?usp=sharing" TargetMode="External"/><Relationship Id="rId24" Type="http://schemas.openxmlformats.org/officeDocument/2006/relationships/hyperlink" Target="https://drive.google.com/file/d/1TzF6gekxHWhAaHSf6LRf2Jugb_SMMAzl/view?usp=drive_link" TargetMode="External"/><Relationship Id="rId23" Type="http://schemas.openxmlformats.org/officeDocument/2006/relationships/hyperlink" Target="https://drive.google.com/file/d/1_qLCAUoD2_mHD20HkzZXe5cpC4vhjMV9/view?usp=sharing" TargetMode="External"/><Relationship Id="rId26" Type="http://schemas.openxmlformats.org/officeDocument/2006/relationships/hyperlink" Target="https://drive.google.com/file/d/1n-m9_pjxgqPAYdCUaCcKFlt5phq_KrlO/view?usp=sharing" TargetMode="External"/><Relationship Id="rId25" Type="http://schemas.openxmlformats.org/officeDocument/2006/relationships/hyperlink" Target="https://drive.google.com/file/d/1Jqrqt4lH8ungMBYGoJa-N8r4UdGwozRe/view?usp=drive_link" TargetMode="External"/><Relationship Id="rId28" Type="http://schemas.openxmlformats.org/officeDocument/2006/relationships/hyperlink" Target="https://drive.google.com/file/d/1luUnj_gunRXjBFhntu7JkzM3jbPHvxwt/view?usp=sharing" TargetMode="External"/><Relationship Id="rId27" Type="http://schemas.openxmlformats.org/officeDocument/2006/relationships/hyperlink" Target="https://drive.google.com/file/d/1u2g97NPTVjya1GCZ41RN6nnaMQNUuwF1/view?usp=sharing" TargetMode="External"/><Relationship Id="rId29" Type="http://schemas.openxmlformats.org/officeDocument/2006/relationships/hyperlink" Target="https://drive.google.com/file/d/1zvMBwHTHK-Bu_bsdGSOYCZ6h6BGas1U1/view?usp=sharing" TargetMode="External"/><Relationship Id="rId11" Type="http://schemas.openxmlformats.org/officeDocument/2006/relationships/hyperlink" Target="https://drive.google.com/file/d/1HeogJqnbL25sXdLYb4KmnYUwA-Oq9kYd/view?usp=sharing" TargetMode="External"/><Relationship Id="rId10" Type="http://schemas.openxmlformats.org/officeDocument/2006/relationships/hyperlink" Target="https://drive.google.com/file/d/1WaUn5Mag3DKSkFcVaNaasyDeOIG_BZys/view?usp=sharing" TargetMode="External"/><Relationship Id="rId13" Type="http://schemas.openxmlformats.org/officeDocument/2006/relationships/hyperlink" Target="https://drive.google.com/file/d/1IUMYL-O_OSzLfHsEsIEwUH3D-d_LSH15/view?usp=sharing" TargetMode="External"/><Relationship Id="rId12" Type="http://schemas.openxmlformats.org/officeDocument/2006/relationships/hyperlink" Target="https://drive.google.com/file/d/1IUMYL-O_OSzLfHsEsIEwUH3D-d_LSH15/view?usp=sharing" TargetMode="External"/><Relationship Id="rId91" Type="http://schemas.openxmlformats.org/officeDocument/2006/relationships/table" Target="../tables/table9.xml"/><Relationship Id="rId15" Type="http://schemas.openxmlformats.org/officeDocument/2006/relationships/hyperlink" Target="https://drive.google.com/file/d/1l31UUR3Sfkcuvgapc01Qp2Q5MYuSEy2J/view?usp=sharing" TargetMode="External"/><Relationship Id="rId14" Type="http://schemas.openxmlformats.org/officeDocument/2006/relationships/hyperlink" Target="https://drive.google.com/file/d/1JPurK8Ge1SfIzFUGmCdOb9qxw92ZfV0o/view?usp=sharing" TargetMode="External"/><Relationship Id="rId17" Type="http://schemas.openxmlformats.org/officeDocument/2006/relationships/hyperlink" Target="https://drive.google.com/file/d/1LLAgH8KUNNtDMidYJfzuKNMS4h5T58cL/view?usp=sharing" TargetMode="External"/><Relationship Id="rId16" Type="http://schemas.openxmlformats.org/officeDocument/2006/relationships/hyperlink" Target="https://drive.google.com/file/d/18muD-khy1al_mL8LuhR3Nn6_eYRxhaPO/view?usp=sharing" TargetMode="External"/><Relationship Id="rId19" Type="http://schemas.openxmlformats.org/officeDocument/2006/relationships/hyperlink" Target="https://drive.google.com/file/d/1gmbB0rn4vzxoLo-be7ugHWdmgT8g-8-X/view?usp=drivesdk" TargetMode="External"/><Relationship Id="rId18" Type="http://schemas.openxmlformats.org/officeDocument/2006/relationships/hyperlink" Target="https://drive.google.com/file/d/1TLkQuvM3F_8C3taoEVPk2iD255XPEtBf/view?usp=drivesdk" TargetMode="External"/><Relationship Id="rId84" Type="http://schemas.openxmlformats.org/officeDocument/2006/relationships/hyperlink" Target="https://drive.google.com/file/d/1yEgY6U7X2W6ioN7DAc3y4GBCY9MG-S_W/view?usp=sharing" TargetMode="External"/><Relationship Id="rId83" Type="http://schemas.openxmlformats.org/officeDocument/2006/relationships/hyperlink" Target="https://drive.google.com/file/d/1wiIuK53QB5yeHQITI8lREGsZrsDXw_8D/view?usp=sharing" TargetMode="External"/><Relationship Id="rId86" Type="http://schemas.openxmlformats.org/officeDocument/2006/relationships/hyperlink" Target="https://drive.google.com/file/d/1njgX8yM21P04_RCJ-rPHIO1284Ue7BJo/view?usp=sharing" TargetMode="External"/><Relationship Id="rId85" Type="http://schemas.openxmlformats.org/officeDocument/2006/relationships/hyperlink" Target="https://drive.google.com/file/d/1H3UsSm7fehLCqDR_KV8o_500kapm7Gu_/view?usp=sharing" TargetMode="External"/><Relationship Id="rId88" Type="http://schemas.openxmlformats.org/officeDocument/2006/relationships/drawing" Target="../drawings/drawing9.xml"/><Relationship Id="rId87" Type="http://schemas.openxmlformats.org/officeDocument/2006/relationships/hyperlink" Target="https://drive.google.com/file/d/1oFKkuTGEfncGcIY6bZH-OKDEu3nFyHUy/view?usp=drive_link" TargetMode="External"/><Relationship Id="rId89" Type="http://schemas.openxmlformats.org/officeDocument/2006/relationships/vmlDrawing" Target="../drawings/vmlDrawing3.vml"/><Relationship Id="rId80" Type="http://schemas.openxmlformats.org/officeDocument/2006/relationships/hyperlink" Target="https://drive.google.com/file/d/12ZrNnOzX8Zd-MBIzz8v-xWFuOmyy_5N8/view?usp=sharing" TargetMode="External"/><Relationship Id="rId82" Type="http://schemas.openxmlformats.org/officeDocument/2006/relationships/hyperlink" Target="https://drive.google.com/file/d/1YUXJg-aqxZsFlOOK53eOOuCfyiY6DGuw/view?usp=sharing" TargetMode="External"/><Relationship Id="rId81" Type="http://schemas.openxmlformats.org/officeDocument/2006/relationships/hyperlink" Target="https://drive.google.com/file/d/1y10VHSVBM5wlecWBe_qkt1yg3PcWaGgD/view?usp=sharing" TargetMode="External"/><Relationship Id="rId1" Type="http://schemas.openxmlformats.org/officeDocument/2006/relationships/comments" Target="../comments3.xml"/><Relationship Id="rId2" Type="http://schemas.openxmlformats.org/officeDocument/2006/relationships/hyperlink" Target="https://drive.google.com/file/d/1_Ld66VrduP4wsGs2VxIT-nJeghHxmfXF/view?usp=drivesdk" TargetMode="External"/><Relationship Id="rId3" Type="http://schemas.openxmlformats.org/officeDocument/2006/relationships/hyperlink" Target="https://drive.google.com/file/d/1PYWx4AmMio2xmGAQyS1HXtf9PfCGwdZ-/view?usp=drivesdk" TargetMode="External"/><Relationship Id="rId4" Type="http://schemas.openxmlformats.org/officeDocument/2006/relationships/hyperlink" Target="https://docs.google.com/document/d/1lbxZHkwm5MfyMc6HtUYcFJGGDOeOa7UbU-o8Q3xCvSw/edit?usp=sharing" TargetMode="External"/><Relationship Id="rId9" Type="http://schemas.openxmlformats.org/officeDocument/2006/relationships/hyperlink" Target="https://drive.google.com/file/d/1MpnEt5RlFbF8VyHX11MSIZWarOZtdK39/view?usp=sharing" TargetMode="External"/><Relationship Id="rId5" Type="http://schemas.openxmlformats.org/officeDocument/2006/relationships/hyperlink" Target="https://drive.google.com/file/d/17RfAzrZqCFU2b4LJqzrN9Y7sYQlrLqSI/view?usp=sharing" TargetMode="External"/><Relationship Id="rId6" Type="http://schemas.openxmlformats.org/officeDocument/2006/relationships/hyperlink" Target="https://drive.google.com/file/d/1UiIvbkWUDjkrKrulbK-9G6IDPRUIkTqD/view?usp=sharing" TargetMode="External"/><Relationship Id="rId7" Type="http://schemas.openxmlformats.org/officeDocument/2006/relationships/hyperlink" Target="https://drive.google.com/file/d/1fb9-8gr4nDGttM2jX7KWCrbuiiagx8jb/view?usp=sharing" TargetMode="External"/><Relationship Id="rId8" Type="http://schemas.openxmlformats.org/officeDocument/2006/relationships/hyperlink" Target="https://drive.google.com/file/d/16zBCeh1DHaM5XN5Dfa0OMLt1E3dWdyY0/view?usp=sharing" TargetMode="External"/><Relationship Id="rId73" Type="http://schemas.openxmlformats.org/officeDocument/2006/relationships/hyperlink" Target="https://drive.google.com/file/d/10E6B7LIklPwQKIw7_P1XffGiYGumwsmE/view?usp=sharing" TargetMode="External"/><Relationship Id="rId72" Type="http://schemas.openxmlformats.org/officeDocument/2006/relationships/hyperlink" Target="https://drive.google.com/file/d/1X8Y-DY-drae7kAGDqOKjQ0VhrfGpO1AT/view?usp=sharing" TargetMode="External"/><Relationship Id="rId75" Type="http://schemas.openxmlformats.org/officeDocument/2006/relationships/hyperlink" Target="https://drive.google.com/file/d/1jWMiNBjI4mABDWV9-8UmhNOfIGXAx3mm/view?usp=sharing" TargetMode="External"/><Relationship Id="rId74" Type="http://schemas.openxmlformats.org/officeDocument/2006/relationships/hyperlink" Target="https://drive.google.com/file/d/1CnkOJ-3ijkQedEhdOmd2VWG1weLk54d2/view?usp=sharing" TargetMode="External"/><Relationship Id="rId77" Type="http://schemas.openxmlformats.org/officeDocument/2006/relationships/hyperlink" Target="https://drive.google.com/file/d/1qXau8y-SK8CJ0fhmlP4j8hdB0XeilhCB/view?usp=sharing" TargetMode="External"/><Relationship Id="rId76" Type="http://schemas.openxmlformats.org/officeDocument/2006/relationships/hyperlink" Target="https://drive.google.com/file/d/14_CdesZ2rvN6tW7-A2BwDJVPYnH6vlJ6/view?usp=sharing" TargetMode="External"/><Relationship Id="rId79" Type="http://schemas.openxmlformats.org/officeDocument/2006/relationships/hyperlink" Target="https://drive.google.com/file/d/1Y4ppnibkhhOfc5C130KZnccFLJx0ukDw/view?usp=drive_link" TargetMode="External"/><Relationship Id="rId78" Type="http://schemas.openxmlformats.org/officeDocument/2006/relationships/hyperlink" Target="https://drive.google.com/file/d/1cHUua9Yp7yTu3yZaMVO5pyc4DYOE-GY-/view?usp=sharing" TargetMode="External"/><Relationship Id="rId71" Type="http://schemas.openxmlformats.org/officeDocument/2006/relationships/hyperlink" Target="https://drive.google.com/file/d/1LOLk3wyyxeposscvbUt6Yvq2enTZtwN7/view?usp=sharing" TargetMode="External"/><Relationship Id="rId70" Type="http://schemas.openxmlformats.org/officeDocument/2006/relationships/hyperlink" Target="https://drive.google.com/file/d/1k6cHOMvvKLZmCsEMl7_2EXOru9Eg2uLQ/view?usp=sharing" TargetMode="External"/><Relationship Id="rId62" Type="http://schemas.openxmlformats.org/officeDocument/2006/relationships/hyperlink" Target="https://drive.google.com/file/d/183dH8eZGNo1VhpW9u2ktXV6ZKmfX0uvx/view?usp=sharing" TargetMode="External"/><Relationship Id="rId61" Type="http://schemas.openxmlformats.org/officeDocument/2006/relationships/hyperlink" Target="https://drive.google.com/file/d/1edmeqwEgm5BYgGJmdJKIWSoliEFMa-9G/view?usp=sharing" TargetMode="External"/><Relationship Id="rId64" Type="http://schemas.openxmlformats.org/officeDocument/2006/relationships/hyperlink" Target="https://drive.google.com/file/d/1hjdqAongz3U-f-eLTbxs2xbXO8_f2quQ/view?usp=drivesdk" TargetMode="External"/><Relationship Id="rId63" Type="http://schemas.openxmlformats.org/officeDocument/2006/relationships/hyperlink" Target="https://drive.google.com/file/d/1LYEP3QelsNW3gX6MHae6r1Kc-6D4XZ6Y/view?usp=sharing" TargetMode="External"/><Relationship Id="rId66" Type="http://schemas.openxmlformats.org/officeDocument/2006/relationships/hyperlink" Target="https://drive.google.com/file/d/1_XP_buF8A7PG69O03LyK7MygbmQzimUL/view?usp=sharing" TargetMode="External"/><Relationship Id="rId65" Type="http://schemas.openxmlformats.org/officeDocument/2006/relationships/hyperlink" Target="https://drive.google.com/file/d/1kyZtwnZvHRXTvk4NI62d62_yYW1aIdBX/view?usp=drivesdk" TargetMode="External"/><Relationship Id="rId68" Type="http://schemas.openxmlformats.org/officeDocument/2006/relationships/hyperlink" Target="https://drive.google.com/file/d/1--RgQT9oPO7gj_Ag3qqmPMICjE3cKvKq/view?usp=sharing" TargetMode="External"/><Relationship Id="rId67" Type="http://schemas.openxmlformats.org/officeDocument/2006/relationships/hyperlink" Target="https://drive.google.com/file/d/1lrvKcBkCP0giq43LyiByPG48o5yi1czv/view?usp=sharing" TargetMode="External"/><Relationship Id="rId60" Type="http://schemas.openxmlformats.org/officeDocument/2006/relationships/hyperlink" Target="https://drive.google.com/file/d/1ptB4axX90NcZbak-LEaVpfT4NQCO7gjV/view?usp=sharing" TargetMode="External"/><Relationship Id="rId69" Type="http://schemas.openxmlformats.org/officeDocument/2006/relationships/hyperlink" Target="https://drive.google.com/file/d/1GiDbJzVsxCoxsHgon1P_Uya3AIp7zo1D/view?usp=sharing" TargetMode="External"/><Relationship Id="rId51" Type="http://schemas.openxmlformats.org/officeDocument/2006/relationships/hyperlink" Target="https://drive.google.com/file/d/1dfiO0Q_g6Kp9suRDc2y0LT3xlrsiAs7L/view?usp=drivesdk" TargetMode="External"/><Relationship Id="rId50" Type="http://schemas.openxmlformats.org/officeDocument/2006/relationships/hyperlink" Target="https://drive.google.com/file/d/1jdYm1MI-KqANuvJhtTvz4hKP5DxdL_Mk/view?usp=drivesdk" TargetMode="External"/><Relationship Id="rId53" Type="http://schemas.openxmlformats.org/officeDocument/2006/relationships/hyperlink" Target="https://drive.google.com/drive/folders/1S7KDglkFYpU8RIb0j_70T2r17nQEsRmz?usp=sharing" TargetMode="External"/><Relationship Id="rId52" Type="http://schemas.openxmlformats.org/officeDocument/2006/relationships/hyperlink" Target="https://drive.google.com/drive/folders/11rMD6eByEOWepXNSlNIpNcP1BSAlc47l?usp=sharing" TargetMode="External"/><Relationship Id="rId55" Type="http://schemas.openxmlformats.org/officeDocument/2006/relationships/hyperlink" Target="https://drive.google.com/file/d/1unvZ6U0bnT-Pd1f_rF5lLq_1gC0iP8HK/view?usp=drivesdk" TargetMode="External"/><Relationship Id="rId54" Type="http://schemas.openxmlformats.org/officeDocument/2006/relationships/hyperlink" Target="https://drive.google.com/file/d/1Dr3WPgbfqgYeiqw-0mV8zJEOhB-BN389/view?usp=drivesdk" TargetMode="External"/><Relationship Id="rId57" Type="http://schemas.openxmlformats.org/officeDocument/2006/relationships/hyperlink" Target="https://drive.google.com/file/d/1uTCSi8QAZyaNhdNKflSpU1exP38jZmvO/view?usp=sharing" TargetMode="External"/><Relationship Id="rId56" Type="http://schemas.openxmlformats.org/officeDocument/2006/relationships/hyperlink" Target="https://drive.google.com/file/d/1eVmSz6P6VBwjscrJIQ94PJ8a-rQrZbYZ/view?usp=sharing" TargetMode="External"/><Relationship Id="rId59" Type="http://schemas.openxmlformats.org/officeDocument/2006/relationships/hyperlink" Target="https://drive.google.com/file/d/1jknOGlysI5rhLjr3o2SzcPdTY7r77jgr/view?usp=sharing" TargetMode="External"/><Relationship Id="rId58" Type="http://schemas.openxmlformats.org/officeDocument/2006/relationships/hyperlink" Target="https://drive.google.com/file/d/1XkL6bm4HJuJzc425LqNZMtYKdT5VOlV0/view?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1" Type="http://schemas.openxmlformats.org/officeDocument/2006/relationships/table" Target="../tables/table20.xml"/><Relationship Id="rId30" Type="http://schemas.openxmlformats.org/officeDocument/2006/relationships/table" Target="../tables/table19.xml"/><Relationship Id="rId33" Type="http://schemas.openxmlformats.org/officeDocument/2006/relationships/table" Target="../tables/table22.xml"/><Relationship Id="rId32" Type="http://schemas.openxmlformats.org/officeDocument/2006/relationships/table" Target="../tables/table21.xml"/><Relationship Id="rId35" Type="http://schemas.openxmlformats.org/officeDocument/2006/relationships/table" Target="../tables/table24.xml"/><Relationship Id="rId34" Type="http://schemas.openxmlformats.org/officeDocument/2006/relationships/table" Target="../tables/table23.xml"/><Relationship Id="rId37" Type="http://schemas.openxmlformats.org/officeDocument/2006/relationships/table" Target="../tables/table26.xml"/><Relationship Id="rId36" Type="http://schemas.openxmlformats.org/officeDocument/2006/relationships/table" Target="../tables/table25.xml"/><Relationship Id="rId39" Type="http://schemas.openxmlformats.org/officeDocument/2006/relationships/table" Target="../tables/table28.xml"/><Relationship Id="rId38" Type="http://schemas.openxmlformats.org/officeDocument/2006/relationships/table" Target="../tables/table27.xml"/><Relationship Id="rId22" Type="http://schemas.openxmlformats.org/officeDocument/2006/relationships/table" Target="../tables/table11.xml"/><Relationship Id="rId21" Type="http://schemas.openxmlformats.org/officeDocument/2006/relationships/table" Target="../tables/table10.xml"/><Relationship Id="rId24" Type="http://schemas.openxmlformats.org/officeDocument/2006/relationships/table" Target="../tables/table13.xml"/><Relationship Id="rId23" Type="http://schemas.openxmlformats.org/officeDocument/2006/relationships/table" Target="../tables/table12.xml"/><Relationship Id="rId26" Type="http://schemas.openxmlformats.org/officeDocument/2006/relationships/table" Target="../tables/table15.xml"/><Relationship Id="rId25" Type="http://schemas.openxmlformats.org/officeDocument/2006/relationships/table" Target="../tables/table14.xml"/><Relationship Id="rId28" Type="http://schemas.openxmlformats.org/officeDocument/2006/relationships/table" Target="../tables/table17.xml"/><Relationship Id="rId27" Type="http://schemas.openxmlformats.org/officeDocument/2006/relationships/table" Target="../tables/table16.xml"/><Relationship Id="rId29" Type="http://schemas.openxmlformats.org/officeDocument/2006/relationships/table" Target="../tables/table18.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table" Target="../tables/table32.xml"/><Relationship Id="rId22" Type="http://schemas.openxmlformats.org/officeDocument/2006/relationships/table" Target="../tables/table34.xml"/><Relationship Id="rId21" Type="http://schemas.openxmlformats.org/officeDocument/2006/relationships/table" Target="../tables/table33.xml"/><Relationship Id="rId24" Type="http://schemas.openxmlformats.org/officeDocument/2006/relationships/table" Target="../tables/table36.xml"/><Relationship Id="rId23" Type="http://schemas.openxmlformats.org/officeDocument/2006/relationships/table" Target="../tables/table35.xml"/><Relationship Id="rId26" Type="http://schemas.openxmlformats.org/officeDocument/2006/relationships/table" Target="../tables/table38.xml"/><Relationship Id="rId25" Type="http://schemas.openxmlformats.org/officeDocument/2006/relationships/table" Target="../tables/table37.xml"/><Relationship Id="rId28" Type="http://schemas.openxmlformats.org/officeDocument/2006/relationships/table" Target="../tables/table40.xml"/><Relationship Id="rId27" Type="http://schemas.openxmlformats.org/officeDocument/2006/relationships/table" Target="../tables/table39.xml"/><Relationship Id="rId29" Type="http://schemas.openxmlformats.org/officeDocument/2006/relationships/table" Target="../tables/table41.xml"/><Relationship Id="rId17" Type="http://schemas.openxmlformats.org/officeDocument/2006/relationships/table" Target="../tables/table29.xml"/><Relationship Id="rId19" Type="http://schemas.openxmlformats.org/officeDocument/2006/relationships/table" Target="../tables/table31.xml"/><Relationship Id="rId18" Type="http://schemas.openxmlformats.org/officeDocument/2006/relationships/table" Target="../tables/table30.xml"/><Relationship Id="rId1" Type="http://schemas.openxmlformats.org/officeDocument/2006/relationships/hyperlink" Target="http://anam.ai/" TargetMode="External"/><Relationship Id="rId2" Type="http://schemas.openxmlformats.org/officeDocument/2006/relationships/hyperlink" Target="mailto:21f2001077@ds.study.iitm.ac.in"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90" Type="http://schemas.openxmlformats.org/officeDocument/2006/relationships/hyperlink" Target="https://drive.google.com/file/d/1cLhXsH7KuOcLg3-3gLUDfwMIhqyN5hlx/view?usp=sharing" TargetMode="External"/><Relationship Id="rId194" Type="http://schemas.openxmlformats.org/officeDocument/2006/relationships/hyperlink" Target="https://drive.google.com/file/d/1WCm4c4Of4DRncP7WqPcpSwpT1MmmWaGN/view?usp=drive_link" TargetMode="External"/><Relationship Id="rId193" Type="http://schemas.openxmlformats.org/officeDocument/2006/relationships/hyperlink" Target="https://drive.google.com/file/d/1Tp61WCJSWJe6EX18N6Q2ftvx_UVu1HPv/view?usp=drive_link" TargetMode="External"/><Relationship Id="rId192" Type="http://schemas.openxmlformats.org/officeDocument/2006/relationships/hyperlink" Target="https://drive.google.com/file/d/1x8ryKjDfPJtgnivLsLd90OqckAeNvG2w/view?usp=drive_link" TargetMode="External"/><Relationship Id="rId191" Type="http://schemas.openxmlformats.org/officeDocument/2006/relationships/hyperlink" Target="https://drive.google.com/file/d/1Hd5Dnokm0yF4Xiv1QxiAivkdEoF5ssSt/view?usp=sharing" TargetMode="External"/><Relationship Id="rId187" Type="http://schemas.openxmlformats.org/officeDocument/2006/relationships/hyperlink" Target="https://drive.google.com/file/d/1H6Q_khePBI42DV7irib2apiFWq37ebXE/view?usp=sharing" TargetMode="External"/><Relationship Id="rId186" Type="http://schemas.openxmlformats.org/officeDocument/2006/relationships/hyperlink" Target="https://drive.google.com/file/d/1k5ikfdOzivddft9HmkYAJn4ZClvTa5TK/view?usp=sharing" TargetMode="External"/><Relationship Id="rId185" Type="http://schemas.openxmlformats.org/officeDocument/2006/relationships/hyperlink" Target="https://drive.google.com/file/d/1SvkkqMmszEemQNIMMjUqRXSbNn160f_8/view?usp=sharing" TargetMode="External"/><Relationship Id="rId184" Type="http://schemas.openxmlformats.org/officeDocument/2006/relationships/hyperlink" Target="https://drive.google.com/file/d/1Ns_mYzSMTjETrzkrej4xzQtKYtlEWQpI/view?usp=sharing" TargetMode="External"/><Relationship Id="rId189" Type="http://schemas.openxmlformats.org/officeDocument/2006/relationships/hyperlink" Target="https://drive.google.com/file/d/1BXU2iU5i0HH_CDohoT6zJuBe_b0S0Qlb/view?usp=sharing" TargetMode="External"/><Relationship Id="rId188" Type="http://schemas.openxmlformats.org/officeDocument/2006/relationships/hyperlink" Target="https://drive.google.com/file/d/15q2VR9u5KD2RiSIkslbr5FZj75JwWZ6i/view?usp=sharing" TargetMode="External"/><Relationship Id="rId183" Type="http://schemas.openxmlformats.org/officeDocument/2006/relationships/hyperlink" Target="https://drive.google.com/file/d/1O06XLBiYr9fZ3QiEzFplRBOBYvKZyuaS/view?usp=sharing" TargetMode="External"/><Relationship Id="rId182" Type="http://schemas.openxmlformats.org/officeDocument/2006/relationships/hyperlink" Target="https://drive.google.com/file/d/1eyfd-nKG1JBhJAJ-viY-_jpEtss_brjJ/view?usp=sharing" TargetMode="External"/><Relationship Id="rId181" Type="http://schemas.openxmlformats.org/officeDocument/2006/relationships/hyperlink" Target="https://drive.google.com/file/d/17b2G8j1HOa1rTveYtlvTlR8VRN4My1sO/view?usp=drive_link" TargetMode="External"/><Relationship Id="rId180" Type="http://schemas.openxmlformats.org/officeDocument/2006/relationships/hyperlink" Target="https://drive.google.com/file/d/1WuBaxrmqveTCFXkvQ_9AHAA0F0sKa8L5/view?usp=drive_link" TargetMode="External"/><Relationship Id="rId176" Type="http://schemas.openxmlformats.org/officeDocument/2006/relationships/hyperlink" Target="https://drive.google.com/file/d/1TLkQuvM3F_8C3taoEVPk2iD255XPEtBf/view?usp=drivesdk" TargetMode="External"/><Relationship Id="rId297" Type="http://schemas.openxmlformats.org/officeDocument/2006/relationships/hyperlink" Target="https://drive.google.com/file/d/1iuJ8Ot__r58ThXHsNpVbgPiC5W4Uc6nm/view?usp=sharing" TargetMode="External"/><Relationship Id="rId175" Type="http://schemas.openxmlformats.org/officeDocument/2006/relationships/hyperlink" Target="https://drive.google.com/file/d/1qLfSx_5m0L24HPkCeCVmkEj2yNZ-DqJv/view?usp=drive_link" TargetMode="External"/><Relationship Id="rId296" Type="http://schemas.openxmlformats.org/officeDocument/2006/relationships/hyperlink" Target="https://drive.google.com/file/d/1ZuU1_xsiYUit7qSIk9w6S0lr3H3j1SiP/view?usp=sharing" TargetMode="External"/><Relationship Id="rId174" Type="http://schemas.openxmlformats.org/officeDocument/2006/relationships/hyperlink" Target="https://drive.google.com/file/d/1Nl9YZW3Vw2JMMPem0E-GVH8tXaZdaQ6k/view?usp=sharing" TargetMode="External"/><Relationship Id="rId295" Type="http://schemas.openxmlformats.org/officeDocument/2006/relationships/hyperlink" Target="https://drive.google.com/file/d/19_QcuwAdT6vOy4-woAyRfarETH1L7-yd/view?usp=sharing" TargetMode="External"/><Relationship Id="rId173" Type="http://schemas.openxmlformats.org/officeDocument/2006/relationships/hyperlink" Target="https://drive.google.com/file/d/1Ucq-3ay1Fi5IbJz7QuWlZcX5liyp06Yt/view?usp=drivesdk" TargetMode="External"/><Relationship Id="rId294" Type="http://schemas.openxmlformats.org/officeDocument/2006/relationships/hyperlink" Target="https://drive.google.com/file/d/1RTKFcFXn97DxVyTgUp7f-EFqVzJ0Ve-h/view?usp=sharing" TargetMode="External"/><Relationship Id="rId179" Type="http://schemas.openxmlformats.org/officeDocument/2006/relationships/hyperlink" Target="https://drive.google.com/file/d/1qfzollNy58x96ohFuMZWqQr9ZgftfpEq/view?usp=sharing" TargetMode="External"/><Relationship Id="rId178" Type="http://schemas.openxmlformats.org/officeDocument/2006/relationships/hyperlink" Target="https://drive.google.com/file/d/1o-avkZpdw09qQgwACqZxaK6R3vGbtuyc/view?usp=sharing" TargetMode="External"/><Relationship Id="rId299" Type="http://schemas.openxmlformats.org/officeDocument/2006/relationships/hyperlink" Target="https://drive.google.com/file/d/1ecHarDtIurfssl8JRof5RTCGfCoJeG2T/view?usp=sharing" TargetMode="External"/><Relationship Id="rId177" Type="http://schemas.openxmlformats.org/officeDocument/2006/relationships/hyperlink" Target="https://drive.google.com/file/d/1gmbB0rn4vzxoLo-be7ugHWdmgT8g-8-X/view?usp=drivesdk" TargetMode="External"/><Relationship Id="rId298" Type="http://schemas.openxmlformats.org/officeDocument/2006/relationships/hyperlink" Target="https://drive.google.com/file/d/1iDU05CK2gi-RPP4QxOParWSixbPRBm_U/view?usp=drive_link" TargetMode="External"/><Relationship Id="rId198" Type="http://schemas.openxmlformats.org/officeDocument/2006/relationships/hyperlink" Target="https://drive.google.com/file/d/1_XKfMwRib59rb-TqGttiOE1gHSNEdEVt/view?usp=sharing" TargetMode="External"/><Relationship Id="rId197" Type="http://schemas.openxmlformats.org/officeDocument/2006/relationships/hyperlink" Target="https://drive.google.com/file/d/1Kvc82c-KvjGsxMmPICtiDlmhMVHXkqKz/view?usp=sharing" TargetMode="External"/><Relationship Id="rId196" Type="http://schemas.openxmlformats.org/officeDocument/2006/relationships/hyperlink" Target="https://drive.google.com/file/d/1j-xBhK7qZC5dClp4XJrHYg31WLTukuDg/view?usp=sharing" TargetMode="External"/><Relationship Id="rId195" Type="http://schemas.openxmlformats.org/officeDocument/2006/relationships/hyperlink" Target="https://drive.google.com/file/d/1xRqZgrClW1OZ5FE8Ypk05hUX4E5NMmMF/view?usp=drive_link" TargetMode="External"/><Relationship Id="rId199" Type="http://schemas.openxmlformats.org/officeDocument/2006/relationships/hyperlink" Target="https://drive.google.com/file/d/1zvMBwHTHK-Bu_bsdGSOYCZ6h6BGas1U1/view?usp=sharing" TargetMode="External"/><Relationship Id="rId150" Type="http://schemas.openxmlformats.org/officeDocument/2006/relationships/hyperlink" Target="https://drive.google.com/file/d/1TYl72mKnRxrosy3lEQqUl5Jh4g-Tdb4g/view?usp=drivesdk" TargetMode="External"/><Relationship Id="rId271" Type="http://schemas.openxmlformats.org/officeDocument/2006/relationships/hyperlink" Target="https://drive.google.com/file/d/10Xx36gjUQpW9BReDRIhUKnQZXjNmSbH8/view?usp=sharing" TargetMode="External"/><Relationship Id="rId392" Type="http://schemas.openxmlformats.org/officeDocument/2006/relationships/hyperlink" Target="https://drive.google.com/file/d/11sDo5chObH8qerDgg5-NtoVKTNGRnPtY/view?usp=sharing" TargetMode="External"/><Relationship Id="rId270" Type="http://schemas.openxmlformats.org/officeDocument/2006/relationships/hyperlink" Target="https://drive.google.com/file/d/104nryzwyTS7FFFtk2SRj3W6-gmzFSbvZ/view?usp=sharing" TargetMode="External"/><Relationship Id="rId391" Type="http://schemas.openxmlformats.org/officeDocument/2006/relationships/hyperlink" Target="https://drive.google.com/file/d/1sbxHBnTKxcolXX5ZDSTZZ6WFVmqWzAl6/view?usp=sharing" TargetMode="External"/><Relationship Id="rId390" Type="http://schemas.openxmlformats.org/officeDocument/2006/relationships/hyperlink" Target="https://drive.google.com/file/d/1ULY_BYlZ1UgPwctDHSz8bWCoPzq_RrPX/view?usp=sharing" TargetMode="External"/><Relationship Id="rId1" Type="http://schemas.openxmlformats.org/officeDocument/2006/relationships/comments" Target="../comments4.xml"/><Relationship Id="rId2" Type="http://schemas.openxmlformats.org/officeDocument/2006/relationships/hyperlink" Target="https://drive.google.com/file/d/1P2uyDNj3BmZ3_BQpILh0tCAQTXX6zhIH/view?usp=drivesdk" TargetMode="External"/><Relationship Id="rId3" Type="http://schemas.openxmlformats.org/officeDocument/2006/relationships/hyperlink" Target="https://drive.google.com/file/d/1tBfun64L9q2g6fhf81qz57MCuT9m7zSP/view?usp=sharing" TargetMode="External"/><Relationship Id="rId149" Type="http://schemas.openxmlformats.org/officeDocument/2006/relationships/hyperlink" Target="https://drive.google.com/file/d/1T1YzqXUiw2G_k2nVdtN3Wuzmhib66-oe/view?usp=drivesdk" TargetMode="External"/><Relationship Id="rId4" Type="http://schemas.openxmlformats.org/officeDocument/2006/relationships/hyperlink" Target="https://drive.google.com/file/d/1TzF6gekxHWhAaHSf6LRf2Jugb_SMMAzl/view" TargetMode="External"/><Relationship Id="rId148" Type="http://schemas.openxmlformats.org/officeDocument/2006/relationships/hyperlink" Target="https://drive.google.com/file/d/15nSUCe9-4oKLb0yErT-dhCP0Z_yw6eea/view?usp=drivesdk" TargetMode="External"/><Relationship Id="rId269" Type="http://schemas.openxmlformats.org/officeDocument/2006/relationships/hyperlink" Target="https://drive.google.com/file/d/1SvkkqMmszEemQNIMMjUqRXSbNn160f_8/view?usp=drivesdk" TargetMode="External"/><Relationship Id="rId9" Type="http://schemas.openxmlformats.org/officeDocument/2006/relationships/hyperlink" Target="https://drive.google.com/file/d/1PYWx4AmMio2xmGAQyS1HXtf9PfCGwdZ-/view?usp=drivesdk" TargetMode="External"/><Relationship Id="rId143" Type="http://schemas.openxmlformats.org/officeDocument/2006/relationships/hyperlink" Target="https://drive.google.com/file/d/1iBfNwp5rU7JPhOO4oZnewtCFXaLn8dDK/view?usp=sharing" TargetMode="External"/><Relationship Id="rId264" Type="http://schemas.openxmlformats.org/officeDocument/2006/relationships/hyperlink" Target="https://drive.google.com/file/d/1LD_qcJGhcV_7lHjfyh2o0u-X7uwI08jZ/view?usp=drivesdk" TargetMode="External"/><Relationship Id="rId385" Type="http://schemas.openxmlformats.org/officeDocument/2006/relationships/hyperlink" Target="https://drive.google.com/file/d/14bQmbEdmUXmm8Av1ERL5ZGJE_Yj1qS1T/view?usp=drive_link" TargetMode="External"/><Relationship Id="rId142" Type="http://schemas.openxmlformats.org/officeDocument/2006/relationships/hyperlink" Target="https://drive.google.com/file/d/1NJW79IBze_d8A2L0BI_-C65dPXCW19hw/view?usp=sharing" TargetMode="External"/><Relationship Id="rId263" Type="http://schemas.openxmlformats.org/officeDocument/2006/relationships/hyperlink" Target="https://drive.google.com/file/d/15mwRkXLr_nCW1QTHNTsoVpOHfm87Bm_E/view?usp=drive_link" TargetMode="External"/><Relationship Id="rId384" Type="http://schemas.openxmlformats.org/officeDocument/2006/relationships/hyperlink" Target="https://drive.google.com/file/d/1UpPdqNxKPc_sr1wGrrA54V7ggYuBblY8/view?usp=drive_link" TargetMode="External"/><Relationship Id="rId141" Type="http://schemas.openxmlformats.org/officeDocument/2006/relationships/hyperlink" Target="https://drive.google.com/file/d/1b96MvKQWkOXq93irk2lllwQ0D5l9tARi/view?usp=sharing" TargetMode="External"/><Relationship Id="rId262" Type="http://schemas.openxmlformats.org/officeDocument/2006/relationships/hyperlink" Target="https://drive.google.com/file/d/1rZI7-SiZAOB7NUnsO9n68cEl-txaqh7W/view?usp=drive_link" TargetMode="External"/><Relationship Id="rId383" Type="http://schemas.openxmlformats.org/officeDocument/2006/relationships/hyperlink" Target="https://drive.google.com/file/d/1Mt2IX9ojnCtNiGz30yBc6NqBGaSGAwI5/view?usp=drivesdk" TargetMode="External"/><Relationship Id="rId140" Type="http://schemas.openxmlformats.org/officeDocument/2006/relationships/hyperlink" Target="https://drive.google.com/file/d/1QEfYyzt5zDMygCVqNE9yMPUyxuWKhvPM/view?usp=sharing" TargetMode="External"/><Relationship Id="rId261" Type="http://schemas.openxmlformats.org/officeDocument/2006/relationships/hyperlink" Target="https://drive.google.com/file/d/1QOQeKWtuGhF5cwH56HAjkmSv8KR3RIAd/view?usp=sharing" TargetMode="External"/><Relationship Id="rId382" Type="http://schemas.openxmlformats.org/officeDocument/2006/relationships/hyperlink" Target="https://drive.google.com/file/d/1LD_qcJGhcV_7lHjfyh2o0u-X7uwI08jZ/view?usp=drivesdk" TargetMode="External"/><Relationship Id="rId5" Type="http://schemas.openxmlformats.org/officeDocument/2006/relationships/hyperlink" Target="https://drive.google.com/file/d/1Jqrqt4lH8ungMBYGoJa-N8r4UdGwozRe/view?usp=drive_link" TargetMode="External"/><Relationship Id="rId147" Type="http://schemas.openxmlformats.org/officeDocument/2006/relationships/hyperlink" Target="https://drive.google.com/file/d/1oFKkuTGEfncGcIY6bZH-OKDEu3nFyHUy/view?usp=drive_link" TargetMode="External"/><Relationship Id="rId268" Type="http://schemas.openxmlformats.org/officeDocument/2006/relationships/hyperlink" Target="https://drive.google.com/file/d/1Ns_mYzSMTjETrzkrej4xzQtKYtlEWQpI/view?usp=drivesdk" TargetMode="External"/><Relationship Id="rId389" Type="http://schemas.openxmlformats.org/officeDocument/2006/relationships/hyperlink" Target="https://drive.google.com/file/d/1k8faK3bMy1ZWvJjkUKFf1nU5qRIAMQsj/view?usp=sharing" TargetMode="External"/><Relationship Id="rId6" Type="http://schemas.openxmlformats.org/officeDocument/2006/relationships/hyperlink" Target="https://drive.google.com/file/d/1n-m9_pjxgqPAYdCUaCcKFlt5phq_KrlO/view?usp=sharing" TargetMode="External"/><Relationship Id="rId146" Type="http://schemas.openxmlformats.org/officeDocument/2006/relationships/hyperlink" Target="https://drive.google.com/file/d/1njgX8yM21P04_RCJ-rPHIO1284Ue7BJo/view?usp=drive_link" TargetMode="External"/><Relationship Id="rId267" Type="http://schemas.openxmlformats.org/officeDocument/2006/relationships/hyperlink" Target="https://drive.google.com/file/d/1FQdlztLwEPAvE6VlPvfaIZrD0iEUqtg5/view?usp=sharing" TargetMode="External"/><Relationship Id="rId388" Type="http://schemas.openxmlformats.org/officeDocument/2006/relationships/hyperlink" Target="https://drive.google.com/file/d/11sDo5chObH8qerDgg5-NtoVKTNGRnPtY/view?usp=sharing" TargetMode="External"/><Relationship Id="rId7" Type="http://schemas.openxmlformats.org/officeDocument/2006/relationships/hyperlink" Target="https://drive.google.com/file/d/1u2g97NPTVjya1GCZ41RN6nnaMQNUuwF1/view?usp=sharing" TargetMode="External"/><Relationship Id="rId145" Type="http://schemas.openxmlformats.org/officeDocument/2006/relationships/hyperlink" Target="https://drive.google.com/file/d/1U6tCcynPozxHuBU9JZtHqtqIenPx1pYX/view" TargetMode="External"/><Relationship Id="rId266" Type="http://schemas.openxmlformats.org/officeDocument/2006/relationships/hyperlink" Target="https://drive.google.com/file/d/1V0lrKfEIRVPJGxFO_eczcKDEDyNgnlrv/view?usp=sharing" TargetMode="External"/><Relationship Id="rId387" Type="http://schemas.openxmlformats.org/officeDocument/2006/relationships/hyperlink" Target="https://drive.google.com/drive/folders/1HwInnQ0S1PiIApES6OAFeyHT46fw62fe?usp=sharing" TargetMode="External"/><Relationship Id="rId8" Type="http://schemas.openxmlformats.org/officeDocument/2006/relationships/hyperlink" Target="https://drive.google.com/file/d/1_Ld66VrduP4wsGs2VxIT-nJeghHxmfXF/view?usp=drivesdk" TargetMode="External"/><Relationship Id="rId144" Type="http://schemas.openxmlformats.org/officeDocument/2006/relationships/hyperlink" Target="https://drive.google.com/file/d/1HCoYxPKP_g1KtnugCrOKWPrDMf09MoDW/view?usp=sharing" TargetMode="External"/><Relationship Id="rId265" Type="http://schemas.openxmlformats.org/officeDocument/2006/relationships/hyperlink" Target="https://drive.google.com/file/d/1Mt2IX9ojnCtNiGz30yBc6NqBGaSGAwI5/view?usp=drivesdk" TargetMode="External"/><Relationship Id="rId386" Type="http://schemas.openxmlformats.org/officeDocument/2006/relationships/hyperlink" Target="https://drive.google.com/drive/folders/1xZNIiTGuyv1Hszfso4rbI60U3Gfne1TF?usp=sharing" TargetMode="External"/><Relationship Id="rId260" Type="http://schemas.openxmlformats.org/officeDocument/2006/relationships/hyperlink" Target="https://drive.google.com/file/d/164rXzQicQDVHlNAU5Ih9xMmFFkaITr-M/view?usp=sharing" TargetMode="External"/><Relationship Id="rId381" Type="http://schemas.openxmlformats.org/officeDocument/2006/relationships/hyperlink" Target="https://drive.google.com/file/d/1kUrgnXrHUcEAXnY2dnrruZufLVXCxmRZ/view?usp=sharing" TargetMode="External"/><Relationship Id="rId380" Type="http://schemas.openxmlformats.org/officeDocument/2006/relationships/hyperlink" Target="https://drive.google.com/file/d/1kUrgnXrHUcEAXnY2dnrruZufLVXCxmRZ/view?usp=sharing" TargetMode="External"/><Relationship Id="rId139" Type="http://schemas.openxmlformats.org/officeDocument/2006/relationships/hyperlink" Target="https://drive.google.com/file/d/1abW16VqQVyP1kvZH5b_NqOI8VoDcjD7G/view?usp=sharing" TargetMode="External"/><Relationship Id="rId138" Type="http://schemas.openxmlformats.org/officeDocument/2006/relationships/hyperlink" Target="https://drive.google.com/file/d/1MoPraEtuP2LSaC-klZ5p3MViEMFwFuN8/view?usp=sharing" TargetMode="External"/><Relationship Id="rId259" Type="http://schemas.openxmlformats.org/officeDocument/2006/relationships/hyperlink" Target="https://drive.google.com/file/d/1xnwCggBHUeT24FLcoUKHHB6dlJrzNxus/view?usp=sharing" TargetMode="External"/><Relationship Id="rId137" Type="http://schemas.openxmlformats.org/officeDocument/2006/relationships/hyperlink" Target="https://drive.google.com/file/d/1NpKBYx8hiJAW2AfznpwoD5keALd1N-M5/view?usp=sharing" TargetMode="External"/><Relationship Id="rId258" Type="http://schemas.openxmlformats.org/officeDocument/2006/relationships/hyperlink" Target="https://drive.google.com/file/d/1jmC2JyXmeqk1tKcbHBJcnB44eGOuDSLN/view?usp=sharing" TargetMode="External"/><Relationship Id="rId379" Type="http://schemas.openxmlformats.org/officeDocument/2006/relationships/hyperlink" Target="https://drive.google.com/file/d/1K7-aBwGqZ9iZrR7BwmN7fyZ-XdTLt5SO/view?usp=drivesdk" TargetMode="External"/><Relationship Id="rId132" Type="http://schemas.openxmlformats.org/officeDocument/2006/relationships/hyperlink" Target="https://drive.google.com/file/d/1aVnjKF4Xb0GkXYEI-5qNV4R0EOyRlnQU/view?usp=drive_link" TargetMode="External"/><Relationship Id="rId253" Type="http://schemas.openxmlformats.org/officeDocument/2006/relationships/hyperlink" Target="https://drive.google.com/file/d/1T7H0GAlEUpZTeMGFSMH79GN4d8Q2pBfi/view?usp=sharing" TargetMode="External"/><Relationship Id="rId374" Type="http://schemas.openxmlformats.org/officeDocument/2006/relationships/hyperlink" Target="https://drive.google.com/file/d/1SHQGfKyJ8FH9iKz_6IpXfVzOwHUl5yql/view?usp=sharing" TargetMode="External"/><Relationship Id="rId131" Type="http://schemas.openxmlformats.org/officeDocument/2006/relationships/hyperlink" Target="https://drive.google.com/file/d/1KbuiScmljFGOkujjana965h2g2PgLmkA/view?usp=sharing" TargetMode="External"/><Relationship Id="rId252" Type="http://schemas.openxmlformats.org/officeDocument/2006/relationships/hyperlink" Target="https://drive.google.com/file/d/1WGoINZDVxJxlAgrYTzNugmrlvB5HW1Np/view?usp=sharing" TargetMode="External"/><Relationship Id="rId373" Type="http://schemas.openxmlformats.org/officeDocument/2006/relationships/hyperlink" Target="https://drive.google.com/file/d/1OzLcJZA2Bfq9IEYAkQCOYcpKEcV992cj/view?usp=sharing" TargetMode="External"/><Relationship Id="rId130" Type="http://schemas.openxmlformats.org/officeDocument/2006/relationships/hyperlink" Target="https://drive.google.com/file/d/1_QVEclg4C78jyyehki58PwxhrZA1woPY/view?usp=sharing" TargetMode="External"/><Relationship Id="rId251" Type="http://schemas.openxmlformats.org/officeDocument/2006/relationships/hyperlink" Target="https://drive.google.com/file/d/1LUWU7KY2EPm0ug60MGROJdoFgj3Mw16T/view?usp=drive_link" TargetMode="External"/><Relationship Id="rId372" Type="http://schemas.openxmlformats.org/officeDocument/2006/relationships/hyperlink" Target="https://drive.google.com/file/d/1xE09sPkfU-VCAFgMOX_aT-2Z9l_sQH7X/view?usp=sharing" TargetMode="External"/><Relationship Id="rId250" Type="http://schemas.openxmlformats.org/officeDocument/2006/relationships/hyperlink" Target="https://drive.google.com/file/d/1iHzQigATsVVWtYvYPBx6MTi0Vy-_4qI8/view?usp=drive_link" TargetMode="External"/><Relationship Id="rId371" Type="http://schemas.openxmlformats.org/officeDocument/2006/relationships/hyperlink" Target="https://drive.google.com/file/d/1gmbB0rn4vzxoLo-be7ugHWdmgT8g-8-X/view?usp=drivesdk" TargetMode="External"/><Relationship Id="rId136" Type="http://schemas.openxmlformats.org/officeDocument/2006/relationships/hyperlink" Target="https://drive.google.com/file/d/1iuASNHabbR_DsJB8fkO3Vrua07sY83wl/view?usp=sharing" TargetMode="External"/><Relationship Id="rId257" Type="http://schemas.openxmlformats.org/officeDocument/2006/relationships/hyperlink" Target="https://drive.google.com/file/d/1omR9TB8LXjUCebNoOM7LI2HMDKebTpkY/view?usp=sharing" TargetMode="External"/><Relationship Id="rId378" Type="http://schemas.openxmlformats.org/officeDocument/2006/relationships/hyperlink" Target="https://drive.google.com/file/d/1EV-u2QhvSsOQp4rbw7fVclO8iE4BFyhP/view?usp=drivesdk" TargetMode="External"/><Relationship Id="rId135" Type="http://schemas.openxmlformats.org/officeDocument/2006/relationships/hyperlink" Target="https://drive.google.com/file/d/1XYP8sSL8nmIZCWO_OFPQsXV2tk79_uag/view?usp=sharing" TargetMode="External"/><Relationship Id="rId256" Type="http://schemas.openxmlformats.org/officeDocument/2006/relationships/hyperlink" Target="https://drive.google.com/file/d/1CQqf9-tLTVvGs8VdT9Ne0uoDvpxQO96o/view?usp=sharing" TargetMode="External"/><Relationship Id="rId377" Type="http://schemas.openxmlformats.org/officeDocument/2006/relationships/hyperlink" Target="https://drive.google.com/file/d/1j7b48SLkwWMnmm6Lo2z1_Ny8u0_B8t-9/view?usp=sharing" TargetMode="External"/><Relationship Id="rId134" Type="http://schemas.openxmlformats.org/officeDocument/2006/relationships/hyperlink" Target="https://drive.google.com/file/d/1uuZ5tbpn21sINUN4LwdVacaDh5Y-rd2y/view?usp=sharing" TargetMode="External"/><Relationship Id="rId255" Type="http://schemas.openxmlformats.org/officeDocument/2006/relationships/hyperlink" Target="https://drive.google.com/file/d/1aCN3RnxdiyZ6iTOKy05d8oSXAy6Vbn7J/view?usp=sharing" TargetMode="External"/><Relationship Id="rId376" Type="http://schemas.openxmlformats.org/officeDocument/2006/relationships/hyperlink" Target="https://drive.google.com/file/d/1dnkJ-vM-XWS0jQYbzdgkCt5cmVFlGiI3/view?usp=sharing" TargetMode="External"/><Relationship Id="rId133" Type="http://schemas.openxmlformats.org/officeDocument/2006/relationships/hyperlink" Target="https://drive.google.com/file/d/1Cuts0agkUm3AvyRC3BmvE0Nh676zk_sP/view?usp=drive_link" TargetMode="External"/><Relationship Id="rId254" Type="http://schemas.openxmlformats.org/officeDocument/2006/relationships/hyperlink" Target="https://drive.google.com/file/d/1zA06ykxUNA1JtZ1u3nE5qljbkrn88AH3/view?usp=sharing" TargetMode="External"/><Relationship Id="rId375" Type="http://schemas.openxmlformats.org/officeDocument/2006/relationships/hyperlink" Target="https://drive.google.com/file/d/1xRqZgrClW1OZ5FE8Ypk05hUX4E5NMmMF/view?usp=sharing" TargetMode="External"/><Relationship Id="rId172" Type="http://schemas.openxmlformats.org/officeDocument/2006/relationships/hyperlink" Target="https://drive.google.com/file/d/1o2PQmDjUG0lB2ZdPPwvIwoDwBIes0JUh/view?usp=drivesdk" TargetMode="External"/><Relationship Id="rId293" Type="http://schemas.openxmlformats.org/officeDocument/2006/relationships/hyperlink" Target="https://drive.google.com/file/d/19ttHHHHE-JCq1lQV9NVX1zERzjKihUfF/view?usp=sharing" TargetMode="External"/><Relationship Id="rId171" Type="http://schemas.openxmlformats.org/officeDocument/2006/relationships/hyperlink" Target="https://drive.google.com/file/d/16v4fMMffnJDyQBt71Mr4oBPKPNjjqZuz/view?usp=sharing" TargetMode="External"/><Relationship Id="rId292" Type="http://schemas.openxmlformats.org/officeDocument/2006/relationships/hyperlink" Target="https://drive.google.com/file/d/1SEX7TP0yIDthFcTAbfEem16TvQWCOXvB/view?usp=sharing" TargetMode="External"/><Relationship Id="rId170" Type="http://schemas.openxmlformats.org/officeDocument/2006/relationships/hyperlink" Target="https://drive.google.com/file/d/1ZUllzGsFyYICqMj0rlXoRt2vj9dAK-qP/view?usp=sharing" TargetMode="External"/><Relationship Id="rId291" Type="http://schemas.openxmlformats.org/officeDocument/2006/relationships/hyperlink" Target="https://drive.google.com/file/d/1vSXJVBaETCluhYBoRYxspgdXobxhOcrp/view?usp=drivesdk" TargetMode="External"/><Relationship Id="rId290" Type="http://schemas.openxmlformats.org/officeDocument/2006/relationships/hyperlink" Target="https://drive.google.com/file/d/1a3R9JiyxNh_t4-wEUwaIJxtMd_e34k8t/view?usp=drivesdk" TargetMode="External"/><Relationship Id="rId165" Type="http://schemas.openxmlformats.org/officeDocument/2006/relationships/hyperlink" Target="https://drive.google.com/file/d/1ie85Cs5Wya4qy8ZfeNAp-lGHXTqV3Rbp/view?usp=sharing" TargetMode="External"/><Relationship Id="rId286" Type="http://schemas.openxmlformats.org/officeDocument/2006/relationships/hyperlink" Target="https://drive.google.com/file/d/1p5HWknnbV7SUvpXnUcc4qkRyOeE_j1l3/view?usp=sharing" TargetMode="External"/><Relationship Id="rId164" Type="http://schemas.openxmlformats.org/officeDocument/2006/relationships/hyperlink" Target="https://drive.google.com/file/d/11IWTqo2_TPXCqLk6fySiuXhT5YGrAwB5/view?usp=sharing" TargetMode="External"/><Relationship Id="rId285" Type="http://schemas.openxmlformats.org/officeDocument/2006/relationships/hyperlink" Target="https://drive.google.com/file/d/1GVeMonNOMJ62Mcq0dIBsqYdT1FBGIoyS/view?usp=sharing" TargetMode="External"/><Relationship Id="rId163" Type="http://schemas.openxmlformats.org/officeDocument/2006/relationships/hyperlink" Target="https://drive.google.com/file/d/1YIcpMLyw6erUI--bax-v_KExD4MKF2jg/view?usp=sharing" TargetMode="External"/><Relationship Id="rId284" Type="http://schemas.openxmlformats.org/officeDocument/2006/relationships/hyperlink" Target="https://drive.google.com/file/d/1kUrgnXrHUcEAXnY2dnrruZufLVXCxmRZ/view?usp=sharing" TargetMode="External"/><Relationship Id="rId162" Type="http://schemas.openxmlformats.org/officeDocument/2006/relationships/hyperlink" Target="https://drive.google.com/file/d/1pce4P_ojedpsX0H8TEty2ZhCKe5-AAIT/view?usp=drive_link" TargetMode="External"/><Relationship Id="rId283" Type="http://schemas.openxmlformats.org/officeDocument/2006/relationships/hyperlink" Target="https://drive.google.com/file/d/1yfR8btU-5LRB3G7uUdxlZmA3kMD3g4jQ/view?usp=drivesdk" TargetMode="External"/><Relationship Id="rId169" Type="http://schemas.openxmlformats.org/officeDocument/2006/relationships/hyperlink" Target="https://drive.google.com/file/d/11Xn_dR25H7SDxcc5x0ctmSrPLuuUtdVQ/view?usp=sharing" TargetMode="External"/><Relationship Id="rId168" Type="http://schemas.openxmlformats.org/officeDocument/2006/relationships/hyperlink" Target="https://drive.google.com/file/d/1nmK3YhD3pvrqYIAQA3Xcl9NlEGeM8c94/view?usp=sharing" TargetMode="External"/><Relationship Id="rId289" Type="http://schemas.openxmlformats.org/officeDocument/2006/relationships/hyperlink" Target="https://drive.google.com/file/d/1GdLympUhsuhjeDRe60ia_VrVNk7pukfG/view?usp=sharing" TargetMode="External"/><Relationship Id="rId167" Type="http://schemas.openxmlformats.org/officeDocument/2006/relationships/hyperlink" Target="https://drive.google.com/file/d/1eqYqkXW0CojtJb9NSHOiyEipnSWUUfAa/view?usp=sharing" TargetMode="External"/><Relationship Id="rId288" Type="http://schemas.openxmlformats.org/officeDocument/2006/relationships/hyperlink" Target="https://drive.google.com/file/d/13FxjqlV--iJdkhvB4e5FyrpNu72hP22r/view?usp=sharing" TargetMode="External"/><Relationship Id="rId166" Type="http://schemas.openxmlformats.org/officeDocument/2006/relationships/hyperlink" Target="https://drive.google.com/file/d/1nvL01xLUhpZP-nPnmEYQE0YNT2r_O_bV/view?usp=sharing" TargetMode="External"/><Relationship Id="rId287" Type="http://schemas.openxmlformats.org/officeDocument/2006/relationships/hyperlink" Target="https://drive.google.com/file/d/13jqcGIZZ7fNcaYwVZIUD57M6zKPEfvld/view?usp=sharing" TargetMode="External"/><Relationship Id="rId161" Type="http://schemas.openxmlformats.org/officeDocument/2006/relationships/hyperlink" Target="https://drive.google.com/file/d/1bF7NWnv4SPJun9sdWBm7nfLUIze7iJ8F/view?usp=sharing" TargetMode="External"/><Relationship Id="rId282" Type="http://schemas.openxmlformats.org/officeDocument/2006/relationships/hyperlink" Target="https://drive.google.com/file/d/1ISz5lKeh1EDPDqIsrEBqac2OTG9rr_QK/view?usp=drivesdk" TargetMode="External"/><Relationship Id="rId160" Type="http://schemas.openxmlformats.org/officeDocument/2006/relationships/hyperlink" Target="https://drive.google.com/file/d/1LvESCxXVX7xYxmIv9kSf_CgYI9fIv0Ll/view?usp=drive_link" TargetMode="External"/><Relationship Id="rId281" Type="http://schemas.openxmlformats.org/officeDocument/2006/relationships/hyperlink" Target="https://drive.google.com/file/d/1nSZKXyoo4q1cG94R91V_B5dzxMIgYNhY/view?usp=drive_link" TargetMode="External"/><Relationship Id="rId280" Type="http://schemas.openxmlformats.org/officeDocument/2006/relationships/hyperlink" Target="https://drive.google.com/file/d/1uROuR8Zvz4Gfk2xNV2Yb5MmERV6a3gaA/view?usp=drive_link" TargetMode="External"/><Relationship Id="rId159" Type="http://schemas.openxmlformats.org/officeDocument/2006/relationships/hyperlink" Target="https://drive.google.com/file/d/1t5eyWCJourpwjcegCgZVxyvaH_x10iIX/view?usp=drivesdk" TargetMode="External"/><Relationship Id="rId154" Type="http://schemas.openxmlformats.org/officeDocument/2006/relationships/hyperlink" Target="https://drive.google.com/file/d/1UpPdqNxKPc_sr1wGrrA54V7ggYuBblY8/view?usp=sharing" TargetMode="External"/><Relationship Id="rId275" Type="http://schemas.openxmlformats.org/officeDocument/2006/relationships/hyperlink" Target="https://drive.google.com/file/d/1eTqf5G7rCLwKnfIL7trnxWI_S8Kvg2HM/view?usp=sharing" TargetMode="External"/><Relationship Id="rId396" Type="http://schemas.openxmlformats.org/officeDocument/2006/relationships/hyperlink" Target="https://drive.google.com/file/d/1XkL6bm4HJuJzc425LqNZMtYKdT5VOlV0/view?usp=sharing" TargetMode="External"/><Relationship Id="rId153" Type="http://schemas.openxmlformats.org/officeDocument/2006/relationships/hyperlink" Target="https://drive.google.com/file/d/1s7mrOjuyjUbX5q042e1wqbeetiTbBqXA/view?usp=sharing" TargetMode="External"/><Relationship Id="rId274" Type="http://schemas.openxmlformats.org/officeDocument/2006/relationships/hyperlink" Target="https://drive.google.com/file/d/197OfHJ_ZBtTEDUF8Lj6exVeC8-wGzoe-/view?usp=sharing" TargetMode="External"/><Relationship Id="rId395" Type="http://schemas.openxmlformats.org/officeDocument/2006/relationships/hyperlink" Target="https://drive.google.com/file/d/1aCN3RnxdiyZ6iTOKy05d8oSXAy6Vbn7J/view?usp=sharing" TargetMode="External"/><Relationship Id="rId152" Type="http://schemas.openxmlformats.org/officeDocument/2006/relationships/hyperlink" Target="https://drive.google.com/file/d/189JBiJpr3DZtvy8kop9NJytM3CEkpj7h/view?usp=sharing" TargetMode="External"/><Relationship Id="rId273" Type="http://schemas.openxmlformats.org/officeDocument/2006/relationships/hyperlink" Target="https://drive.google.com/file/d/130cZHgmpf-W7PUlQJ41WU8osKcXQvxyW/view?usp=sharing" TargetMode="External"/><Relationship Id="rId394" Type="http://schemas.openxmlformats.org/officeDocument/2006/relationships/hyperlink" Target="https://drive.google.com/file/d/1zA06ykxUNA1JtZ1u3nE5qljbkrn88AH3/view?usp=sharing" TargetMode="External"/><Relationship Id="rId151" Type="http://schemas.openxmlformats.org/officeDocument/2006/relationships/hyperlink" Target="https://drive.google.com/file/d/1bU5tg0R3jEVjH1bO6Mlj38pbZqbKXcjV/view?usp=drivesdk" TargetMode="External"/><Relationship Id="rId272" Type="http://schemas.openxmlformats.org/officeDocument/2006/relationships/hyperlink" Target="https://drive.google.com/file/d/1dmiW_Ajp-5EDBriIXby6j5QUpu36h7Yp/view?usp=sharing" TargetMode="External"/><Relationship Id="rId393" Type="http://schemas.openxmlformats.org/officeDocument/2006/relationships/hyperlink" Target="https://drive.google.com/file/d/1k8faK3bMy1ZWvJjkUKFf1nU5qRIAMQsj/view?usp=sharing" TargetMode="External"/><Relationship Id="rId158" Type="http://schemas.openxmlformats.org/officeDocument/2006/relationships/hyperlink" Target="https://drive.google.com/file/d/1NHxqrLSswufWnvMwJr6vmqDFfzhdz8HF/view?usp=drivesdk" TargetMode="External"/><Relationship Id="rId279" Type="http://schemas.openxmlformats.org/officeDocument/2006/relationships/hyperlink" Target="https://drive.google.com/file/d/1PE8Ju7_dNpRVATTaeR9sjkKFt8ASdldy/view?usp=sharing" TargetMode="External"/><Relationship Id="rId157" Type="http://schemas.openxmlformats.org/officeDocument/2006/relationships/hyperlink" Target="https://drive.google.com/file/d/1ZIkQhOd4JUVDxQWDwnDwQ-O-tVp793Ke/view?usp=sharing" TargetMode="External"/><Relationship Id="rId278" Type="http://schemas.openxmlformats.org/officeDocument/2006/relationships/hyperlink" Target="https://drive.google.com/file/d/12FnWB0j_Ezsh66xPIf2lDDBsnIy2UIbD/view?usp=sharing" TargetMode="External"/><Relationship Id="rId399" Type="http://schemas.openxmlformats.org/officeDocument/2006/relationships/hyperlink" Target="https://drive.google.com/file/d/15mwRkXLr_nCW1QTHNTsoVpOHfm87Bm_E/view?usp=drivesdk" TargetMode="External"/><Relationship Id="rId156" Type="http://schemas.openxmlformats.org/officeDocument/2006/relationships/hyperlink" Target="https://drive.google.com/file/d/1QkoIY9PYtn_Kn0odHCVF_eCs1GL_LL7H/view?usp=sharing" TargetMode="External"/><Relationship Id="rId277" Type="http://schemas.openxmlformats.org/officeDocument/2006/relationships/hyperlink" Target="https://drive.google.com/file/d/1Q2o7F_CmF2yddPTRNHbfI9ITMt76aQWd/view?usp=sharing" TargetMode="External"/><Relationship Id="rId398" Type="http://schemas.openxmlformats.org/officeDocument/2006/relationships/hyperlink" Target="https://drive.google.com/file/d/1rZI7-SiZAOB7NUnsO9n68cEl-txaqh7W/view?usp=drivesdk" TargetMode="External"/><Relationship Id="rId155" Type="http://schemas.openxmlformats.org/officeDocument/2006/relationships/hyperlink" Target="https://drive.google.com/file/d/14bQmbEdmUXmm8Av1ERL5ZGJE_Yj1qS1T/view?usp=sharing" TargetMode="External"/><Relationship Id="rId276" Type="http://schemas.openxmlformats.org/officeDocument/2006/relationships/hyperlink" Target="https://drive.google.com/file/d/1l6POI80q2n358eFGV2XjZjdVUySqfIpL/view?usp=sharing" TargetMode="External"/><Relationship Id="rId397" Type="http://schemas.openxmlformats.org/officeDocument/2006/relationships/hyperlink" Target="https://drive.google.com/file/d/1jknOGlysI5rhLjr3o2SzcPdTY7r77jgr/view?usp=sharing" TargetMode="External"/><Relationship Id="rId40" Type="http://schemas.openxmlformats.org/officeDocument/2006/relationships/hyperlink" Target="https://drive.google.com/file/d/1ptB4axX90NcZbak-LEaVpfT4NQCO7gjV/view?usp=sharing" TargetMode="External"/><Relationship Id="rId42" Type="http://schemas.openxmlformats.org/officeDocument/2006/relationships/hyperlink" Target="https://drive.google.com/file/d/1_XP_buF8A7PG69O03LyK7MygbmQzimUL/view?usp=sharing" TargetMode="External"/><Relationship Id="rId41" Type="http://schemas.openxmlformats.org/officeDocument/2006/relationships/hyperlink" Target="https://drive.google.com/file/d/1edmeqwEgm5BYgGJmdJKIWSoliEFMa-9G/view?usp=sharing" TargetMode="External"/><Relationship Id="rId44" Type="http://schemas.openxmlformats.org/officeDocument/2006/relationships/hyperlink" Target="https://drive.google.com/file/d/1eVmSz6P6VBwjscrJIQ94PJ8a-rQrZbYZ/view?usp=sharing" TargetMode="External"/><Relationship Id="rId43" Type="http://schemas.openxmlformats.org/officeDocument/2006/relationships/hyperlink" Target="https://drive.google.com/file/d/1lrvKcBkCP0giq43LyiByPG48o5yi1czv/view?usp=sharing" TargetMode="External"/><Relationship Id="rId46" Type="http://schemas.openxmlformats.org/officeDocument/2006/relationships/hyperlink" Target="https://drive.google.com/file/d/1X8Y-DY-drae7kAGDqOKjQ0VhrfGpO1AT/view?usp=sharing" TargetMode="External"/><Relationship Id="rId45" Type="http://schemas.openxmlformats.org/officeDocument/2006/relationships/hyperlink" Target="https://drive.google.com/file/d/1uTCSi8QAZyaNhdNKflSpU1exP38jZmvO/view?usp=sharing" TargetMode="External"/><Relationship Id="rId48" Type="http://schemas.openxmlformats.org/officeDocument/2006/relationships/hyperlink" Target="https://drive.google.com/file/d/1p7lGKMC9QgpJzhIicXUJwcR0TmYxrn_U/view?usp=drive_link" TargetMode="External"/><Relationship Id="rId47" Type="http://schemas.openxmlformats.org/officeDocument/2006/relationships/hyperlink" Target="https://drive.google.com/file/d/10E6B7LIklPwQKIw7_P1XffGiYGumwsmE/view?usp=sharing" TargetMode="External"/><Relationship Id="rId49" Type="http://schemas.openxmlformats.org/officeDocument/2006/relationships/hyperlink" Target="https://drive.google.com/file/d/1zxSn6VUduXpMRAgg7QPsMqCpvRPfD77P/view?usp=drive_link" TargetMode="External"/><Relationship Id="rId31" Type="http://schemas.openxmlformats.org/officeDocument/2006/relationships/hyperlink" Target="https://drive.google.com/drive/folders/1S7KDglkFYpU8RIb0j_70T2r17nQEsRmz?usp=sharing" TargetMode="External"/><Relationship Id="rId30" Type="http://schemas.openxmlformats.org/officeDocument/2006/relationships/hyperlink" Target="https://drive.google.com/drive/folders/11rMD6eByEOWepXNSlNIpNcP1BSAlc47l?usp=sharing" TargetMode="External"/><Relationship Id="rId33" Type="http://schemas.openxmlformats.org/officeDocument/2006/relationships/hyperlink" Target="https://drive.google.com/file/d/1LYEP3QelsNW3gX6MHae6r1Kc-6D4XZ6Y/view?usp=sharing" TargetMode="External"/><Relationship Id="rId32" Type="http://schemas.openxmlformats.org/officeDocument/2006/relationships/hyperlink" Target="https://drive.google.com/file/d/183dH8eZGNo1VhpW9u2ktXV6ZKmfX0uvx/view?usp=sharing" TargetMode="External"/><Relationship Id="rId35" Type="http://schemas.openxmlformats.org/officeDocument/2006/relationships/hyperlink" Target="https://drive.google.com/file/d/1GiDbJzVsxCoxsHgon1P_Uya3AIp7zo1D/view?usp=sharing" TargetMode="External"/><Relationship Id="rId34" Type="http://schemas.openxmlformats.org/officeDocument/2006/relationships/hyperlink" Target="https://drive.google.com/file/d/1--RgQT9oPO7gj_Ag3qqmPMICjE3cKvKq/view?usp=sharing" TargetMode="External"/><Relationship Id="rId37" Type="http://schemas.openxmlformats.org/officeDocument/2006/relationships/hyperlink" Target="https://drive.google.com/file/d/1kyZtwnZvHRXTvk4NI62d62_yYW1aIdBX/view?usp=drivesdk" TargetMode="External"/><Relationship Id="rId36" Type="http://schemas.openxmlformats.org/officeDocument/2006/relationships/hyperlink" Target="https://drive.google.com/file/d/1hjdqAongz3U-f-eLTbxs2xbXO8_f2quQ/view?usp=drivesdk" TargetMode="External"/><Relationship Id="rId39" Type="http://schemas.openxmlformats.org/officeDocument/2006/relationships/hyperlink" Target="https://drive.google.com/file/d/1YjS8nIXDIMFaZc05ErRxzn4oddepUtSs/view?usp=drive_link" TargetMode="External"/><Relationship Id="rId38" Type="http://schemas.openxmlformats.org/officeDocument/2006/relationships/hyperlink" Target="https://drive.google.com/file/d/1OSdsf-K_mhaINRnT4A-7bhWPtKid1Est/view?usp=drive_link" TargetMode="External"/><Relationship Id="rId20" Type="http://schemas.openxmlformats.org/officeDocument/2006/relationships/hyperlink" Target="https://drive.google.com/file/d/1UiIvbkWUDjkrKrulbK-9G6IDPRUIkTqD/view?usp=sharing" TargetMode="External"/><Relationship Id="rId22" Type="http://schemas.openxmlformats.org/officeDocument/2006/relationships/hyperlink" Target="https://drive.google.com/file/d/17NVSrZH4a6YLyB0QmBk6O_RD9UFQuxDU/view?usp=sharing" TargetMode="External"/><Relationship Id="rId21" Type="http://schemas.openxmlformats.org/officeDocument/2006/relationships/hyperlink" Target="https://drive.google.com/file/d/1fb9-8gr4nDGttM2jX7KWCrbuiiagx8jb/view?usp=sharing" TargetMode="External"/><Relationship Id="rId24" Type="http://schemas.openxmlformats.org/officeDocument/2006/relationships/hyperlink" Target="https://drive.google.com/file/d/1cHUua9Yp7yTu3yZaMVO5pyc4DYOE-GY-/view?usp=sharing" TargetMode="External"/><Relationship Id="rId23" Type="http://schemas.openxmlformats.org/officeDocument/2006/relationships/hyperlink" Target="https://drive.google.com/file/d/1pOj_ZE1E26W04SFCJGoly7MVc71fYpKV/view?usp=sharing" TargetMode="External"/><Relationship Id="rId409" Type="http://schemas.openxmlformats.org/officeDocument/2006/relationships/hyperlink" Target="https://drive.google.com/file/d/1rtr9UV3cvTl_YoRUAb1hTRQa-ieuY0Jv/view?usp=sharing" TargetMode="External"/><Relationship Id="rId404" Type="http://schemas.openxmlformats.org/officeDocument/2006/relationships/hyperlink" Target="https://drive.google.com/file/d/1BRFlndqHUXMD5ECEdQj-Vaz-wOBh04Gc/view?usp=drivesdk" TargetMode="External"/><Relationship Id="rId403" Type="http://schemas.openxmlformats.org/officeDocument/2006/relationships/hyperlink" Target="https://drive.google.com/file/d/1gwIw3m8TYhK6uAkioCKFTjIv7cFObI1D/view?usp=sharing" TargetMode="External"/><Relationship Id="rId402" Type="http://schemas.openxmlformats.org/officeDocument/2006/relationships/hyperlink" Target="https://docs.google.com/document/d/1zzkUISYcYB0pUsPj9rbD4Le6m0kh__Aji58kZOu7cjs/edit?usp=sharing" TargetMode="External"/><Relationship Id="rId401" Type="http://schemas.openxmlformats.org/officeDocument/2006/relationships/hyperlink" Target="https://drive.google.com/file/d/1oFKkuTGEfncGcIY6bZH-OKDEu3nFyHUy/view?usp=drive_link" TargetMode="External"/><Relationship Id="rId408" Type="http://schemas.openxmlformats.org/officeDocument/2006/relationships/hyperlink" Target="https://drive.google.com/file/d/1Ixg3ykaUUlY3hbc0InJCn7Rv52KQXsYG/view?usp=sharing" TargetMode="External"/><Relationship Id="rId407" Type="http://schemas.openxmlformats.org/officeDocument/2006/relationships/hyperlink" Target="https://drive.google.com/file/d/1g6kyGKHQK3Sf9zWKE2JNQsZF3zAh976I/view" TargetMode="External"/><Relationship Id="rId406" Type="http://schemas.openxmlformats.org/officeDocument/2006/relationships/hyperlink" Target="mailto:21f2001077@ds.study.iitm.ac.in" TargetMode="External"/><Relationship Id="rId405" Type="http://schemas.openxmlformats.org/officeDocument/2006/relationships/hyperlink" Target="https://drive.google.com/file/d/1y9CPtFvjTftiA6BfqmpZ3w_BjaalB8cQ/view?usp=drivesdk" TargetMode="External"/><Relationship Id="rId26" Type="http://schemas.openxmlformats.org/officeDocument/2006/relationships/hyperlink" Target="https://drive.google.com/file/d/1QIKNOmw4v7sx7ZUmmf6MA8_MGQ3SO_j3/view?usp=sharing" TargetMode="External"/><Relationship Id="rId25" Type="http://schemas.openxmlformats.org/officeDocument/2006/relationships/hyperlink" Target="https://drive.google.com/file/d/1Y4ppnibkhhOfc5C130KZnccFLJx0ukDw/view?usp=sharing" TargetMode="External"/><Relationship Id="rId28" Type="http://schemas.openxmlformats.org/officeDocument/2006/relationships/hyperlink" Target="https://drive.google.com/file/d/1FdE5vRZ0AUTwpF4lor-Cl5HK4IIJYyBr/view?usp=sharing" TargetMode="External"/><Relationship Id="rId27" Type="http://schemas.openxmlformats.org/officeDocument/2006/relationships/hyperlink" Target="https://drive.google.com/file/d/1mb_z_i5jSq-3jkBIOFwhSH6Y6FSb34hd/view?usp=sharing" TargetMode="External"/><Relationship Id="rId400" Type="http://schemas.openxmlformats.org/officeDocument/2006/relationships/hyperlink" Target="https://drive.google.com/file/d/1njgX8yM21P04_RCJ-rPHIO1284Ue7BJo/view?usp=drive_link" TargetMode="External"/><Relationship Id="rId29" Type="http://schemas.openxmlformats.org/officeDocument/2006/relationships/hyperlink" Target="https://drive.google.com/file/d/1ZgPZdWs-4-gz_Nk8DoLISIFLljBpdPld/view?usp=sharing" TargetMode="External"/><Relationship Id="rId11" Type="http://schemas.openxmlformats.org/officeDocument/2006/relationships/hyperlink" Target="https://drive.google.com/file/d/1lIIjxU9wRsvSqkTxIDJ5Yg0HroeKUmsi/view?usp=sharing" TargetMode="External"/><Relationship Id="rId10" Type="http://schemas.openxmlformats.org/officeDocument/2006/relationships/hyperlink" Target="https://drive.google.com/file/d/1-lOxwgw9zWIPMTzSdpMIxPGg5cRhf6D3/view?usp=sharing" TargetMode="External"/><Relationship Id="rId13" Type="http://schemas.openxmlformats.org/officeDocument/2006/relationships/hyperlink" Target="https://drive.google.com/file/d/17owpwBK8XDOztVMb65SZwugPvDx5TxTd/view?usp=sharing" TargetMode="External"/><Relationship Id="rId12" Type="http://schemas.openxmlformats.org/officeDocument/2006/relationships/hyperlink" Target="https://drive.google.com/file/d/1sJTI6UbWmlqtP-iRAdGYOq4il1M3EBQP/view?usp=sharing" TargetMode="External"/><Relationship Id="rId15" Type="http://schemas.openxmlformats.org/officeDocument/2006/relationships/hyperlink" Target="https://drive.google.com/file/d/1AtR2B02Va2xmDG8uICY4uK3B-tHv9pMP/view?usp=sharing" TargetMode="External"/><Relationship Id="rId14" Type="http://schemas.openxmlformats.org/officeDocument/2006/relationships/hyperlink" Target="https://drive.google.com/drive/folders/1vkiPiML-Mvn-Ccy-csQ1llqqBwCjeHA6?usp=sharing" TargetMode="External"/><Relationship Id="rId17" Type="http://schemas.openxmlformats.org/officeDocument/2006/relationships/hyperlink" Target="https://drive.google.com/drive/folders/1u2SZDdmETHMdoxLpGK2te0m46KpK4W5b?usp=sharing" TargetMode="External"/><Relationship Id="rId16" Type="http://schemas.openxmlformats.org/officeDocument/2006/relationships/hyperlink" Target="https://drive.google.com/drive/folders/1u2SZDdmETHMdoxLpGK2te0m46KpK4W5b?usp=sharing" TargetMode="External"/><Relationship Id="rId19" Type="http://schemas.openxmlformats.org/officeDocument/2006/relationships/hyperlink" Target="https://drive.google.com/file/d/1LLAgH8KUNNtDMidYJfzuKNMS4h5T58cL/view?usp=sharing" TargetMode="External"/><Relationship Id="rId18" Type="http://schemas.openxmlformats.org/officeDocument/2006/relationships/hyperlink" Target="https://drive.google.com/file/d/18muD-khy1al_mL8LuhR3Nn6_eYRxhaPO/view?usp=sharing" TargetMode="External"/><Relationship Id="rId84" Type="http://schemas.openxmlformats.org/officeDocument/2006/relationships/hyperlink" Target="https://drive.google.com/file/d/1TLkQuvM3F_8C3taoEVPk2iD255XPEtBf/view?usp=drivesdk" TargetMode="External"/><Relationship Id="rId83" Type="http://schemas.openxmlformats.org/officeDocument/2006/relationships/hyperlink" Target="https://drive.google.com/file/d/1DMgWHobfoT7XLdSqrgqxj5gczv_cJzxY/view?usp=sharing" TargetMode="External"/><Relationship Id="rId86" Type="http://schemas.openxmlformats.org/officeDocument/2006/relationships/hyperlink" Target="https://drive.google.com/file/d/1FIsbD7p0ZiIlAxB4w67DVVQf4V7kMIMX/view?usp=drive_link" TargetMode="External"/><Relationship Id="rId85" Type="http://schemas.openxmlformats.org/officeDocument/2006/relationships/hyperlink" Target="https://drive.google.com/file/d/1gmbB0rn4vzxoLo-be7ugHWdmgT8g-8-X/view?usp=drivesdk" TargetMode="External"/><Relationship Id="rId88" Type="http://schemas.openxmlformats.org/officeDocument/2006/relationships/hyperlink" Target="https://drive.google.com/file/d/1N52F2IKefK4sS03bn7zzoFbgw4z7624J/view?usp=drive_link" TargetMode="External"/><Relationship Id="rId87" Type="http://schemas.openxmlformats.org/officeDocument/2006/relationships/hyperlink" Target="https://drive.google.com/file/d/1r2bUjtiMNAEyeLmkqLopv__ejcWHBoWo/view?usp=sharing" TargetMode="External"/><Relationship Id="rId89" Type="http://schemas.openxmlformats.org/officeDocument/2006/relationships/hyperlink" Target="https://drive.google.com/file/d/1vXarNe1-okuRYjgpHUwI85WwU4DcASLp/view?usp=sharing" TargetMode="External"/><Relationship Id="rId80" Type="http://schemas.openxmlformats.org/officeDocument/2006/relationships/hyperlink" Target="https://drive.google.com/file/d/1v4BoGSc-3JFI_xYJQ8bZcuE7Uy3lA4pU/view?usp=drive_link" TargetMode="External"/><Relationship Id="rId82" Type="http://schemas.openxmlformats.org/officeDocument/2006/relationships/hyperlink" Target="https://drive.google.com/file/d/1N-2uWCwCBQE-sEJjsZ_O3ThlNA0e_CYK/view?usp=sharing" TargetMode="External"/><Relationship Id="rId81" Type="http://schemas.openxmlformats.org/officeDocument/2006/relationships/hyperlink" Target="https://drive.google.com/file/d/1G7PFQvTG4FuzTuV-n-NXnXMALFKf-d95/view?usp=drive_link" TargetMode="External"/><Relationship Id="rId73" Type="http://schemas.openxmlformats.org/officeDocument/2006/relationships/hyperlink" Target="https://drive.google.com/file/d/104YvqGild8Vt808vVVGOTIsyetOmMifL/view?usp=drive_link" TargetMode="External"/><Relationship Id="rId72" Type="http://schemas.openxmlformats.org/officeDocument/2006/relationships/hyperlink" Target="https://drive.google.com/file/d/1ICl4XvnvDVaULmKz_QtIpuT0kIcJ7JFD/view?usp=drive_link" TargetMode="External"/><Relationship Id="rId75" Type="http://schemas.openxmlformats.org/officeDocument/2006/relationships/hyperlink" Target="https://drive.google.com/file/d/1l31UUR3Sfkcuvgapc01Qp2Q5MYuSEy2J/view?usp=sharing" TargetMode="External"/><Relationship Id="rId74" Type="http://schemas.openxmlformats.org/officeDocument/2006/relationships/hyperlink" Target="https://drive.google.com/file/d/1JPurK8Ge1SfIzFUGmCdOb9qxw92ZfV0o/view?usp=sharing" TargetMode="External"/><Relationship Id="rId77" Type="http://schemas.openxmlformats.org/officeDocument/2006/relationships/hyperlink" Target="https://drive.google.com/file/d/1OBXuDm1nYAPG9Cxwx-5Lnx0Ont2-k6uH/view?usp=sharing" TargetMode="External"/><Relationship Id="rId76" Type="http://schemas.openxmlformats.org/officeDocument/2006/relationships/hyperlink" Target="https://drive.google.com/file/d/1nqg7XV4IOeYGBi_FvAFJf-ebhA5alDUF/view?usp=sharing" TargetMode="External"/><Relationship Id="rId79" Type="http://schemas.openxmlformats.org/officeDocument/2006/relationships/hyperlink" Target="https://drive.google.com/file/d/16JeH8-awyX4uUeDENa1aiKvKwMdXa8Lz/view?usp=sharing" TargetMode="External"/><Relationship Id="rId78" Type="http://schemas.openxmlformats.org/officeDocument/2006/relationships/hyperlink" Target="https://docs.google.com/document/d/1GM-rbGSFSwRbcBjh9naWdoBGLBKlgElz/edit?usp=sharing&amp;ouid=109871065382861790898&amp;rtpof=true&amp;sd=true" TargetMode="External"/><Relationship Id="rId71" Type="http://schemas.openxmlformats.org/officeDocument/2006/relationships/hyperlink" Target="https://drive.google.com/file/d/15mwRkXLr_nCW1QTHNTsoVpOHfm87Bm_E/view?usp=drive_link" TargetMode="External"/><Relationship Id="rId70" Type="http://schemas.openxmlformats.org/officeDocument/2006/relationships/hyperlink" Target="https://drive.google.com/file/d/1YwcPdkKa-Q_XtNzIdFoIZX45y5OE-OwQ/view?usp=drive_link" TargetMode="External"/><Relationship Id="rId62" Type="http://schemas.openxmlformats.org/officeDocument/2006/relationships/hyperlink" Target="https://drive.google.com/file/d/1cHUua9Yp7yTu3yZaMVO5pyc4DYOE-GY-/view?usp=sharing" TargetMode="External"/><Relationship Id="rId61" Type="http://schemas.openxmlformats.org/officeDocument/2006/relationships/hyperlink" Target="https://drive.google.com/file/d/1IUMYL-O_OSzLfHsEsIEwUH3D-d_LSH15/view?usp=sharing" TargetMode="External"/><Relationship Id="rId64" Type="http://schemas.openxmlformats.org/officeDocument/2006/relationships/hyperlink" Target="https://drive.google.com/file/d/1AOoJx6_JulQVlhP2G_nW4VBsB95ER98K/view?usp=sharing" TargetMode="External"/><Relationship Id="rId63" Type="http://schemas.openxmlformats.org/officeDocument/2006/relationships/hyperlink" Target="https://drive.google.com/file/d/1Y4ppnibkhhOfc5C130KZnccFLJx0ukDw/view?usp=drive_link" TargetMode="External"/><Relationship Id="rId66" Type="http://schemas.openxmlformats.org/officeDocument/2006/relationships/hyperlink" Target="https://docs.google.com/document/d/1lbxZHkwm5MfyMc6HtUYcFJGGDOeOa7UbU-o8Q3xCvSw/edit?usp=sharing" TargetMode="External"/><Relationship Id="rId65" Type="http://schemas.openxmlformats.org/officeDocument/2006/relationships/hyperlink" Target="https://drive.google.com/file/d/1h-WhoX0NAjzRgsKMimo26zI1bd_dZ9Ay/view?usp=sharing" TargetMode="External"/><Relationship Id="rId68" Type="http://schemas.openxmlformats.org/officeDocument/2006/relationships/hyperlink" Target="https://drive.google.com/file/d/1njgX8yM21P04_RCJ-rPHIO1284Ue7BJo/view?usp=sharing" TargetMode="External"/><Relationship Id="rId67" Type="http://schemas.openxmlformats.org/officeDocument/2006/relationships/hyperlink" Target="https://drive.google.com/file/d/17RfAzrZqCFU2b4LJqzrN9Y7sYQlrLqSI/view?usp=sharing" TargetMode="External"/><Relationship Id="rId60" Type="http://schemas.openxmlformats.org/officeDocument/2006/relationships/hyperlink" Target="https://drive.google.com/file/d/1IUMYL-O_OSzLfHsEsIEwUH3D-d_LSH15/view?usp=sharing" TargetMode="External"/><Relationship Id="rId69" Type="http://schemas.openxmlformats.org/officeDocument/2006/relationships/hyperlink" Target="https://drive.google.com/file/d/1oFKkuTGEfncGcIY6bZH-OKDEu3nFyHUy/view?usp=drive_link" TargetMode="External"/><Relationship Id="rId51" Type="http://schemas.openxmlformats.org/officeDocument/2006/relationships/hyperlink" Target="https://drive.google.com/file/d/1H3UsSm7fehLCqDR_KV8o_500kapm7Gu_/view?usp=sharing" TargetMode="External"/><Relationship Id="rId50" Type="http://schemas.openxmlformats.org/officeDocument/2006/relationships/hyperlink" Target="https://drive.google.com/file/d/1yEgY6U7X2W6ioN7DAc3y4GBCY9MG-S_W/view?usp=sharing" TargetMode="External"/><Relationship Id="rId53" Type="http://schemas.openxmlformats.org/officeDocument/2006/relationships/hyperlink" Target="https://drive.google.com/file/d/1MpnEt5RlFbF8VyHX11MSIZWarOZtdK39/view?usp=sharing" TargetMode="External"/><Relationship Id="rId52" Type="http://schemas.openxmlformats.org/officeDocument/2006/relationships/hyperlink" Target="https://drive.google.com/file/d/16zBCeh1DHaM5XN5Dfa0OMLt1E3dWdyY0/view?usp=sharing" TargetMode="External"/><Relationship Id="rId55" Type="http://schemas.openxmlformats.org/officeDocument/2006/relationships/hyperlink" Target="https://drive.google.com/file/d/1zvMBwHTHK-Bu_bsdGSOYCZ6h6BGas1U1/view?usp=sharing" TargetMode="External"/><Relationship Id="rId54" Type="http://schemas.openxmlformats.org/officeDocument/2006/relationships/hyperlink" Target="https://drive.google.com/file/d/1luUnj_gunRXjBFhntu7JkzM3jbPHvxwt/view?usp=sharing" TargetMode="External"/><Relationship Id="rId57" Type="http://schemas.openxmlformats.org/officeDocument/2006/relationships/hyperlink" Target="https://drive.google.com/file/d/1unvZ6U0bnT-Pd1f_rF5lLq_1gC0iP8HK/view?usp=drivesdk" TargetMode="External"/><Relationship Id="rId56" Type="http://schemas.openxmlformats.org/officeDocument/2006/relationships/hyperlink" Target="https://drive.google.com/file/d/1Dr3WPgbfqgYeiqw-0mV8zJEOhB-BN389/view?usp=drivesdk" TargetMode="External"/><Relationship Id="rId59" Type="http://schemas.openxmlformats.org/officeDocument/2006/relationships/hyperlink" Target="https://drive.google.com/file/d/1_qLCAUoD2_mHD20HkzZXe5cpC4vhjMV9/view?usp=sharing" TargetMode="External"/><Relationship Id="rId58" Type="http://schemas.openxmlformats.org/officeDocument/2006/relationships/hyperlink" Target="https://drive.google.com/file/d/1Z4MqYh1eYb5zS1qK5UPDMyVfesNA-5Eo/view?usp=sharing" TargetMode="External"/><Relationship Id="rId107" Type="http://schemas.openxmlformats.org/officeDocument/2006/relationships/hyperlink" Target="https://drive.google.com/file/d/1qas9XfSxuMx-2vt6KN4Mt0AbOD79qgsb/view?usp=sharing" TargetMode="External"/><Relationship Id="rId228" Type="http://schemas.openxmlformats.org/officeDocument/2006/relationships/hyperlink" Target="https://drive.google.com/file/d/1XkL6bm4HJuJzc425LqNZMtYKdT5VOlV0/view?usp=sharing" TargetMode="External"/><Relationship Id="rId349" Type="http://schemas.openxmlformats.org/officeDocument/2006/relationships/hyperlink" Target="https://drive.google.com/drive/folders/1SDR5XKoMgW_eHSSZ1gMzfc9Sso-Aqg7C?usp=sharing" TargetMode="External"/><Relationship Id="rId106" Type="http://schemas.openxmlformats.org/officeDocument/2006/relationships/hyperlink" Target="https://drive.google.com/file/d/1uymNbN4hvbWhbknV5QOTHiJJ2nWbwKAD/view?usp=sharing" TargetMode="External"/><Relationship Id="rId227" Type="http://schemas.openxmlformats.org/officeDocument/2006/relationships/hyperlink" Target="https://drive.google.com/file/d/1m28anVmeMk94rr4T04G-Zhb8E2v8oxOo/view?usp=sharing" TargetMode="External"/><Relationship Id="rId348" Type="http://schemas.openxmlformats.org/officeDocument/2006/relationships/hyperlink" Target="https://drive.google.com/drive/folders/1SDR5XKoMgW_eHSSZ1gMzfc9Sso-Aqg7C?usp=sharing" TargetMode="External"/><Relationship Id="rId105" Type="http://schemas.openxmlformats.org/officeDocument/2006/relationships/hyperlink" Target="https://drive.google.com/file/d/1Gpg3_ZQ4ybQZ_MMGK1sWZMJi5YpuK90W/view?usp=sharing" TargetMode="External"/><Relationship Id="rId226" Type="http://schemas.openxmlformats.org/officeDocument/2006/relationships/hyperlink" Target="https://drive.google.com/drive/folders/1199vmxAOAw3V7P3-L7KBt9YgmHE-c0iJ?usp=sharing" TargetMode="External"/><Relationship Id="rId347" Type="http://schemas.openxmlformats.org/officeDocument/2006/relationships/hyperlink" Target="https://drive.google.com/file/d/1Kvc82c-KvjGsxMmPICtiDlmhMVHXkqKz/view?usp=sharing" TargetMode="External"/><Relationship Id="rId104" Type="http://schemas.openxmlformats.org/officeDocument/2006/relationships/hyperlink" Target="https://drive.google.com/file/d/1tden2CsZtn674Zey7tujeBcc8ZXGWS7n/view?usp=sharing" TargetMode="External"/><Relationship Id="rId225" Type="http://schemas.openxmlformats.org/officeDocument/2006/relationships/hyperlink" Target="https://drive.google.com/file/d/1zaT8ZJ2jJHPAfeKp2TSEiXos49xSNRXY/view?usp=sharing" TargetMode="External"/><Relationship Id="rId346" Type="http://schemas.openxmlformats.org/officeDocument/2006/relationships/hyperlink" Target="https://drive.google.com/file/d/1iyAhhY6b1ZTGxtZUfbcI9guRgWT6kzRh/view?usp=sharing" TargetMode="External"/><Relationship Id="rId109" Type="http://schemas.openxmlformats.org/officeDocument/2006/relationships/hyperlink" Target="https://drive.google.com/drive/folders/1Go8TqR-ioMJ8zYb8wMeSqzrABmeyaJ3x?usp=drive_link" TargetMode="External"/><Relationship Id="rId108" Type="http://schemas.openxmlformats.org/officeDocument/2006/relationships/hyperlink" Target="https://drive.google.com/drive/folders/1fK2mCzzHgy2V8EK3W85fShMvDOZf_TME?usp=drive_link" TargetMode="External"/><Relationship Id="rId229" Type="http://schemas.openxmlformats.org/officeDocument/2006/relationships/hyperlink" Target="https://drive.google.com/file/d/1jknOGlysI5rhLjr3o2SzcPdTY7r77jgr/view?usp=sharing" TargetMode="External"/><Relationship Id="rId220" Type="http://schemas.openxmlformats.org/officeDocument/2006/relationships/hyperlink" Target="https://drive.google.com/file/d/1q9sr5vpfPJMEbxg4uZ4au1Pmt8hYluRA/view?usp=drivesdk" TargetMode="External"/><Relationship Id="rId341" Type="http://schemas.openxmlformats.org/officeDocument/2006/relationships/hyperlink" Target="https://drive.google.com/file/d/1gmbB0rn4vzxoLo-be7ugHWdmgT8g-8-X/view?usp=drivesdk" TargetMode="External"/><Relationship Id="rId340" Type="http://schemas.openxmlformats.org/officeDocument/2006/relationships/hyperlink" Target="https://drive.google.com/file/d/1TLkQuvM3F_8C3taoEVPk2iD255XPEtBf/view?usp=drivesdk" TargetMode="External"/><Relationship Id="rId103" Type="http://schemas.openxmlformats.org/officeDocument/2006/relationships/hyperlink" Target="https://drive.google.com/file/d/1Mt2IX9ojnCtNiGz30yBc6NqBGaSGAwI5/view?usp=drivesdk" TargetMode="External"/><Relationship Id="rId224" Type="http://schemas.openxmlformats.org/officeDocument/2006/relationships/hyperlink" Target="https://drive.google.com/file/d/1G_QMmaFB4wekPSEsWOew199x78W4TLBb/view?usp=sharing" TargetMode="External"/><Relationship Id="rId345" Type="http://schemas.openxmlformats.org/officeDocument/2006/relationships/hyperlink" Target="https://drive.google.com/file/d/1JAZ9xQoIKz8mrAGKVlhlRivzibY_Zq1Z/view?usp=sharing" TargetMode="External"/><Relationship Id="rId102" Type="http://schemas.openxmlformats.org/officeDocument/2006/relationships/hyperlink" Target="https://drive.google.com/file/d/1LD_qcJGhcV_7lHjfyh2o0u-X7uwI08jZ/view?usp=drivesdk" TargetMode="External"/><Relationship Id="rId223" Type="http://schemas.openxmlformats.org/officeDocument/2006/relationships/hyperlink" Target="https://drive.google.com/file/d/1r5aQgZVKt0QYV9eKmGXlsfEUT1hyX3N5/view?usp=sharing" TargetMode="External"/><Relationship Id="rId344" Type="http://schemas.openxmlformats.org/officeDocument/2006/relationships/hyperlink" Target="https://drive.google.com/file/d/1-wsCVyPgfCy1OCx4vpdCVGW3uTfKHuPO/view?usp=sharing" TargetMode="External"/><Relationship Id="rId101" Type="http://schemas.openxmlformats.org/officeDocument/2006/relationships/hyperlink" Target="https://drive.google.com/file/d/1hO8tVL-__8mfrnHsXPzgu8vYEwNhYXuq/view?usp=drivesdk" TargetMode="External"/><Relationship Id="rId222" Type="http://schemas.openxmlformats.org/officeDocument/2006/relationships/hyperlink" Target="https://drive.google.com/file/d/1SX5e88aONI_SfHlbDDhDF_-CQsG2W3Kg/view?usp=sharing" TargetMode="External"/><Relationship Id="rId343" Type="http://schemas.openxmlformats.org/officeDocument/2006/relationships/hyperlink" Target="https://drive.google.com/file/d/1GGSvEQ4K5FT3uu8tlrz6Z8ReG6PDtpTj/view?usp=drivesdk" TargetMode="External"/><Relationship Id="rId100" Type="http://schemas.openxmlformats.org/officeDocument/2006/relationships/hyperlink" Target="https://drive.google.com/file/d/18nR1zR7mQjwpO9lAxHWUHSDyINZOAdxG/view?usp=drivesdk" TargetMode="External"/><Relationship Id="rId221" Type="http://schemas.openxmlformats.org/officeDocument/2006/relationships/hyperlink" Target="https://drive.google.com/file/d/1q8Qak1ATuHxIOt0XCo1RkZ3Toe2mzhUe/view?usp=drivesdk" TargetMode="External"/><Relationship Id="rId342" Type="http://schemas.openxmlformats.org/officeDocument/2006/relationships/hyperlink" Target="https://drive.google.com/file/d/1DV0x7UX7KsMynxN5flA9obQQL9v5_a0B/view?usp=sharing" TargetMode="External"/><Relationship Id="rId217" Type="http://schemas.openxmlformats.org/officeDocument/2006/relationships/hyperlink" Target="https://drive.google.com/file/d/19LjDiPDybot0ylCD4TzxmNh0_kz8RgYG/view?usp=sharing" TargetMode="External"/><Relationship Id="rId338" Type="http://schemas.openxmlformats.org/officeDocument/2006/relationships/hyperlink" Target="https://drive.google.com/file/d/1GMZnDMqrezL6PvnDBAKVDT6pfZEHGZRa/view?usp=sharing" TargetMode="External"/><Relationship Id="rId216" Type="http://schemas.openxmlformats.org/officeDocument/2006/relationships/hyperlink" Target="https://drive.google.com/drive/folders/1DxCNiLRMTTEWCqSVbI9SSvRXaYlMnBzw?usp=sharing" TargetMode="External"/><Relationship Id="rId337" Type="http://schemas.openxmlformats.org/officeDocument/2006/relationships/hyperlink" Target="https://drive.google.com/file/d/1uc0kOGcffBKR3PxD5CttyeTlDKyeBJBe/view?usp=sharing" TargetMode="External"/><Relationship Id="rId215" Type="http://schemas.openxmlformats.org/officeDocument/2006/relationships/hyperlink" Target="https://drive.google.com/file/d/1LUWU7KY2EPm0ug60MGROJdoFgj3Mw16T/view?usp=drivesdk" TargetMode="External"/><Relationship Id="rId336" Type="http://schemas.openxmlformats.org/officeDocument/2006/relationships/hyperlink" Target="https://drive.google.com/file/d/1VgOgZrIJA09gql0hZwAwVctf3XX7h8J2/view?usp=sharing" TargetMode="External"/><Relationship Id="rId214" Type="http://schemas.openxmlformats.org/officeDocument/2006/relationships/hyperlink" Target="https://drive.google.com/file/d/1oKKOodJgmmXPBbjHl_i5tF1zxpxIB6Bz/view?usp=sharing" TargetMode="External"/><Relationship Id="rId335" Type="http://schemas.openxmlformats.org/officeDocument/2006/relationships/hyperlink" Target="https://drive.google.com/drive/folders/1HwInnQ0S1PiIApES6OAFeyHT46fw62fe?usp=sharing" TargetMode="External"/><Relationship Id="rId219" Type="http://schemas.openxmlformats.org/officeDocument/2006/relationships/hyperlink" Target="https://drive.google.com/file/d/1kcVhDIfv6xvjL80xocZd7aGWx_yZoNjo/view?usp=drive_link" TargetMode="External"/><Relationship Id="rId218" Type="http://schemas.openxmlformats.org/officeDocument/2006/relationships/hyperlink" Target="https://drive.google.com/file/d/17_cI-ot2GbgxmkhsaJWPazwswh0fIu2v/view?usp=sharing" TargetMode="External"/><Relationship Id="rId339" Type="http://schemas.openxmlformats.org/officeDocument/2006/relationships/hyperlink" Target="https://drive.google.com/file/d/1bQ6aDMlWKb0RdD2TQVW8mP-laTjv665G/view?usp=sharing" TargetMode="External"/><Relationship Id="rId330" Type="http://schemas.openxmlformats.org/officeDocument/2006/relationships/hyperlink" Target="https://drive.google.com/file/d/12QCuUsiXcSGbuEBJMl2BuyaO_5Yjt4uH/view?usp=drivesdk" TargetMode="External"/><Relationship Id="rId450" Type="http://schemas.openxmlformats.org/officeDocument/2006/relationships/table" Target="../tables/table52.xml"/><Relationship Id="rId213" Type="http://schemas.openxmlformats.org/officeDocument/2006/relationships/hyperlink" Target="https://drive.google.com/file/d/1vML_nkxuaJvm8jEDR2SHxdm7kxk60Cvl/view?usp=drive_link" TargetMode="External"/><Relationship Id="rId334" Type="http://schemas.openxmlformats.org/officeDocument/2006/relationships/hyperlink" Target="https://drive.google.com/drive/folders/1xZNIiTGuyv1Hszfso4rbI60U3Gfne1TF?usp=drive_link" TargetMode="External"/><Relationship Id="rId212" Type="http://schemas.openxmlformats.org/officeDocument/2006/relationships/hyperlink" Target="https://drive.google.com/file/d/17Ko2PAmnh4ohNNagB0tPW2kT-XGiAaqR/view?usp=sharing" TargetMode="External"/><Relationship Id="rId333" Type="http://schemas.openxmlformats.org/officeDocument/2006/relationships/hyperlink" Target="https://drive.google.com/file/d/1XnZmgVybvAVjzXpWT2jR3Gb79Rd0angb/view?usp=sharing" TargetMode="External"/><Relationship Id="rId211" Type="http://schemas.openxmlformats.org/officeDocument/2006/relationships/hyperlink" Target="https://drive.google.com/file/d/1A78lLnB2s1TE5plFOJn_frQ1Ktc8JbPk/view?usp=drivesdk" TargetMode="External"/><Relationship Id="rId332" Type="http://schemas.openxmlformats.org/officeDocument/2006/relationships/hyperlink" Target="https://drive.google.com/file/d/1z-ORuucTnq0AW1FMQCKLuJh0Qx1a9Vnv/view?usp=sharing" TargetMode="External"/><Relationship Id="rId210" Type="http://schemas.openxmlformats.org/officeDocument/2006/relationships/hyperlink" Target="https://drive.google.com/file/d/1oaYewxCNzidaZ90h8z17aWI_d9FwHu3l/view?usp=drivesdk" TargetMode="External"/><Relationship Id="rId331" Type="http://schemas.openxmlformats.org/officeDocument/2006/relationships/hyperlink" Target="https://drive.google.com/file/d/16E0Zq9jOoMK2Qbw0cLwB7-eu6RvKgi1d/view?usp=drivesdk" TargetMode="External"/><Relationship Id="rId370" Type="http://schemas.openxmlformats.org/officeDocument/2006/relationships/hyperlink" Target="https://drive.google.com/file/d/1TLkQuvM3F_8C3taoEVPk2iD255XPEtBf/view?usp=drivesdk" TargetMode="External"/><Relationship Id="rId129" Type="http://schemas.openxmlformats.org/officeDocument/2006/relationships/hyperlink" Target="https://drive.google.com/file/d/1Q2o7F_CmF2yddPTRNHbfI9ITMt76aQWd/view?usp=sharing" TargetMode="External"/><Relationship Id="rId128" Type="http://schemas.openxmlformats.org/officeDocument/2006/relationships/hyperlink" Target="https://drive.google.com/file/d/1aMLEI-rtz_wannnKUXAPfRpMYgGQiDwK/view?usp=sharing" TargetMode="External"/><Relationship Id="rId249" Type="http://schemas.openxmlformats.org/officeDocument/2006/relationships/hyperlink" Target="https://drive.google.com/file/d/1m28anVmeMk94rr4T04G-Zhb8E2v8oxOo/view?usp=sharing" TargetMode="External"/><Relationship Id="rId127" Type="http://schemas.openxmlformats.org/officeDocument/2006/relationships/hyperlink" Target="https://drive.google.com/file/d/10VWoKFkMMs8mzOokxAbWriWh5QMJo9Hv/view?usp=sharing" TargetMode="External"/><Relationship Id="rId248" Type="http://schemas.openxmlformats.org/officeDocument/2006/relationships/hyperlink" Target="https://drive.google.com/drive/folders/1199vmxAOAw3V7P3-L7KBt9YgmHE-c0iJ?usp=sharing" TargetMode="External"/><Relationship Id="rId369" Type="http://schemas.openxmlformats.org/officeDocument/2006/relationships/hyperlink" Target="https://drive.google.com/file/d/19ttHHHHE-JCq1lQV9NVX1zERzjKihUfF/view?usp=sharing" TargetMode="External"/><Relationship Id="rId126" Type="http://schemas.openxmlformats.org/officeDocument/2006/relationships/hyperlink" Target="https://drive.google.com/file/d/1PiOCR1XAQ5EgoWDYt_ZaxK3V65uKeHb3/view?usp=sharing" TargetMode="External"/><Relationship Id="rId247" Type="http://schemas.openxmlformats.org/officeDocument/2006/relationships/hyperlink" Target="https://drive.google.com/file/d/1H6Q_khePBI42DV7irib2apiFWq37ebXE/view?usp=sharing" TargetMode="External"/><Relationship Id="rId368" Type="http://schemas.openxmlformats.org/officeDocument/2006/relationships/hyperlink" Target="https://drive.google.com/file/d/1SEX7TP0yIDthFcTAbfEem16TvQWCOXvB/view?usp=drive_link" TargetMode="External"/><Relationship Id="rId121" Type="http://schemas.openxmlformats.org/officeDocument/2006/relationships/hyperlink" Target="https://drive.google.com/file/d/1MpnEt5RlFbF8VyHX11MSIZWarOZtdK39/view?usp=sharing" TargetMode="External"/><Relationship Id="rId242" Type="http://schemas.openxmlformats.org/officeDocument/2006/relationships/hyperlink" Target="https://drive.google.com/file/d/14_CdesZ2rvN6tW7-A2BwDJVPYnH6vlJ6/view?usp=sharing" TargetMode="External"/><Relationship Id="rId363" Type="http://schemas.openxmlformats.org/officeDocument/2006/relationships/hyperlink" Target="https://drive.google.com/file/d/1rw7xj5WLGl8GqftwZNKPzbzSnToZ2laD/view?usp=drive_link" TargetMode="External"/><Relationship Id="rId120" Type="http://schemas.openxmlformats.org/officeDocument/2006/relationships/hyperlink" Target="https://drive.google.com/file/d/1wNijDfrP4LF9be340SUW75ueuH9BZAWA/view?usp=sharing" TargetMode="External"/><Relationship Id="rId241" Type="http://schemas.openxmlformats.org/officeDocument/2006/relationships/hyperlink" Target="https://drive.google.com/file/d/1k8faK3bMy1ZWvJjkUKFf1nU5qRIAMQsj/view?usp=sharing" TargetMode="External"/><Relationship Id="rId362" Type="http://schemas.openxmlformats.org/officeDocument/2006/relationships/hyperlink" Target="https://drive.google.com/file/d/1QvorqAKU8pCe3XomlnOdDeynMj-BBiRO/view?usp=sharing" TargetMode="External"/><Relationship Id="rId240" Type="http://schemas.openxmlformats.org/officeDocument/2006/relationships/hyperlink" Target="https://drive.google.com/file/d/171KQ7AqGd-gyj108njMdpCyesKdugyBJ/view?usp=sharing" TargetMode="External"/><Relationship Id="rId361" Type="http://schemas.openxmlformats.org/officeDocument/2006/relationships/hyperlink" Target="https://drive.google.com/file/d/1sIcg5_NPOIlpfFkcUMhBH5oR9Dd_0nCU/view?usp=sharing" TargetMode="External"/><Relationship Id="rId360" Type="http://schemas.openxmlformats.org/officeDocument/2006/relationships/hyperlink" Target="https://drive.google.com/file/d/1ob27G7-RMdgEJNxWgullGTox9pdWp0bC/view?usp=sharing" TargetMode="External"/><Relationship Id="rId125" Type="http://schemas.openxmlformats.org/officeDocument/2006/relationships/hyperlink" Target="https://drive.google.com/drive/folders/14ueged7XoQcvr3mC-0CjMpaObvGN-mN6" TargetMode="External"/><Relationship Id="rId246" Type="http://schemas.openxmlformats.org/officeDocument/2006/relationships/hyperlink" Target="https://drive.google.com/file/d/18rVG9IiKDx39PVTBMPbV73bnY3cc3bOl/view?usp=sharing" TargetMode="External"/><Relationship Id="rId367" Type="http://schemas.openxmlformats.org/officeDocument/2006/relationships/hyperlink" Target="https://drive.google.com/file/d/1omR9TB8LXjUCebNoOM7LI2HMDKebTpkY/view?usp=sharing" TargetMode="External"/><Relationship Id="rId124" Type="http://schemas.openxmlformats.org/officeDocument/2006/relationships/hyperlink" Target="https://drive.google.com/drive/folders/14ueged7XoQcvr3mC-0CjMpaObvGN-mN6" TargetMode="External"/><Relationship Id="rId245" Type="http://schemas.openxmlformats.org/officeDocument/2006/relationships/hyperlink" Target="https://drive.google.com/file/d/1D1vKqw-uU4rLGfYUVR7tnFNishemqCUn/view?usp=sharing" TargetMode="External"/><Relationship Id="rId366" Type="http://schemas.openxmlformats.org/officeDocument/2006/relationships/hyperlink" Target="https://drive.google.com/file/d/1CQqf9-tLTVvGs8VdT9Ne0uoDvpxQO96o/view?usp=sharing" TargetMode="External"/><Relationship Id="rId123" Type="http://schemas.openxmlformats.org/officeDocument/2006/relationships/hyperlink" Target="https://drive.google.com/file/d/1-wk4Alp17pd5hTtccdTFge6LHWbag1dj/view?usp=drivesdk" TargetMode="External"/><Relationship Id="rId244" Type="http://schemas.openxmlformats.org/officeDocument/2006/relationships/hyperlink" Target="https://drive.google.com/file/d/16hi3hj0XinFFgKv5ssx1pd0RrQD7Izic/view?usp=sharing" TargetMode="External"/><Relationship Id="rId365" Type="http://schemas.openxmlformats.org/officeDocument/2006/relationships/hyperlink" Target="https://drive.google.com/file/d/1qas9XfSxuMx-2vt6KN4Mt0AbOD79qgsb/view?usp=drivesdk" TargetMode="External"/><Relationship Id="rId122" Type="http://schemas.openxmlformats.org/officeDocument/2006/relationships/hyperlink" Target="https://drive.google.com/file/d/1fauON1AuY7RdjbIqtnKsKDr95rYzToOf/view?usp=drivesdk" TargetMode="External"/><Relationship Id="rId243" Type="http://schemas.openxmlformats.org/officeDocument/2006/relationships/hyperlink" Target="https://drive.google.com/file/d/1qXau8y-SK8CJ0fhmlP4j8hdB0XeilhCB/view?usp=sharing" TargetMode="External"/><Relationship Id="rId364" Type="http://schemas.openxmlformats.org/officeDocument/2006/relationships/hyperlink" Target="https://drive.google.com/file/d/1fA8bUHbdweCICgwIiXeJAIDq-Wypw5w6/view?usp=drivesdk" TargetMode="External"/><Relationship Id="rId95" Type="http://schemas.openxmlformats.org/officeDocument/2006/relationships/hyperlink" Target="https://drive.google.com/file/d/17RfAzrZqCFU2b4LJqzrN9Y7sYQlrLqSI/view?usp=sharing" TargetMode="External"/><Relationship Id="rId94" Type="http://schemas.openxmlformats.org/officeDocument/2006/relationships/hyperlink" Target="https://drive.google.com/file/d/1NNWuU0gOL065yEIta_yVeyBUeMuOJP0G/view?usp=sharing" TargetMode="External"/><Relationship Id="rId97" Type="http://schemas.openxmlformats.org/officeDocument/2006/relationships/hyperlink" Target="https://drive.google.com/file/d/1xPbr5zqiGkiw3XDDHPB8AcwS-eLEJoRg/view?usp=sharing" TargetMode="External"/><Relationship Id="rId96" Type="http://schemas.openxmlformats.org/officeDocument/2006/relationships/hyperlink" Target="https://drive.google.com/file/d/1hWTZlzELzDEg5SpqTpjualIubRVzBhay/view?usp=sharing" TargetMode="External"/><Relationship Id="rId99" Type="http://schemas.openxmlformats.org/officeDocument/2006/relationships/hyperlink" Target="https://drive.google.com/file/d/1x8ecInKHkeagvXoepD0k3jwmyKaH8hkk/view?usp=sharing" TargetMode="External"/><Relationship Id="rId98" Type="http://schemas.openxmlformats.org/officeDocument/2006/relationships/hyperlink" Target="https://drive.google.com/file/d/1jvI_-bHWQqiQ58z1dznL7MfKuL06pfRe/view?usp=sharing" TargetMode="External"/><Relationship Id="rId91" Type="http://schemas.openxmlformats.org/officeDocument/2006/relationships/hyperlink" Target="https://drive.google.com/file/d/1IyU6NHgUkLO1XKDksmZGFf5WhAqawA5f/view?usp=sharing" TargetMode="External"/><Relationship Id="rId90" Type="http://schemas.openxmlformats.org/officeDocument/2006/relationships/hyperlink" Target="https://drive.google.com/file/d/1l-wGBkiasfCbmN89lm29ffoQ1eiT9-02/view?usp=sharing" TargetMode="External"/><Relationship Id="rId93" Type="http://schemas.openxmlformats.org/officeDocument/2006/relationships/hyperlink" Target="https://drive.google.com/file/d/1zaT8ZJ2jJHPAfeKp2TSEiXos49xSNRXY/view?usp=drivesdk" TargetMode="External"/><Relationship Id="rId92" Type="http://schemas.openxmlformats.org/officeDocument/2006/relationships/hyperlink" Target="https://drive.google.com/file/d/1wrhTefPDTSAqr6u3qniVKA0QHU8f48Ft/view?usp=drivesdk" TargetMode="External"/><Relationship Id="rId118" Type="http://schemas.openxmlformats.org/officeDocument/2006/relationships/hyperlink" Target="https://drive.google.com/file/d/1YwcPdkKa-Q_XtNzIdFoIZX45y5OE-OwQ/view?usp=drive_link" TargetMode="External"/><Relationship Id="rId239" Type="http://schemas.openxmlformats.org/officeDocument/2006/relationships/hyperlink" Target="https://drive.google.com/file/d/1HI9pIHt1v1dSL7edw1t6CyHIdFUKD01r/view?usp=sharing" TargetMode="External"/><Relationship Id="rId117" Type="http://schemas.openxmlformats.org/officeDocument/2006/relationships/hyperlink" Target="https://drive.google.com/file/d/1ciyZhjlLT62fg_i5P7zcQ-wwHqk7UtNb/view?usp=drivesdk" TargetMode="External"/><Relationship Id="rId238" Type="http://schemas.openxmlformats.org/officeDocument/2006/relationships/hyperlink" Target="https://drive.google.com/file/d/1z0Lv5kMNniBXoqPCv7TexQ2BbKIEHlll/view?usp=sharing" TargetMode="External"/><Relationship Id="rId359" Type="http://schemas.openxmlformats.org/officeDocument/2006/relationships/hyperlink" Target="https://drive.google.com/file/d/1mZVR3klWRe-JQZNlj5x1x9jszhkZ30_9/view?usp=sharing" TargetMode="External"/><Relationship Id="rId116" Type="http://schemas.openxmlformats.org/officeDocument/2006/relationships/hyperlink" Target="https://drive.google.com/file/d/18Y0sj7qO0JsrpnA_cRq4iz-n4CgXTk9A/view?usp=drivesdk" TargetMode="External"/><Relationship Id="rId237" Type="http://schemas.openxmlformats.org/officeDocument/2006/relationships/hyperlink" Target="https://drive.google.com/file/d/1uTCSi8QAZyaNhdNKflSpU1exP38jZmvO/view?usp=drive_link" TargetMode="External"/><Relationship Id="rId358" Type="http://schemas.openxmlformats.org/officeDocument/2006/relationships/hyperlink" Target="https://drive.google.com/file/d/1JIennw0QOZP4_edmiiDQZk3f1AcmEdq4/view?usp=sharing" TargetMode="External"/><Relationship Id="rId115" Type="http://schemas.openxmlformats.org/officeDocument/2006/relationships/hyperlink" Target="https://drive.google.com/drive/folders/1eBVpdlzAbDuP_u8yBM4SIjU-AT31LukX" TargetMode="External"/><Relationship Id="rId236" Type="http://schemas.openxmlformats.org/officeDocument/2006/relationships/hyperlink" Target="https://drive.google.com/file/d/1AqcKEXOXC2KW1fUukE_P4rgdHtEKsCvH/view" TargetMode="External"/><Relationship Id="rId357" Type="http://schemas.openxmlformats.org/officeDocument/2006/relationships/hyperlink" Target="https://drive.google.com/file/d/1r-SADzmGOP2h2iO4neVkBlkEbUK3lk0B/view?usp=sharing" TargetMode="External"/><Relationship Id="rId119" Type="http://schemas.openxmlformats.org/officeDocument/2006/relationships/hyperlink" Target="https://drive.google.com/file/d/15mwRkXLr_nCW1QTHNTsoVpOHfm87Bm_E/view?usp=drive_link" TargetMode="External"/><Relationship Id="rId110" Type="http://schemas.openxmlformats.org/officeDocument/2006/relationships/hyperlink" Target="https://drive.google.com/file/d/1R71UwJmqYWgTQTXvBUpLBcaK39eH2Mex/view?usp=sharing" TargetMode="External"/><Relationship Id="rId231" Type="http://schemas.openxmlformats.org/officeDocument/2006/relationships/hyperlink" Target="https://drive.google.com/file/d/1ie85Cs5Wya4qy8ZfeNAp-lGHXTqV3Rbp/view?usp=sharing" TargetMode="External"/><Relationship Id="rId352" Type="http://schemas.openxmlformats.org/officeDocument/2006/relationships/hyperlink" Target="https://drive.google.com/file/d/1Za77pmaABHQhNtKC-ItJWzxih5un-E6o/view?usp=sharing" TargetMode="External"/><Relationship Id="rId230" Type="http://schemas.openxmlformats.org/officeDocument/2006/relationships/hyperlink" Target="https://drive.google.com/file/d/1ZFzqYbqENYUFZfHtw8O9ZTzXCFf_gXuV/view?usp=sharing" TargetMode="External"/><Relationship Id="rId351" Type="http://schemas.openxmlformats.org/officeDocument/2006/relationships/hyperlink" Target="https://drive.google.com/file/d/1lSVn-m783kDepxK3VQqSqwAy1Rlyl8My/view?usp=sharing" TargetMode="External"/><Relationship Id="rId350" Type="http://schemas.openxmlformats.org/officeDocument/2006/relationships/hyperlink" Target="https://drive.google.com/file/d/1imaIp-tK405dRHi_0ZduvBqmX-d8c6G0/view?usp=sharing" TargetMode="External"/><Relationship Id="rId114" Type="http://schemas.openxmlformats.org/officeDocument/2006/relationships/hyperlink" Target="https://drive.google.com/drive/folders/1eBVpdlzAbDuP_u8yBM4SIjU-AT31LukX" TargetMode="External"/><Relationship Id="rId235" Type="http://schemas.openxmlformats.org/officeDocument/2006/relationships/hyperlink" Target="https://drive.google.com/file/d/19Pyk_7vqARDAez5hbznGAdhnLNJDOs9h/view?usp=sharing" TargetMode="External"/><Relationship Id="rId356" Type="http://schemas.openxmlformats.org/officeDocument/2006/relationships/hyperlink" Target="https://drive.google.com/drive/folders/1a0jYoxINKTim4WrX6f6C9SisM7xmz-Vw?usp=sharing" TargetMode="External"/><Relationship Id="rId113" Type="http://schemas.openxmlformats.org/officeDocument/2006/relationships/hyperlink" Target="https://drive.google.com/file/d/1qltq4fn_R_v5Alk4TOPjADM1IH9iywVK/view?usp=sharing" TargetMode="External"/><Relationship Id="rId234" Type="http://schemas.openxmlformats.org/officeDocument/2006/relationships/hyperlink" Target="https://drive.google.com/file/d/1hU4RGh546o0MXIjwKlOo3rOhLDbMcP8U/view?usp=sharing" TargetMode="External"/><Relationship Id="rId355" Type="http://schemas.openxmlformats.org/officeDocument/2006/relationships/hyperlink" Target="https://drive.google.com/file/d/1-aVk61y8QHF2cpQL-5dFxAFw7DR48WhC/view?usp=sharing" TargetMode="External"/><Relationship Id="rId112" Type="http://schemas.openxmlformats.org/officeDocument/2006/relationships/hyperlink" Target="https://drive.google.com/file/d/1tI5EhclzZ4EqDO9mQ9oH59xpeoHrPi0W/view?usp=sharing" TargetMode="External"/><Relationship Id="rId233" Type="http://schemas.openxmlformats.org/officeDocument/2006/relationships/hyperlink" Target="https://drive.google.com/file/d/1h8fqqACdfjbxqk3SuoNW39HJuQoEpAh6/view?usp=sharing" TargetMode="External"/><Relationship Id="rId354" Type="http://schemas.openxmlformats.org/officeDocument/2006/relationships/hyperlink" Target="https://drive.google.com/file/d/1fKlN6yKcK2YJ7fCyZ1iULPsoSf7wzDnw/view?usp=sharing" TargetMode="External"/><Relationship Id="rId111" Type="http://schemas.openxmlformats.org/officeDocument/2006/relationships/hyperlink" Target="https://drive.google.com/file/d/1E7NuH_0XkpXQKRftBU7L6LAHKNwX3hzf/view?usp=sharing" TargetMode="External"/><Relationship Id="rId232" Type="http://schemas.openxmlformats.org/officeDocument/2006/relationships/hyperlink" Target="https://drive.google.com/file/d/1oLIi3BWHdXg_J9eWbqMSdSWy0BXJisIt/view?usp=sharing" TargetMode="External"/><Relationship Id="rId353" Type="http://schemas.openxmlformats.org/officeDocument/2006/relationships/hyperlink" Target="https://drive.google.com/file/d/1Za77pmaABHQhNtKC-ItJWzxih5un-E6o/view?usp=sharing" TargetMode="External"/><Relationship Id="rId305" Type="http://schemas.openxmlformats.org/officeDocument/2006/relationships/hyperlink" Target="https://drive.google.com/file/d/1Tp61WCJSWJe6EX18N6Q2ftvx_UVu1HPv/view?usp=drive_link" TargetMode="External"/><Relationship Id="rId426" Type="http://schemas.openxmlformats.org/officeDocument/2006/relationships/hyperlink" Target="https://drive.google.com/file/d/1_yUc3ihtrL02hF8Voe2Lb2AMdtkVuQMA/view?usp=drive_link" TargetMode="External"/><Relationship Id="rId304" Type="http://schemas.openxmlformats.org/officeDocument/2006/relationships/hyperlink" Target="https://drive.google.com/file/d/1-8KyRYQUNdewcqOHKW2yK-tIYuKqR-rE/view?usp=drive_link" TargetMode="External"/><Relationship Id="rId425" Type="http://schemas.openxmlformats.org/officeDocument/2006/relationships/hyperlink" Target="https://drive.google.com/drive/folders/1IkTyfqBjuWGMKnxA0Ib-5-cA8tlohFgb?dmr=1&amp;ec=wgc-drive-%5Bmodule%5D-goto" TargetMode="External"/><Relationship Id="rId303" Type="http://schemas.openxmlformats.org/officeDocument/2006/relationships/hyperlink" Target="https://drive.google.com/file/d/1WhRX0uocF9EEshcS6jD7M6Cf7XSwXcrN/view?usp=drivesdk" TargetMode="External"/><Relationship Id="rId424" Type="http://schemas.openxmlformats.org/officeDocument/2006/relationships/hyperlink" Target="https://drive.google.com/file/d/1D1vKqw-uU4rLGfYUVR7tnFNishemqCUn/view?usp=sharing" TargetMode="External"/><Relationship Id="rId302" Type="http://schemas.openxmlformats.org/officeDocument/2006/relationships/hyperlink" Target="https://drive.google.com/file/d/1FQUSt5CtWDI-pvNgKpFC7bPduiVjYwEX/view?usp=drivesdk" TargetMode="External"/><Relationship Id="rId423" Type="http://schemas.openxmlformats.org/officeDocument/2006/relationships/hyperlink" Target="https://drive.google.com/file/d/1r2FlywJo2bge72zHu6R5kD0199iY777H/view?usp=sharing" TargetMode="External"/><Relationship Id="rId309" Type="http://schemas.openxmlformats.org/officeDocument/2006/relationships/hyperlink" Target="https://drive.google.com/file/d/1Ppviq-6-YGKCN8jYL4zhNA7SO4TvMK6C/view?usp=sharing" TargetMode="External"/><Relationship Id="rId308" Type="http://schemas.openxmlformats.org/officeDocument/2006/relationships/hyperlink" Target="https://drive.google.com/file/d/1UWhU4-IUWhREU0yzEe3A86iKtNdiSkT9/view?usp=drive_link" TargetMode="External"/><Relationship Id="rId307" Type="http://schemas.openxmlformats.org/officeDocument/2006/relationships/hyperlink" Target="https://drive.google.com/file/d/1T7H0GAlEUpZTeMGFSMH79GN4d8Q2pBfi/view?usp=sharing" TargetMode="External"/><Relationship Id="rId428" Type="http://schemas.openxmlformats.org/officeDocument/2006/relationships/vmlDrawing" Target="../drawings/vmlDrawing4.vml"/><Relationship Id="rId306" Type="http://schemas.openxmlformats.org/officeDocument/2006/relationships/hyperlink" Target="https://drive.google.com/file/d/1mpqWz-8WKBy2P8QJuVBRfALypfGGKaXM/view?usp=sharing" TargetMode="External"/><Relationship Id="rId427" Type="http://schemas.openxmlformats.org/officeDocument/2006/relationships/drawing" Target="../drawings/drawing16.xml"/><Relationship Id="rId301" Type="http://schemas.openxmlformats.org/officeDocument/2006/relationships/hyperlink" Target="https://drive.google.com/file/d/1aCN3RnxdiyZ6iTOKy05d8oSXAy6Vbn7J/view?usp=drivesdk" TargetMode="External"/><Relationship Id="rId422" Type="http://schemas.openxmlformats.org/officeDocument/2006/relationships/hyperlink" Target="https://drive.google.com/file/d/1nzX5rqaapgfqE69VO8J3pi7PxvOxrChr/view?usp=drivesdk" TargetMode="External"/><Relationship Id="rId300" Type="http://schemas.openxmlformats.org/officeDocument/2006/relationships/hyperlink" Target="https://drive.google.com/file/d/1zA06ykxUNA1JtZ1u3nE5qljbkrn88AH3/view?usp=drivesdk" TargetMode="External"/><Relationship Id="rId421" Type="http://schemas.openxmlformats.org/officeDocument/2006/relationships/hyperlink" Target="https://drive.google.com/file/d/1GX3HJbOFImb5QFxkdt7Be8IU2uKZMAUq/view?usp=drivesdk" TargetMode="External"/><Relationship Id="rId420" Type="http://schemas.openxmlformats.org/officeDocument/2006/relationships/hyperlink" Target="https://drive.google.com/file/d/1PE8Ju7_dNpRVATTaeR9sjkKFt8ASdldy/view?usp=sharing" TargetMode="External"/><Relationship Id="rId415" Type="http://schemas.openxmlformats.org/officeDocument/2006/relationships/hyperlink" Target="https://drive.google.com/file/d/1YWHD3jAHOFa5Kaq-FloX-AIujtLq4u0f/view?usp=sharing" TargetMode="External"/><Relationship Id="rId414" Type="http://schemas.openxmlformats.org/officeDocument/2006/relationships/hyperlink" Target="https://drive.google.com/file/d/1J31ZeiohoQ68T0GdXi2rWk5pdjiIt-HP/view?usp=sharing" TargetMode="External"/><Relationship Id="rId413" Type="http://schemas.openxmlformats.org/officeDocument/2006/relationships/hyperlink" Target="https://drive.google.com/file/d/1nbHBTCuyFVYtJ9DO5U22AeI-cWkBXTe3/view?usp=drive_link" TargetMode="External"/><Relationship Id="rId412" Type="http://schemas.openxmlformats.org/officeDocument/2006/relationships/hyperlink" Target="https://drive.google.com/file/d/1V2ywLMkIvJ7fkdBNgruQmBlnzGxIdJjT/view?usp=sharing" TargetMode="External"/><Relationship Id="rId419" Type="http://schemas.openxmlformats.org/officeDocument/2006/relationships/hyperlink" Target="https://drive.google.com/file/d/12FnWB0j_Ezsh66xPIf2lDDBsnIy2UIbD/view?usp=sharing" TargetMode="External"/><Relationship Id="rId418" Type="http://schemas.openxmlformats.org/officeDocument/2006/relationships/hyperlink" Target="https://drive.google.com/file/d/1dUY1_cTrZU4mV49hSPcQwKx0Tke2yvN5/view?usp=drive_link" TargetMode="External"/><Relationship Id="rId417" Type="http://schemas.openxmlformats.org/officeDocument/2006/relationships/hyperlink" Target="https://drive.google.com/file/d/1wkSQwWNfrRR5i0T6_K6dJSoDzhA3RTBA/view?usp=sharing" TargetMode="External"/><Relationship Id="rId416" Type="http://schemas.openxmlformats.org/officeDocument/2006/relationships/hyperlink" Target="https://drive.google.com/drive/home" TargetMode="External"/><Relationship Id="rId411" Type="http://schemas.openxmlformats.org/officeDocument/2006/relationships/hyperlink" Target="https://drive.google.com/file/d/1jRsb5lSEGao48OXi8qeJfleKnSI18ZWP/view?usp=sharing" TargetMode="External"/><Relationship Id="rId410" Type="http://schemas.openxmlformats.org/officeDocument/2006/relationships/hyperlink" Target="https://drive.google.com/file/d/1EPzEVFfYBm92ytjZa-YjuZEaYyF6C5P0/view?usp=sharing" TargetMode="External"/><Relationship Id="rId206" Type="http://schemas.openxmlformats.org/officeDocument/2006/relationships/hyperlink" Target="https://drive.google.com/file/d/1h90LB1758gayWXjDgQQShjH2u1U31wJQ/view?usp=sharing" TargetMode="External"/><Relationship Id="rId327" Type="http://schemas.openxmlformats.org/officeDocument/2006/relationships/hyperlink" Target="https://drive.google.com/file/d/1hJqumiytZix0hXIVn_YUiDikBhN1N4rf/view?usp=sharing" TargetMode="External"/><Relationship Id="rId448" Type="http://schemas.openxmlformats.org/officeDocument/2006/relationships/table" Target="../tables/table50.xml"/><Relationship Id="rId205" Type="http://schemas.openxmlformats.org/officeDocument/2006/relationships/hyperlink" Target="https://drive.google.com/file/d/1LM-hg2In2BHUFEgrawFo78l6m4VrAL3x/view?usp=sharing" TargetMode="External"/><Relationship Id="rId326" Type="http://schemas.openxmlformats.org/officeDocument/2006/relationships/hyperlink" Target="https://drive.google.com/file/d/1hJqumiytZix0hXIVn_YUiDikBhN1N4rf/view?usp=sharing" TargetMode="External"/><Relationship Id="rId447" Type="http://schemas.openxmlformats.org/officeDocument/2006/relationships/table" Target="../tables/table49.xml"/><Relationship Id="rId204" Type="http://schemas.openxmlformats.org/officeDocument/2006/relationships/hyperlink" Target="https://drive.google.com/file/d/1zdIJCKfQm16lBWSAWTPoA10S3-9voN3E/view?usp=drive_link" TargetMode="External"/><Relationship Id="rId325" Type="http://schemas.openxmlformats.org/officeDocument/2006/relationships/hyperlink" Target="https://drive.google.com/file/d/1CNhRLKjVEoTKD1h-rORfqHWtgflbGQAI/view?usp=drive_link" TargetMode="External"/><Relationship Id="rId446" Type="http://schemas.openxmlformats.org/officeDocument/2006/relationships/table" Target="../tables/table48.xml"/><Relationship Id="rId203" Type="http://schemas.openxmlformats.org/officeDocument/2006/relationships/hyperlink" Target="https://drive.google.com/file/d/1QOQeKWtuGhF5cwH56HAjkmSv8KR3RIAd/view?usp=drive_link" TargetMode="External"/><Relationship Id="rId324" Type="http://schemas.openxmlformats.org/officeDocument/2006/relationships/hyperlink" Target="https://drive.google.com/file/d/10GF4lehH31we8hNMhhA6YS5sFjQmbZjR/view?usp=drive_link" TargetMode="External"/><Relationship Id="rId445" Type="http://schemas.openxmlformats.org/officeDocument/2006/relationships/table" Target="../tables/table47.xml"/><Relationship Id="rId209" Type="http://schemas.openxmlformats.org/officeDocument/2006/relationships/hyperlink" Target="https://drive.google.com/file/d/1UO-Ht79OJm-DB3cYVAX3khixvuKookCf/view?usp=sharing" TargetMode="External"/><Relationship Id="rId208" Type="http://schemas.openxmlformats.org/officeDocument/2006/relationships/hyperlink" Target="https://drive.google.com/file/d/1Ep4hoUgKy6sNNW7vGSZcQkoFUXz2SeGE/view?usp=sharing" TargetMode="External"/><Relationship Id="rId329" Type="http://schemas.openxmlformats.org/officeDocument/2006/relationships/hyperlink" Target="https://drive.google.com/file/d/13G0RrFmjFveffWgdVLhkCQDDtxb_oicV/view?usp=sharing" TargetMode="External"/><Relationship Id="rId207" Type="http://schemas.openxmlformats.org/officeDocument/2006/relationships/hyperlink" Target="https://drive.google.com/file/d/1nzX5rqaapgfqE69VO8J3pi7PxvOxrChr/view?usp=sharing" TargetMode="External"/><Relationship Id="rId328" Type="http://schemas.openxmlformats.org/officeDocument/2006/relationships/hyperlink" Target="https://drive.google.com/file/d/10UlKudGcl6GfqwSTKbeNsQyOCjrMph_6/view?usp=sharing" TargetMode="External"/><Relationship Id="rId449" Type="http://schemas.openxmlformats.org/officeDocument/2006/relationships/table" Target="../tables/table51.xml"/><Relationship Id="rId440" Type="http://schemas.openxmlformats.org/officeDocument/2006/relationships/table" Target="../tables/table42.xml"/><Relationship Id="rId202" Type="http://schemas.openxmlformats.org/officeDocument/2006/relationships/hyperlink" Target="https://docs.google.com/document/d/1Ct8QqNcwRlTr6f40k70SrF5yj2dDJShssV3-a9SiPTY/edit?usp=sharing" TargetMode="External"/><Relationship Id="rId323" Type="http://schemas.openxmlformats.org/officeDocument/2006/relationships/hyperlink" Target="https://drive.google.com/file/d/1j7b48SLkwWMnmm6Lo2z1_Ny8u0_B8t-9/view?usp=sharing" TargetMode="External"/><Relationship Id="rId444" Type="http://schemas.openxmlformats.org/officeDocument/2006/relationships/table" Target="../tables/table46.xml"/><Relationship Id="rId201" Type="http://schemas.openxmlformats.org/officeDocument/2006/relationships/hyperlink" Target="https://drive.google.com/file/d/1w2qail3ISTAsAP_Mt9EHbxdrcCGUdgCB/view?usp=sharing" TargetMode="External"/><Relationship Id="rId322" Type="http://schemas.openxmlformats.org/officeDocument/2006/relationships/hyperlink" Target="https://drive.google.com/drive/folders/1N0hhJZcFLQ_f1OzISYIga6gtNzIKs_EU?usp=sharing" TargetMode="External"/><Relationship Id="rId443" Type="http://schemas.openxmlformats.org/officeDocument/2006/relationships/table" Target="../tables/table45.xml"/><Relationship Id="rId200" Type="http://schemas.openxmlformats.org/officeDocument/2006/relationships/hyperlink" Target="https://drive.google.com/file/d/1rqrglP1MI3dYbLfWzObpHSc8tPCbs2VX/view?usp=sharing" TargetMode="External"/><Relationship Id="rId321" Type="http://schemas.openxmlformats.org/officeDocument/2006/relationships/hyperlink" Target="https://drive.google.com/file/d/1EaeiSTG26e5s6pVxdpOA1OBA1d_21j6u/view?usp=drivesdk" TargetMode="External"/><Relationship Id="rId442" Type="http://schemas.openxmlformats.org/officeDocument/2006/relationships/table" Target="../tables/table44.xml"/><Relationship Id="rId320" Type="http://schemas.openxmlformats.org/officeDocument/2006/relationships/hyperlink" Target="https://drive.google.com/file/d/1hiH1Yybmb73ySIoTfYxRGCcrsfkMfpGi/view?usp=drivesdk" TargetMode="External"/><Relationship Id="rId441" Type="http://schemas.openxmlformats.org/officeDocument/2006/relationships/table" Target="../tables/table43.xml"/><Relationship Id="rId316" Type="http://schemas.openxmlformats.org/officeDocument/2006/relationships/hyperlink" Target="https://drive.google.com/file/d/1fuU2GPnHRbfjlikx2z7_KdTiFDrdvrYH/view?usp=drive_link" TargetMode="External"/><Relationship Id="rId315" Type="http://schemas.openxmlformats.org/officeDocument/2006/relationships/hyperlink" Target="https://drive.google.com/file/d/1r38XbsiLFPSV0_CHULKBhsjU62ZucdWM/view?usp=drivesdk" TargetMode="External"/><Relationship Id="rId314" Type="http://schemas.openxmlformats.org/officeDocument/2006/relationships/hyperlink" Target="https://drive.google.com/file/d/1MT4MDD-wIsqUgJN92dMAziI3wAseZtHS/view?usp=drivesdk" TargetMode="External"/><Relationship Id="rId313" Type="http://schemas.openxmlformats.org/officeDocument/2006/relationships/hyperlink" Target="https://drive.google.com/file/d/1GV0ZRpBLzbaUNBg_93usBs0NNAt66i4e/view?usp=drive_link" TargetMode="External"/><Relationship Id="rId319" Type="http://schemas.openxmlformats.org/officeDocument/2006/relationships/hyperlink" Target="https://drive.google.com/file/d/1XTtZ72YsF8MZFshrXHPsgr36fGsGuVlC/view?usp=sharing" TargetMode="External"/><Relationship Id="rId318" Type="http://schemas.openxmlformats.org/officeDocument/2006/relationships/hyperlink" Target="https://drive.google.com/file/d/1dNSk5-MwbYsDmOEdvHp3Y26DU4r49Q1L/view?usp=sharing" TargetMode="External"/><Relationship Id="rId317" Type="http://schemas.openxmlformats.org/officeDocument/2006/relationships/hyperlink" Target="https://drive.google.com/file/d/1M1oUOgDYgU1NnWfTVY0-cg-hA2Bsk2cK/view?usp=sharinghttps://drive.google.com/file/d/1fuU2GPnHRbfjlikx2z7_KdTiFDrdvrYH/view?usp=drive_link" TargetMode="External"/><Relationship Id="rId312" Type="http://schemas.openxmlformats.org/officeDocument/2006/relationships/hyperlink" Target="https://drive.google.com/file/d/1OVxl-oQNW79MZyerRYW-pp26VZBQGUf8/view?usp=sharing" TargetMode="External"/><Relationship Id="rId311" Type="http://schemas.openxmlformats.org/officeDocument/2006/relationships/hyperlink" Target="https://drive.google.com/file/d/1QTkpw9ZFYSGA9_AJ_BPYwDgngLSKEA1X/view?usp=sharing" TargetMode="External"/><Relationship Id="rId310" Type="http://schemas.openxmlformats.org/officeDocument/2006/relationships/hyperlink" Target="https://drive.google.com/file/d/1g6kyGKHQK3Sf9zWKE2JNQsZF3zAh976I/view?usp=sharing" TargetMode="Externa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 Id="rId4" Type="http://schemas.openxmlformats.org/officeDocument/2006/relationships/table" Target="../tables/table53.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19.88"/>
    <col customWidth="1" min="6" max="6" width="37.63"/>
    <col customWidth="1" min="7" max="7" width="31.38"/>
    <col customWidth="1" min="8" max="8" width="31.75"/>
    <col customWidth="1" min="9" max="14" width="18.88"/>
  </cols>
  <sheetData>
    <row r="1" ht="22.5" customHeight="1">
      <c r="A1" s="2" t="s">
        <v>0</v>
      </c>
      <c r="B1" s="2" t="s">
        <v>3</v>
      </c>
      <c r="C1" s="2" t="s">
        <v>5</v>
      </c>
      <c r="D1" s="2" t="s">
        <v>7</v>
      </c>
      <c r="E1" s="2" t="s">
        <v>9</v>
      </c>
      <c r="F1" s="2" t="s">
        <v>11</v>
      </c>
      <c r="G1" s="2" t="s">
        <v>13</v>
      </c>
      <c r="H1" s="2" t="s">
        <v>14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4</v>
      </c>
    </row>
    <row r="2">
      <c r="A2" s="3" t="s">
        <v>6</v>
      </c>
      <c r="B2" s="3" t="s">
        <v>8</v>
      </c>
      <c r="C2" s="4">
        <v>7.093383617E9</v>
      </c>
    </row>
    <row r="3">
      <c r="A3" s="5" t="s">
        <v>12</v>
      </c>
      <c r="B3" s="5" t="s">
        <v>15</v>
      </c>
      <c r="C3" s="6">
        <v>9.841107493E9</v>
      </c>
    </row>
    <row r="4">
      <c r="A4" s="3" t="s">
        <v>18</v>
      </c>
      <c r="B4" s="3" t="s">
        <v>19</v>
      </c>
      <c r="C4" s="4">
        <v>8.882475437E9</v>
      </c>
    </row>
    <row r="5">
      <c r="A5" s="5" t="s">
        <v>21</v>
      </c>
      <c r="B5" s="5" t="s">
        <v>22</v>
      </c>
      <c r="C5" s="6">
        <v>9.166972279E9</v>
      </c>
    </row>
    <row r="6">
      <c r="A6" s="3" t="s">
        <v>24</v>
      </c>
      <c r="B6" s="3" t="s">
        <v>25</v>
      </c>
      <c r="C6" s="4">
        <v>9.636039611E9</v>
      </c>
    </row>
    <row r="7">
      <c r="A7" s="5" t="s">
        <v>26</v>
      </c>
      <c r="B7" s="5" t="s">
        <v>27</v>
      </c>
      <c r="C7" s="6">
        <v>9.361951624E9</v>
      </c>
    </row>
    <row r="8">
      <c r="A8" s="3" t="s">
        <v>29</v>
      </c>
      <c r="B8" s="3" t="s">
        <v>30</v>
      </c>
      <c r="C8" s="4">
        <v>9.263535027E9</v>
      </c>
    </row>
    <row r="9">
      <c r="A9" s="5" t="s">
        <v>32</v>
      </c>
      <c r="B9" s="5" t="s">
        <v>33</v>
      </c>
      <c r="C9" s="6">
        <v>9.556794935E9</v>
      </c>
    </row>
    <row r="10">
      <c r="A10" s="3" t="s">
        <v>34</v>
      </c>
      <c r="B10" s="3" t="s">
        <v>36</v>
      </c>
      <c r="C10" s="4">
        <v>8.885312229E9</v>
      </c>
    </row>
    <row r="11">
      <c r="A11" s="5" t="s">
        <v>38</v>
      </c>
      <c r="B11" s="5" t="s">
        <v>40</v>
      </c>
      <c r="C11" s="6">
        <v>9.28496916E9</v>
      </c>
    </row>
    <row r="12">
      <c r="A12" s="3" t="s">
        <v>41</v>
      </c>
      <c r="B12" s="3" t="s">
        <v>42</v>
      </c>
      <c r="C12" s="4">
        <v>7.986041454E9</v>
      </c>
    </row>
    <row r="13">
      <c r="A13" s="5" t="s">
        <v>44</v>
      </c>
      <c r="B13" s="5" t="s">
        <v>45</v>
      </c>
      <c r="C13" s="6">
        <v>6.361433423E9</v>
      </c>
    </row>
    <row r="14">
      <c r="A14" s="3" t="s">
        <v>46</v>
      </c>
      <c r="B14" s="3" t="s">
        <v>48</v>
      </c>
      <c r="C14" s="4">
        <v>6.205924864E9</v>
      </c>
    </row>
    <row r="15">
      <c r="A15" s="5" t="s">
        <v>50</v>
      </c>
      <c r="B15" s="5" t="s">
        <v>52</v>
      </c>
      <c r="C15" s="6">
        <v>9.345005195E9</v>
      </c>
    </row>
    <row r="16">
      <c r="A16" s="3" t="s">
        <v>55</v>
      </c>
      <c r="B16" s="3" t="s">
        <v>56</v>
      </c>
      <c r="C16" s="4">
        <v>9.335351607E9</v>
      </c>
    </row>
    <row r="17">
      <c r="A17" s="5" t="s">
        <v>57</v>
      </c>
      <c r="B17" s="5" t="s">
        <v>58</v>
      </c>
      <c r="C17" s="6">
        <v>8.421513773E9</v>
      </c>
    </row>
    <row r="18">
      <c r="A18" s="3" t="s">
        <v>60</v>
      </c>
      <c r="B18" s="3" t="s">
        <v>61</v>
      </c>
      <c r="C18" s="4">
        <v>9.309276204E9</v>
      </c>
    </row>
    <row r="19">
      <c r="A19" s="5" t="s">
        <v>65</v>
      </c>
      <c r="B19" s="5" t="s">
        <v>67</v>
      </c>
      <c r="C19" s="6">
        <v>7.081012288E9</v>
      </c>
    </row>
    <row r="20">
      <c r="A20" s="3" t="s">
        <v>69</v>
      </c>
      <c r="B20" s="3" t="s">
        <v>70</v>
      </c>
      <c r="C20" s="4">
        <v>8.68382441E9</v>
      </c>
    </row>
    <row r="21">
      <c r="A21" s="5" t="s">
        <v>72</v>
      </c>
      <c r="B21" s="5" t="s">
        <v>75</v>
      </c>
      <c r="C21" s="6">
        <v>9.507444356E9</v>
      </c>
    </row>
    <row r="22">
      <c r="A22" s="3" t="s">
        <v>77</v>
      </c>
      <c r="B22" s="3" t="s">
        <v>78</v>
      </c>
      <c r="C22" s="4">
        <v>9.014161179E9</v>
      </c>
    </row>
    <row r="23">
      <c r="A23" s="5" t="s">
        <v>80</v>
      </c>
      <c r="B23" s="5" t="s">
        <v>81</v>
      </c>
      <c r="C23" s="6">
        <v>7.303916723E9</v>
      </c>
    </row>
    <row r="24">
      <c r="A24" s="3" t="s">
        <v>84</v>
      </c>
      <c r="B24" s="3" t="s">
        <v>86</v>
      </c>
      <c r="C24" s="4">
        <v>9.479666116E9</v>
      </c>
    </row>
    <row r="25">
      <c r="A25" s="5" t="s">
        <v>87</v>
      </c>
      <c r="B25" s="5" t="s">
        <v>88</v>
      </c>
      <c r="C25" s="6">
        <v>7.903766709E9</v>
      </c>
    </row>
    <row r="26">
      <c r="A26" s="3" t="s">
        <v>89</v>
      </c>
      <c r="B26" s="3" t="s">
        <v>90</v>
      </c>
      <c r="C26" s="4">
        <v>7.888734447E9</v>
      </c>
    </row>
    <row r="27">
      <c r="A27" s="5" t="s">
        <v>92</v>
      </c>
      <c r="B27" s="5" t="s">
        <v>94</v>
      </c>
      <c r="C27" s="6">
        <v>9.652610345E9</v>
      </c>
    </row>
    <row r="28">
      <c r="A28" s="3" t="s">
        <v>96</v>
      </c>
      <c r="B28" s="3" t="s">
        <v>97</v>
      </c>
      <c r="C28" s="4">
        <v>9.051915331E9</v>
      </c>
    </row>
    <row r="29">
      <c r="A29" s="5" t="s">
        <v>99</v>
      </c>
      <c r="B29" s="5" t="s">
        <v>100</v>
      </c>
      <c r="C29" s="6">
        <v>8.690625704E9</v>
      </c>
    </row>
    <row r="30">
      <c r="A30" s="3" t="s">
        <v>102</v>
      </c>
      <c r="B30" s="3" t="s">
        <v>103</v>
      </c>
      <c r="C30" s="4">
        <v>7.266907533E9</v>
      </c>
    </row>
    <row r="31">
      <c r="A31" s="5" t="s">
        <v>105</v>
      </c>
      <c r="B31" s="5" t="s">
        <v>107</v>
      </c>
      <c r="C31" s="6">
        <v>8.903942489E9</v>
      </c>
    </row>
    <row r="32">
      <c r="A32" s="3" t="s">
        <v>110</v>
      </c>
      <c r="B32" s="3" t="s">
        <v>111</v>
      </c>
      <c r="C32" s="4">
        <v>7.02940923E9</v>
      </c>
    </row>
    <row r="33">
      <c r="A33" s="5" t="s">
        <v>113</v>
      </c>
      <c r="B33" s="5" t="s">
        <v>115</v>
      </c>
      <c r="C33" s="6">
        <v>9.999306403E9</v>
      </c>
    </row>
    <row r="34">
      <c r="A34" s="3" t="s">
        <v>117</v>
      </c>
      <c r="B34" s="3" t="s">
        <v>118</v>
      </c>
      <c r="C34" s="4">
        <v>8.817118912E9</v>
      </c>
    </row>
    <row r="35">
      <c r="A35" s="5" t="s">
        <v>120</v>
      </c>
      <c r="B35" s="5" t="s">
        <v>121</v>
      </c>
      <c r="C35" s="6">
        <v>8.810475697E9</v>
      </c>
    </row>
    <row r="36">
      <c r="A36" s="3" t="s">
        <v>124</v>
      </c>
      <c r="B36" s="3" t="s">
        <v>125</v>
      </c>
      <c r="C36" s="4">
        <v>7.034297163E9</v>
      </c>
    </row>
    <row r="37">
      <c r="A37" s="5" t="s">
        <v>127</v>
      </c>
      <c r="B37" s="5" t="s">
        <v>129</v>
      </c>
      <c r="C37" s="6">
        <v>9.861425466E9</v>
      </c>
    </row>
    <row r="38">
      <c r="A38" s="3" t="s">
        <v>132</v>
      </c>
      <c r="B38" s="3" t="s">
        <v>133</v>
      </c>
      <c r="C38" s="4">
        <v>6.353619807E9</v>
      </c>
    </row>
    <row r="39">
      <c r="A39" s="5" t="s">
        <v>135</v>
      </c>
      <c r="B39" s="5" t="s">
        <v>136</v>
      </c>
      <c r="C39" s="6">
        <v>8.318692558E9</v>
      </c>
    </row>
    <row r="40">
      <c r="A40" s="3" t="s">
        <v>137</v>
      </c>
      <c r="B40" s="3" t="s">
        <v>138</v>
      </c>
      <c r="C40" s="4">
        <v>9.671881556E9</v>
      </c>
    </row>
    <row r="41">
      <c r="A41" s="5" t="s">
        <v>143</v>
      </c>
      <c r="B41" s="5" t="s">
        <v>144</v>
      </c>
      <c r="C41" s="6">
        <v>9.306019147E9</v>
      </c>
    </row>
    <row r="42">
      <c r="A42" s="3" t="s">
        <v>145</v>
      </c>
      <c r="B42" s="3" t="s">
        <v>147</v>
      </c>
      <c r="C42" s="4">
        <v>8.302141276E9</v>
      </c>
    </row>
    <row r="43">
      <c r="A43" s="5" t="s">
        <v>150</v>
      </c>
      <c r="B43" s="5" t="s">
        <v>151</v>
      </c>
      <c r="C43" s="6">
        <v>8.085511663E9</v>
      </c>
    </row>
    <row r="44">
      <c r="A44" s="3" t="s">
        <v>152</v>
      </c>
      <c r="B44" s="3" t="s">
        <v>154</v>
      </c>
      <c r="C44" s="4">
        <v>8.292774158E9</v>
      </c>
    </row>
    <row r="45">
      <c r="A45" s="5" t="s">
        <v>156</v>
      </c>
      <c r="B45" s="5" t="s">
        <v>157</v>
      </c>
      <c r="C45" s="6">
        <v>7.001866804E9</v>
      </c>
    </row>
    <row r="46">
      <c r="A46" s="3" t="s">
        <v>158</v>
      </c>
      <c r="B46" s="3" t="s">
        <v>160</v>
      </c>
      <c r="C46" s="4">
        <v>6.301965187E9</v>
      </c>
    </row>
    <row r="47">
      <c r="A47" s="5" t="s">
        <v>162</v>
      </c>
      <c r="B47" s="5" t="s">
        <v>163</v>
      </c>
      <c r="C47" s="6">
        <v>8.329734214E9</v>
      </c>
    </row>
    <row r="48">
      <c r="A48" s="3" t="s">
        <v>164</v>
      </c>
      <c r="B48" s="3" t="s">
        <v>165</v>
      </c>
      <c r="C48" s="4">
        <v>6.280073454E9</v>
      </c>
    </row>
    <row r="49">
      <c r="A49" s="5" t="s">
        <v>167</v>
      </c>
      <c r="B49" s="5" t="s">
        <v>168</v>
      </c>
      <c r="C49" s="6">
        <v>9.142125921E9</v>
      </c>
    </row>
    <row r="50">
      <c r="A50" s="3" t="s">
        <v>169</v>
      </c>
      <c r="B50" s="3" t="s">
        <v>170</v>
      </c>
      <c r="C50" s="4">
        <v>9.704183765E9</v>
      </c>
    </row>
    <row r="51">
      <c r="A51" s="5" t="s">
        <v>174</v>
      </c>
      <c r="B51" s="5" t="s">
        <v>175</v>
      </c>
      <c r="C51" s="6">
        <v>7.320010123E9</v>
      </c>
    </row>
    <row r="52">
      <c r="A52" s="3" t="s">
        <v>178</v>
      </c>
      <c r="B52" s="3" t="s">
        <v>179</v>
      </c>
      <c r="C52" s="4">
        <v>9.250576845E9</v>
      </c>
    </row>
    <row r="53">
      <c r="A53" s="5" t="s">
        <v>183</v>
      </c>
      <c r="B53" s="5" t="s">
        <v>184</v>
      </c>
      <c r="C53" s="6">
        <v>8.588067701E9</v>
      </c>
    </row>
    <row r="54">
      <c r="A54" s="3" t="s">
        <v>185</v>
      </c>
      <c r="B54" s="3" t="s">
        <v>187</v>
      </c>
      <c r="C54" s="4">
        <v>8.527517074E9</v>
      </c>
    </row>
    <row r="55">
      <c r="A55" s="5" t="s">
        <v>190</v>
      </c>
      <c r="B55" s="5" t="s">
        <v>191</v>
      </c>
      <c r="C55" s="6">
        <v>9.330076389E9</v>
      </c>
    </row>
    <row r="56">
      <c r="A56" s="3" t="s">
        <v>192</v>
      </c>
      <c r="B56" s="3" t="s">
        <v>194</v>
      </c>
      <c r="C56" s="4">
        <v>7.305202446E9</v>
      </c>
    </row>
    <row r="57">
      <c r="A57" s="5" t="s">
        <v>196</v>
      </c>
      <c r="B57" s="5" t="s">
        <v>197</v>
      </c>
      <c r="C57" s="6">
        <v>7.019035245E9</v>
      </c>
    </row>
    <row r="58">
      <c r="A58" s="3" t="s">
        <v>198</v>
      </c>
      <c r="B58" s="3" t="s">
        <v>199</v>
      </c>
      <c r="C58" s="4">
        <v>9.392724434E9</v>
      </c>
    </row>
    <row r="59">
      <c r="A59" s="5" t="s">
        <v>201</v>
      </c>
      <c r="B59" s="5" t="s">
        <v>202</v>
      </c>
      <c r="C59" s="6">
        <v>8.950474501E9</v>
      </c>
    </row>
    <row r="60">
      <c r="A60" s="3" t="s">
        <v>204</v>
      </c>
      <c r="B60" s="3" t="s">
        <v>205</v>
      </c>
      <c r="C60" s="4">
        <v>7.025399056E9</v>
      </c>
    </row>
    <row r="61">
      <c r="A61" s="5" t="s">
        <v>206</v>
      </c>
      <c r="B61" s="5" t="s">
        <v>207</v>
      </c>
      <c r="C61" s="6">
        <v>9.548783003E9</v>
      </c>
    </row>
    <row r="62">
      <c r="A62" s="3" t="s">
        <v>211</v>
      </c>
      <c r="B62" s="3" t="s">
        <v>213</v>
      </c>
      <c r="C62" s="4">
        <v>6.381288446E9</v>
      </c>
    </row>
    <row r="63">
      <c r="A63" s="5" t="s">
        <v>214</v>
      </c>
      <c r="B63" s="5" t="s">
        <v>215</v>
      </c>
      <c r="C63" s="6">
        <v>7.823011687E9</v>
      </c>
    </row>
    <row r="64">
      <c r="A64" s="3" t="s">
        <v>217</v>
      </c>
      <c r="B64" s="3" t="s">
        <v>218</v>
      </c>
      <c r="C64" s="4">
        <v>7.67724257E9</v>
      </c>
    </row>
    <row r="65">
      <c r="A65" s="5" t="s">
        <v>219</v>
      </c>
      <c r="B65" s="5" t="s">
        <v>220</v>
      </c>
      <c r="C65" s="6">
        <v>9.336142225E9</v>
      </c>
    </row>
    <row r="66">
      <c r="A66" s="3" t="s">
        <v>222</v>
      </c>
      <c r="B66" s="3" t="s">
        <v>225</v>
      </c>
      <c r="C66" s="4">
        <v>9.350445099E9</v>
      </c>
    </row>
    <row r="67">
      <c r="A67" s="5" t="s">
        <v>226</v>
      </c>
      <c r="B67" s="5" t="s">
        <v>228</v>
      </c>
      <c r="C67" s="6">
        <v>7.394073922E9</v>
      </c>
    </row>
    <row r="68">
      <c r="A68" s="3" t="s">
        <v>230</v>
      </c>
      <c r="B68" s="3" t="s">
        <v>232</v>
      </c>
      <c r="C68" s="4">
        <v>7.558000322E9</v>
      </c>
    </row>
    <row r="69">
      <c r="A69" s="5" t="s">
        <v>236</v>
      </c>
      <c r="B69" s="5" t="s">
        <v>237</v>
      </c>
      <c r="C69" s="6">
        <v>7.668251698E9</v>
      </c>
    </row>
    <row r="70">
      <c r="A70" s="3" t="s">
        <v>240</v>
      </c>
      <c r="B70" s="3" t="s">
        <v>242</v>
      </c>
      <c r="C70" s="4">
        <v>9.121181429E9</v>
      </c>
    </row>
    <row r="71">
      <c r="A71" s="5" t="s">
        <v>244</v>
      </c>
      <c r="B71" s="5" t="s">
        <v>247</v>
      </c>
      <c r="C71" s="6">
        <v>9.347890871E9</v>
      </c>
    </row>
    <row r="72">
      <c r="A72" s="3" t="s">
        <v>250</v>
      </c>
      <c r="B72" s="3" t="s">
        <v>252</v>
      </c>
      <c r="C72" s="4">
        <v>7.830471371E9</v>
      </c>
    </row>
    <row r="73">
      <c r="A73" s="5" t="s">
        <v>253</v>
      </c>
      <c r="B73" s="5" t="s">
        <v>254</v>
      </c>
      <c r="C73" s="6">
        <v>8.778331142E9</v>
      </c>
    </row>
    <row r="74">
      <c r="A74" s="3" t="s">
        <v>255</v>
      </c>
      <c r="B74" s="3" t="s">
        <v>256</v>
      </c>
      <c r="C74" s="4">
        <v>7.976196955E9</v>
      </c>
    </row>
    <row r="75">
      <c r="A75" s="5" t="s">
        <v>257</v>
      </c>
      <c r="B75" s="5" t="s">
        <v>259</v>
      </c>
      <c r="C75" s="6">
        <v>9.162394717E9</v>
      </c>
    </row>
    <row r="76">
      <c r="A76" s="3" t="s">
        <v>261</v>
      </c>
      <c r="B76" s="3" t="s">
        <v>263</v>
      </c>
      <c r="C76" s="4">
        <v>9.373310296E9</v>
      </c>
    </row>
    <row r="77">
      <c r="A77" s="5" t="s">
        <v>264</v>
      </c>
      <c r="B77" s="5" t="s">
        <v>266</v>
      </c>
      <c r="C77" s="6">
        <v>7.67704761E9</v>
      </c>
    </row>
    <row r="78">
      <c r="A78" s="3" t="s">
        <v>268</v>
      </c>
      <c r="B78" s="3" t="s">
        <v>269</v>
      </c>
      <c r="C78" s="4">
        <v>9.967001304E9</v>
      </c>
    </row>
    <row r="79">
      <c r="A79" s="5" t="s">
        <v>229</v>
      </c>
      <c r="B79" s="5" t="s">
        <v>271</v>
      </c>
      <c r="C79" s="6">
        <v>8.309365976E9</v>
      </c>
    </row>
    <row r="80">
      <c r="A80" s="3" t="s">
        <v>276</v>
      </c>
      <c r="B80" s="3" t="s">
        <v>278</v>
      </c>
      <c r="C80" s="4">
        <v>8.369195746E9</v>
      </c>
    </row>
    <row r="81">
      <c r="A81" s="5" t="s">
        <v>280</v>
      </c>
      <c r="B81" s="5" t="s">
        <v>281</v>
      </c>
      <c r="C81" s="6">
        <v>9.354565648E9</v>
      </c>
    </row>
    <row r="82">
      <c r="A82" s="3" t="s">
        <v>283</v>
      </c>
      <c r="B82" s="3" t="s">
        <v>286</v>
      </c>
      <c r="C82" s="4">
        <v>8.484077935E9</v>
      </c>
    </row>
    <row r="83">
      <c r="A83" s="5" t="s">
        <v>289</v>
      </c>
      <c r="B83" s="5" t="s">
        <v>290</v>
      </c>
      <c r="C83" s="6">
        <v>9.403374532E9</v>
      </c>
    </row>
    <row r="84">
      <c r="A84" s="3" t="s">
        <v>292</v>
      </c>
      <c r="B84" s="3" t="s">
        <v>293</v>
      </c>
      <c r="C84" s="4">
        <v>9.47014079E9</v>
      </c>
    </row>
    <row r="85">
      <c r="A85" s="5" t="s">
        <v>296</v>
      </c>
      <c r="B85" s="5" t="s">
        <v>298</v>
      </c>
      <c r="C85" s="6">
        <v>9.789083613E9</v>
      </c>
    </row>
    <row r="86">
      <c r="A86" s="3" t="s">
        <v>299</v>
      </c>
      <c r="B86" s="3" t="s">
        <v>301</v>
      </c>
      <c r="C86" s="4">
        <v>8.476971032E9</v>
      </c>
    </row>
    <row r="87">
      <c r="A87" s="5" t="s">
        <v>302</v>
      </c>
      <c r="B87" s="5" t="s">
        <v>303</v>
      </c>
      <c r="C87" s="6">
        <v>7.203954367E9</v>
      </c>
    </row>
    <row r="88">
      <c r="A88" s="3" t="s">
        <v>304</v>
      </c>
      <c r="B88" s="3" t="s">
        <v>308</v>
      </c>
      <c r="C88" s="4">
        <v>9.810190241E9</v>
      </c>
    </row>
    <row r="89">
      <c r="A89" s="5" t="s">
        <v>310</v>
      </c>
      <c r="B89" s="5" t="s">
        <v>311</v>
      </c>
      <c r="C89" s="6">
        <v>8.667500082E9</v>
      </c>
    </row>
    <row r="90">
      <c r="A90" s="3" t="s">
        <v>313</v>
      </c>
      <c r="B90" s="3" t="s">
        <v>314</v>
      </c>
      <c r="C90" s="4">
        <v>8.853683247E9</v>
      </c>
    </row>
    <row r="91">
      <c r="A91" s="5" t="s">
        <v>316</v>
      </c>
      <c r="B91" s="5" t="s">
        <v>317</v>
      </c>
      <c r="C91" s="6">
        <v>9.427062553E9</v>
      </c>
    </row>
    <row r="92">
      <c r="A92" s="3" t="s">
        <v>319</v>
      </c>
      <c r="B92" s="3" t="s">
        <v>320</v>
      </c>
      <c r="C92" s="4">
        <v>9.470072382E9</v>
      </c>
    </row>
    <row r="93">
      <c r="A93" s="5" t="s">
        <v>323</v>
      </c>
      <c r="B93" s="5" t="s">
        <v>325</v>
      </c>
      <c r="C93" s="6">
        <v>9.024679072E9</v>
      </c>
    </row>
    <row r="94">
      <c r="A94" s="3" t="s">
        <v>328</v>
      </c>
      <c r="B94" s="3" t="s">
        <v>329</v>
      </c>
      <c r="C94" s="4">
        <v>9.444250409E9</v>
      </c>
    </row>
    <row r="95">
      <c r="A95" s="5" t="s">
        <v>331</v>
      </c>
      <c r="B95" s="5" t="s">
        <v>332</v>
      </c>
      <c r="C95" s="6">
        <v>8.309260629E9</v>
      </c>
    </row>
    <row r="96">
      <c r="A96" s="3" t="s">
        <v>336</v>
      </c>
      <c r="B96" s="3" t="s">
        <v>339</v>
      </c>
      <c r="C96" s="4">
        <v>8.902170105E9</v>
      </c>
    </row>
    <row r="97">
      <c r="A97" s="5" t="s">
        <v>340</v>
      </c>
      <c r="B97" s="5" t="s">
        <v>341</v>
      </c>
      <c r="C97" s="6">
        <v>6.30633076E9</v>
      </c>
    </row>
    <row r="98">
      <c r="A98" s="3" t="s">
        <v>343</v>
      </c>
      <c r="B98" s="3" t="s">
        <v>344</v>
      </c>
      <c r="C98" s="4">
        <v>9.449421763E9</v>
      </c>
    </row>
    <row r="99">
      <c r="A99" s="5" t="s">
        <v>345</v>
      </c>
      <c r="B99" s="5" t="s">
        <v>346</v>
      </c>
      <c r="C99" s="6">
        <v>8.837840881E9</v>
      </c>
    </row>
    <row r="100">
      <c r="A100" s="3" t="s">
        <v>348</v>
      </c>
      <c r="B100" s="3" t="s">
        <v>350</v>
      </c>
      <c r="C100" s="4">
        <v>8.104316601E9</v>
      </c>
    </row>
    <row r="101">
      <c r="A101" s="5" t="s">
        <v>353</v>
      </c>
      <c r="B101" s="5" t="s">
        <v>354</v>
      </c>
      <c r="C101" s="6">
        <v>8.54508989E9</v>
      </c>
    </row>
    <row r="102">
      <c r="A102" s="3" t="s">
        <v>356</v>
      </c>
      <c r="B102" s="3" t="s">
        <v>357</v>
      </c>
      <c r="C102" s="4">
        <v>9.140303445E9</v>
      </c>
    </row>
    <row r="103">
      <c r="A103" s="5" t="s">
        <v>358</v>
      </c>
      <c r="B103" s="5" t="s">
        <v>360</v>
      </c>
      <c r="C103" s="6">
        <v>7.897027725E9</v>
      </c>
    </row>
    <row r="104">
      <c r="A104" s="3" t="s">
        <v>362</v>
      </c>
      <c r="B104" s="3" t="s">
        <v>364</v>
      </c>
      <c r="C104" s="4">
        <v>8.486028178E9</v>
      </c>
    </row>
    <row r="105">
      <c r="A105" s="5" t="s">
        <v>365</v>
      </c>
      <c r="B105" s="5" t="s">
        <v>366</v>
      </c>
      <c r="C105" s="6">
        <v>9.365265655E9</v>
      </c>
    </row>
    <row r="106">
      <c r="A106" s="3" t="s">
        <v>368</v>
      </c>
      <c r="B106" s="3" t="s">
        <v>371</v>
      </c>
      <c r="C106" s="4">
        <v>9.929586989E9</v>
      </c>
    </row>
    <row r="107">
      <c r="A107" s="5" t="s">
        <v>373</v>
      </c>
      <c r="B107" s="5" t="s">
        <v>374</v>
      </c>
      <c r="C107" s="6">
        <v>9.820298457E9</v>
      </c>
    </row>
    <row r="108">
      <c r="A108" s="3" t="s">
        <v>128</v>
      </c>
      <c r="B108" s="3" t="s">
        <v>126</v>
      </c>
      <c r="C108" s="4">
        <v>7.358161922E9</v>
      </c>
    </row>
    <row r="109">
      <c r="A109" s="5" t="s">
        <v>376</v>
      </c>
      <c r="B109" s="5" t="s">
        <v>380</v>
      </c>
      <c r="C109" s="6">
        <v>7.066792575E9</v>
      </c>
    </row>
    <row r="110">
      <c r="A110" s="3" t="s">
        <v>181</v>
      </c>
      <c r="B110" s="3" t="s">
        <v>180</v>
      </c>
      <c r="C110" s="4">
        <v>9.003928895E9</v>
      </c>
    </row>
    <row r="111">
      <c r="A111" s="5" t="s">
        <v>383</v>
      </c>
      <c r="B111" s="5" t="s">
        <v>384</v>
      </c>
      <c r="C111" s="6">
        <v>9.014309313E9</v>
      </c>
    </row>
    <row r="112">
      <c r="A112" s="3" t="s">
        <v>385</v>
      </c>
      <c r="B112" s="3" t="s">
        <v>386</v>
      </c>
      <c r="C112" s="4">
        <v>9.911251919E9</v>
      </c>
    </row>
    <row r="113">
      <c r="A113" s="5" t="s">
        <v>387</v>
      </c>
      <c r="B113" s="5" t="s">
        <v>389</v>
      </c>
      <c r="C113" s="6">
        <v>8.668273475E9</v>
      </c>
    </row>
    <row r="114">
      <c r="A114" s="3" t="s">
        <v>391</v>
      </c>
      <c r="B114" s="3" t="s">
        <v>392</v>
      </c>
      <c r="C114" s="4">
        <v>9.398649087E9</v>
      </c>
    </row>
    <row r="115">
      <c r="A115" s="5" t="s">
        <v>394</v>
      </c>
      <c r="B115" s="5" t="s">
        <v>395</v>
      </c>
      <c r="C115" s="6">
        <v>7.356748996E9</v>
      </c>
    </row>
    <row r="116">
      <c r="A116" s="3" t="s">
        <v>398</v>
      </c>
      <c r="B116" s="3" t="s">
        <v>400</v>
      </c>
      <c r="C116" s="4">
        <v>9.445092768E9</v>
      </c>
    </row>
    <row r="117">
      <c r="A117" s="5" t="s">
        <v>402</v>
      </c>
      <c r="B117" s="5" t="s">
        <v>403</v>
      </c>
      <c r="C117" s="6">
        <v>8.154996971E9</v>
      </c>
    </row>
    <row r="118">
      <c r="A118" s="3" t="s">
        <v>275</v>
      </c>
      <c r="B118" s="3" t="s">
        <v>274</v>
      </c>
      <c r="C118" s="4">
        <v>9.631575721E9</v>
      </c>
    </row>
    <row r="119">
      <c r="A119" s="5" t="s">
        <v>405</v>
      </c>
      <c r="B119" s="5" t="s">
        <v>407</v>
      </c>
      <c r="C119" s="6">
        <v>7.619571129E9</v>
      </c>
    </row>
    <row r="120">
      <c r="A120" s="3" t="s">
        <v>408</v>
      </c>
      <c r="B120" s="3" t="s">
        <v>409</v>
      </c>
      <c r="C120" s="4">
        <v>9.773928826E9</v>
      </c>
    </row>
    <row r="121">
      <c r="A121" s="5" t="s">
        <v>412</v>
      </c>
      <c r="B121" s="5" t="s">
        <v>413</v>
      </c>
      <c r="C121" s="6">
        <v>9.97108228E9</v>
      </c>
    </row>
    <row r="122">
      <c r="A122" s="3" t="s">
        <v>414</v>
      </c>
      <c r="B122" s="3" t="s">
        <v>415</v>
      </c>
      <c r="C122" s="4">
        <v>9.899487414E9</v>
      </c>
    </row>
    <row r="123">
      <c r="A123" s="5" t="s">
        <v>418</v>
      </c>
      <c r="B123" s="5" t="s">
        <v>420</v>
      </c>
      <c r="C123" s="6">
        <v>9.163542983E9</v>
      </c>
    </row>
    <row r="124">
      <c r="A124" s="3" t="s">
        <v>421</v>
      </c>
      <c r="B124" s="3" t="s">
        <v>423</v>
      </c>
      <c r="C124" s="4">
        <v>9.828251124E9</v>
      </c>
    </row>
    <row r="125">
      <c r="A125" s="5" t="s">
        <v>426</v>
      </c>
      <c r="B125" s="5" t="s">
        <v>427</v>
      </c>
      <c r="C125" s="6">
        <v>9.503857649E9</v>
      </c>
    </row>
    <row r="126">
      <c r="A126" s="3" t="s">
        <v>431</v>
      </c>
      <c r="B126" s="3" t="s">
        <v>432</v>
      </c>
      <c r="C126" s="4">
        <v>7.541814433E9</v>
      </c>
    </row>
    <row r="127">
      <c r="A127" s="5" t="s">
        <v>434</v>
      </c>
      <c r="B127" s="5" t="s">
        <v>435</v>
      </c>
      <c r="C127" s="6">
        <v>9.16650979E9</v>
      </c>
    </row>
    <row r="128">
      <c r="A128" s="3" t="s">
        <v>437</v>
      </c>
      <c r="B128" s="3" t="s">
        <v>438</v>
      </c>
      <c r="C128" s="4">
        <v>9.46355484E9</v>
      </c>
    </row>
    <row r="129">
      <c r="A129" s="5" t="s">
        <v>442</v>
      </c>
      <c r="B129" s="5" t="s">
        <v>443</v>
      </c>
      <c r="C129" s="6">
        <v>7.076245448E9</v>
      </c>
    </row>
    <row r="130">
      <c r="A130" s="3" t="s">
        <v>444</v>
      </c>
      <c r="B130" s="3" t="s">
        <v>445</v>
      </c>
      <c r="C130" s="4">
        <v>8.017398078E9</v>
      </c>
    </row>
    <row r="131">
      <c r="A131" s="5" t="s">
        <v>448</v>
      </c>
      <c r="B131" s="5" t="s">
        <v>449</v>
      </c>
      <c r="C131" s="6">
        <v>7.008054395E9</v>
      </c>
    </row>
    <row r="132">
      <c r="A132" s="3" t="s">
        <v>451</v>
      </c>
      <c r="B132" s="3" t="s">
        <v>453</v>
      </c>
      <c r="C132" s="4">
        <v>9.974747348E9</v>
      </c>
    </row>
    <row r="133">
      <c r="A133" s="5" t="s">
        <v>454</v>
      </c>
      <c r="B133" s="5" t="s">
        <v>455</v>
      </c>
      <c r="C133" s="6">
        <v>9.89046244E9</v>
      </c>
    </row>
    <row r="134">
      <c r="A134" s="3" t="s">
        <v>456</v>
      </c>
      <c r="B134" s="3" t="s">
        <v>458</v>
      </c>
      <c r="C134" s="4">
        <v>7.461884789E9</v>
      </c>
    </row>
    <row r="135">
      <c r="A135" s="5" t="s">
        <v>460</v>
      </c>
      <c r="B135" s="5" t="s">
        <v>462</v>
      </c>
      <c r="C135" s="6">
        <v>9.057723981E9</v>
      </c>
    </row>
    <row r="136">
      <c r="A136" s="3" t="s">
        <v>466</v>
      </c>
      <c r="B136" s="3" t="s">
        <v>467</v>
      </c>
      <c r="C136" s="4">
        <v>9.90881799E9</v>
      </c>
    </row>
    <row r="137">
      <c r="A137" s="5" t="s">
        <v>469</v>
      </c>
      <c r="B137" s="5" t="s">
        <v>471</v>
      </c>
      <c r="C137" s="6">
        <v>9.970208412E9</v>
      </c>
    </row>
    <row r="138">
      <c r="A138" s="3" t="s">
        <v>473</v>
      </c>
      <c r="B138" s="3" t="s">
        <v>475</v>
      </c>
      <c r="C138" s="4">
        <v>6.30561488E9</v>
      </c>
    </row>
    <row r="139">
      <c r="A139" s="5" t="s">
        <v>477</v>
      </c>
      <c r="B139" s="5" t="s">
        <v>478</v>
      </c>
      <c r="C139" s="6">
        <v>7.004553719E9</v>
      </c>
    </row>
    <row r="140">
      <c r="A140" s="3" t="s">
        <v>68</v>
      </c>
      <c r="B140" s="3" t="s">
        <v>480</v>
      </c>
      <c r="C140" s="4">
        <v>9.350957047E9</v>
      </c>
    </row>
    <row r="141">
      <c r="A141" s="5" t="s">
        <v>482</v>
      </c>
      <c r="B141" s="5" t="s">
        <v>484</v>
      </c>
      <c r="C141" s="6">
        <v>8.902292042E9</v>
      </c>
    </row>
    <row r="142">
      <c r="A142" s="3" t="s">
        <v>485</v>
      </c>
      <c r="B142" s="3" t="s">
        <v>486</v>
      </c>
      <c r="C142" s="4">
        <v>7.017129138E9</v>
      </c>
    </row>
    <row r="143">
      <c r="A143" s="5" t="s">
        <v>487</v>
      </c>
      <c r="B143" s="5" t="s">
        <v>489</v>
      </c>
      <c r="C143" s="6">
        <v>8.527657733E9</v>
      </c>
    </row>
    <row r="144">
      <c r="A144" s="3" t="s">
        <v>491</v>
      </c>
      <c r="B144" s="3" t="s">
        <v>493</v>
      </c>
      <c r="C144" s="4">
        <v>9.678416586E9</v>
      </c>
    </row>
    <row r="145">
      <c r="A145" s="5" t="s">
        <v>498</v>
      </c>
      <c r="B145" s="5" t="s">
        <v>500</v>
      </c>
      <c r="C145" s="6">
        <v>8.651497242E9</v>
      </c>
    </row>
    <row r="146">
      <c r="A146" s="3" t="s">
        <v>502</v>
      </c>
      <c r="B146" s="3" t="s">
        <v>503</v>
      </c>
      <c r="C146" s="4">
        <v>6.369944765E9</v>
      </c>
    </row>
    <row r="147">
      <c r="A147" s="5" t="s">
        <v>504</v>
      </c>
      <c r="B147" s="5" t="s">
        <v>507</v>
      </c>
      <c r="C147" s="6">
        <v>8.114480914E9</v>
      </c>
    </row>
    <row r="148">
      <c r="A148" s="3" t="s">
        <v>508</v>
      </c>
      <c r="B148" s="3" t="s">
        <v>509</v>
      </c>
      <c r="C148" s="4">
        <v>8.870129519E9</v>
      </c>
    </row>
    <row r="149">
      <c r="A149" s="5" t="s">
        <v>510</v>
      </c>
      <c r="B149" s="5" t="s">
        <v>511</v>
      </c>
      <c r="C149" s="6">
        <v>9.546475634E9</v>
      </c>
    </row>
    <row r="150">
      <c r="A150" s="3" t="s">
        <v>512</v>
      </c>
      <c r="B150" s="3" t="s">
        <v>517</v>
      </c>
      <c r="C150" s="4">
        <v>8.073125787E9</v>
      </c>
    </row>
    <row r="151">
      <c r="A151" s="5" t="s">
        <v>520</v>
      </c>
      <c r="B151" s="5" t="s">
        <v>521</v>
      </c>
      <c r="C151" s="6">
        <v>8.851250106E9</v>
      </c>
    </row>
    <row r="152">
      <c r="A152" s="3" t="s">
        <v>524</v>
      </c>
      <c r="B152" s="3" t="s">
        <v>525</v>
      </c>
      <c r="C152" s="4">
        <v>9.71751023E9</v>
      </c>
    </row>
    <row r="153">
      <c r="A153" s="5" t="s">
        <v>464</v>
      </c>
      <c r="B153" s="5" t="s">
        <v>463</v>
      </c>
      <c r="C153" s="6">
        <v>7.499961037E9</v>
      </c>
    </row>
    <row r="154">
      <c r="A154" s="3" t="s">
        <v>527</v>
      </c>
      <c r="B154" s="3" t="s">
        <v>528</v>
      </c>
      <c r="C154" s="4">
        <v>8.319347881E9</v>
      </c>
    </row>
    <row r="155">
      <c r="A155" s="5" t="s">
        <v>530</v>
      </c>
      <c r="B155" s="5" t="s">
        <v>533</v>
      </c>
      <c r="C155" s="6">
        <v>9.889309859E9</v>
      </c>
    </row>
    <row r="156">
      <c r="A156" s="3" t="s">
        <v>535</v>
      </c>
      <c r="B156" s="3" t="s">
        <v>536</v>
      </c>
      <c r="C156" s="4">
        <v>7.7960093E9</v>
      </c>
    </row>
    <row r="157">
      <c r="A157" s="5" t="s">
        <v>539</v>
      </c>
      <c r="B157" s="5" t="s">
        <v>540</v>
      </c>
      <c r="C157" s="6">
        <v>9.835082193E9</v>
      </c>
    </row>
    <row r="158">
      <c r="A158" s="3" t="s">
        <v>542</v>
      </c>
      <c r="B158" s="3" t="s">
        <v>544</v>
      </c>
      <c r="C158" s="4">
        <v>9.677171909E9</v>
      </c>
    </row>
    <row r="159">
      <c r="A159" s="5" t="s">
        <v>546</v>
      </c>
      <c r="B159" s="5" t="s">
        <v>547</v>
      </c>
      <c r="C159" s="6">
        <v>9.162809149E9</v>
      </c>
    </row>
    <row r="160">
      <c r="A160" s="3" t="s">
        <v>532</v>
      </c>
      <c r="B160" s="3" t="s">
        <v>529</v>
      </c>
      <c r="C160" s="4">
        <v>6.291748061E9</v>
      </c>
    </row>
    <row r="161">
      <c r="A161" s="5" t="s">
        <v>549</v>
      </c>
      <c r="B161" s="5" t="s">
        <v>550</v>
      </c>
      <c r="C161" s="5" t="s">
        <v>47</v>
      </c>
    </row>
    <row r="162">
      <c r="A162" s="3" t="s">
        <v>551</v>
      </c>
      <c r="B162" s="3" t="s">
        <v>553</v>
      </c>
      <c r="C162" s="4">
        <v>7.897049801E9</v>
      </c>
    </row>
    <row r="163">
      <c r="A163" s="5" t="s">
        <v>554</v>
      </c>
      <c r="B163" s="5" t="s">
        <v>555</v>
      </c>
      <c r="C163" s="6">
        <v>9.064659906E9</v>
      </c>
    </row>
    <row r="164">
      <c r="A164" s="3" t="s">
        <v>556</v>
      </c>
      <c r="B164" s="3" t="s">
        <v>558</v>
      </c>
      <c r="C164" s="4">
        <v>9.02405001E9</v>
      </c>
    </row>
    <row r="165">
      <c r="A165" s="5" t="s">
        <v>561</v>
      </c>
      <c r="B165" s="5" t="s">
        <v>562</v>
      </c>
      <c r="C165" s="6">
        <v>9.597293973E9</v>
      </c>
    </row>
    <row r="166">
      <c r="A166" s="3" t="s">
        <v>564</v>
      </c>
      <c r="B166" s="3" t="s">
        <v>565</v>
      </c>
      <c r="C166" s="4">
        <v>7.760092091E9</v>
      </c>
    </row>
    <row r="167">
      <c r="A167" s="5" t="s">
        <v>566</v>
      </c>
      <c r="B167" s="5" t="s">
        <v>568</v>
      </c>
      <c r="C167" s="6">
        <v>9.50428235E9</v>
      </c>
    </row>
    <row r="168">
      <c r="A168" s="3" t="s">
        <v>570</v>
      </c>
      <c r="B168" s="3" t="s">
        <v>571</v>
      </c>
      <c r="C168" s="4">
        <v>7.699816991E9</v>
      </c>
    </row>
    <row r="169">
      <c r="A169" s="5" t="s">
        <v>574</v>
      </c>
      <c r="B169" s="5" t="s">
        <v>575</v>
      </c>
      <c r="C169" s="6">
        <v>8.955022422E9</v>
      </c>
    </row>
    <row r="170">
      <c r="A170" s="3" t="s">
        <v>425</v>
      </c>
      <c r="B170" s="3" t="s">
        <v>422</v>
      </c>
      <c r="C170" s="4">
        <v>9.140525531E9</v>
      </c>
    </row>
    <row r="171">
      <c r="A171" s="5" t="s">
        <v>577</v>
      </c>
      <c r="B171" s="5" t="s">
        <v>578</v>
      </c>
      <c r="C171" s="6">
        <v>8.28118389E9</v>
      </c>
    </row>
    <row r="172">
      <c r="A172" s="3" t="s">
        <v>142</v>
      </c>
      <c r="B172" s="3" t="s">
        <v>581</v>
      </c>
      <c r="C172" s="4">
        <v>7.667717756E9</v>
      </c>
    </row>
    <row r="173">
      <c r="A173" s="5" t="s">
        <v>582</v>
      </c>
      <c r="B173" s="5" t="s">
        <v>583</v>
      </c>
      <c r="C173" s="6">
        <v>8.79721719E9</v>
      </c>
    </row>
    <row r="174">
      <c r="A174" s="3" t="s">
        <v>584</v>
      </c>
      <c r="B174" s="3" t="s">
        <v>586</v>
      </c>
      <c r="C174" s="4">
        <v>8.989607974E9</v>
      </c>
    </row>
    <row r="175">
      <c r="A175" s="5" t="s">
        <v>589</v>
      </c>
      <c r="B175" s="5" t="s">
        <v>591</v>
      </c>
      <c r="C175" s="6">
        <v>9.360500695E9</v>
      </c>
    </row>
    <row r="176">
      <c r="A176" s="3" t="s">
        <v>592</v>
      </c>
      <c r="B176" s="3" t="s">
        <v>594</v>
      </c>
      <c r="C176" s="4">
        <v>8.275340199E9</v>
      </c>
    </row>
    <row r="177">
      <c r="A177" s="5" t="s">
        <v>596</v>
      </c>
      <c r="B177" s="5" t="s">
        <v>597</v>
      </c>
      <c r="C177" s="6">
        <v>9.845114469E9</v>
      </c>
    </row>
    <row r="178">
      <c r="A178" s="3" t="s">
        <v>599</v>
      </c>
      <c r="B178" s="3" t="s">
        <v>601</v>
      </c>
      <c r="C178" s="4">
        <v>9.55787848E9</v>
      </c>
    </row>
    <row r="179">
      <c r="A179" s="5" t="s">
        <v>602</v>
      </c>
      <c r="B179" s="5" t="s">
        <v>604</v>
      </c>
      <c r="C179" s="6">
        <v>9.108112712E9</v>
      </c>
    </row>
    <row r="180">
      <c r="A180" s="3" t="s">
        <v>606</v>
      </c>
      <c r="B180" s="3" t="s">
        <v>610</v>
      </c>
      <c r="C180" s="4">
        <v>8.169487905E9</v>
      </c>
    </row>
    <row r="181">
      <c r="A181" s="5" t="s">
        <v>612</v>
      </c>
      <c r="B181" s="5" t="s">
        <v>613</v>
      </c>
      <c r="C181" s="6">
        <v>9.706720723E9</v>
      </c>
    </row>
    <row r="182">
      <c r="A182" s="3" t="s">
        <v>615</v>
      </c>
      <c r="B182" s="3" t="s">
        <v>617</v>
      </c>
      <c r="C182" s="4">
        <v>8.815650334E9</v>
      </c>
    </row>
    <row r="183">
      <c r="A183" s="5" t="s">
        <v>620</v>
      </c>
      <c r="B183" s="5" t="s">
        <v>623</v>
      </c>
      <c r="C183" s="6">
        <v>9.631908675E9</v>
      </c>
    </row>
    <row r="184">
      <c r="A184" s="3" t="s">
        <v>31</v>
      </c>
      <c r="B184" s="3" t="s">
        <v>626</v>
      </c>
      <c r="C184" s="4">
        <v>9.727406861E9</v>
      </c>
    </row>
    <row r="185">
      <c r="A185" s="5" t="s">
        <v>476</v>
      </c>
      <c r="B185" s="5" t="s">
        <v>472</v>
      </c>
      <c r="C185" s="6">
        <v>9.620042111E9</v>
      </c>
    </row>
    <row r="186">
      <c r="A186" s="3" t="s">
        <v>628</v>
      </c>
      <c r="B186" s="3" t="s">
        <v>629</v>
      </c>
      <c r="C186" s="4">
        <v>9.045178271E9</v>
      </c>
    </row>
    <row r="187">
      <c r="A187" s="5" t="s">
        <v>632</v>
      </c>
      <c r="B187" s="5" t="s">
        <v>633</v>
      </c>
      <c r="C187" s="6">
        <v>9.936105187E9</v>
      </c>
    </row>
    <row r="188">
      <c r="A188" s="3" t="s">
        <v>634</v>
      </c>
      <c r="B188" s="3" t="s">
        <v>635</v>
      </c>
      <c r="C188" s="4">
        <v>7.636061753E9</v>
      </c>
    </row>
    <row r="189">
      <c r="A189" s="5" t="s">
        <v>636</v>
      </c>
      <c r="B189" s="5" t="s">
        <v>637</v>
      </c>
      <c r="C189" s="6">
        <v>8.056452912E9</v>
      </c>
    </row>
    <row r="190">
      <c r="A190" s="3" t="s">
        <v>638</v>
      </c>
      <c r="B190" s="3" t="s">
        <v>640</v>
      </c>
      <c r="C190" s="4">
        <v>9.106602382E9</v>
      </c>
    </row>
    <row r="191">
      <c r="A191" s="5" t="s">
        <v>642</v>
      </c>
      <c r="B191" s="5" t="s">
        <v>643</v>
      </c>
      <c r="C191" s="6">
        <v>9.790721999E9</v>
      </c>
    </row>
    <row r="192">
      <c r="A192" s="3" t="s">
        <v>646</v>
      </c>
      <c r="B192" s="3" t="s">
        <v>647</v>
      </c>
      <c r="C192" s="4">
        <v>6.383640754E9</v>
      </c>
    </row>
    <row r="193">
      <c r="A193" s="5" t="s">
        <v>648</v>
      </c>
      <c r="B193" s="5" t="s">
        <v>649</v>
      </c>
      <c r="C193" s="6">
        <v>9.129975202E9</v>
      </c>
    </row>
    <row r="194">
      <c r="A194" s="3" t="s">
        <v>654</v>
      </c>
      <c r="B194" s="3" t="s">
        <v>655</v>
      </c>
      <c r="C194" s="4">
        <v>7.04534546E9</v>
      </c>
    </row>
    <row r="195">
      <c r="A195" s="5" t="s">
        <v>656</v>
      </c>
      <c r="B195" s="5" t="s">
        <v>657</v>
      </c>
      <c r="C195" s="6">
        <v>9.466553655E9</v>
      </c>
    </row>
    <row r="196">
      <c r="A196" s="15" t="s">
        <v>659</v>
      </c>
      <c r="B196" s="15" t="s">
        <v>662</v>
      </c>
      <c r="C196" s="16">
        <v>9.339473841E9</v>
      </c>
    </row>
    <row r="197">
      <c r="A197" s="17" t="s">
        <v>666</v>
      </c>
      <c r="B197" s="17" t="s">
        <v>667</v>
      </c>
      <c r="C197" s="18">
        <v>6.382300924E9</v>
      </c>
    </row>
    <row r="198">
      <c r="A198" s="15" t="s">
        <v>668</v>
      </c>
      <c r="B198" s="15" t="s">
        <v>669</v>
      </c>
      <c r="C198" s="16">
        <v>9.30585046E9</v>
      </c>
    </row>
    <row r="199">
      <c r="A199" s="17" t="s">
        <v>672</v>
      </c>
      <c r="B199" s="17" t="s">
        <v>673</v>
      </c>
      <c r="C199" s="18">
        <v>7.013603684E9</v>
      </c>
    </row>
    <row r="200">
      <c r="A200" s="15" t="s">
        <v>675</v>
      </c>
      <c r="B200" s="15" t="s">
        <v>676</v>
      </c>
      <c r="C200" s="16">
        <v>8.590918833E9</v>
      </c>
    </row>
    <row r="201">
      <c r="A201" s="17" t="s">
        <v>108</v>
      </c>
      <c r="B201" s="17" t="s">
        <v>104</v>
      </c>
      <c r="C201" s="18">
        <v>9.81374348E9</v>
      </c>
    </row>
    <row r="202">
      <c r="A202" s="15" t="s">
        <v>284</v>
      </c>
      <c r="B202" s="15" t="s">
        <v>677</v>
      </c>
      <c r="C202" s="16">
        <v>9.460844955E9</v>
      </c>
    </row>
    <row r="203">
      <c r="A203" s="17" t="s">
        <v>680</v>
      </c>
      <c r="B203" s="17" t="s">
        <v>681</v>
      </c>
      <c r="C203" s="18">
        <v>7.559827488E9</v>
      </c>
    </row>
    <row r="204">
      <c r="A204" s="15" t="s">
        <v>683</v>
      </c>
      <c r="B204" s="15" t="s">
        <v>685</v>
      </c>
      <c r="C204" s="16">
        <v>6.265540991E9</v>
      </c>
    </row>
    <row r="205">
      <c r="A205" s="17" t="s">
        <v>686</v>
      </c>
      <c r="B205" s="17" t="s">
        <v>688</v>
      </c>
      <c r="C205" s="18">
        <v>7.050701298E9</v>
      </c>
    </row>
    <row r="206">
      <c r="A206" s="15" t="s">
        <v>692</v>
      </c>
      <c r="B206" s="15" t="s">
        <v>693</v>
      </c>
      <c r="C206" s="16">
        <v>8.986862305E9</v>
      </c>
    </row>
    <row r="207">
      <c r="A207" s="17" t="s">
        <v>695</v>
      </c>
      <c r="B207" s="17" t="s">
        <v>696</v>
      </c>
      <c r="C207" s="18">
        <v>9.039775534E9</v>
      </c>
    </row>
    <row r="208">
      <c r="A208" s="15" t="s">
        <v>698</v>
      </c>
      <c r="B208" s="15" t="s">
        <v>699</v>
      </c>
      <c r="C208" s="16">
        <v>6.302130432E9</v>
      </c>
    </row>
    <row r="209">
      <c r="A209" s="17" t="s">
        <v>701</v>
      </c>
      <c r="B209" s="17" t="s">
        <v>703</v>
      </c>
      <c r="C209" s="18">
        <v>9.600186734E9</v>
      </c>
    </row>
    <row r="210">
      <c r="A210" s="15" t="s">
        <v>706</v>
      </c>
      <c r="B210" s="15" t="s">
        <v>707</v>
      </c>
      <c r="C210" s="16">
        <v>7.067910167E9</v>
      </c>
    </row>
    <row r="211">
      <c r="A211" s="17" t="s">
        <v>708</v>
      </c>
      <c r="B211" s="17" t="s">
        <v>709</v>
      </c>
      <c r="C211" s="18">
        <v>6.361218698E9</v>
      </c>
    </row>
    <row r="212">
      <c r="A212" s="15" t="s">
        <v>712</v>
      </c>
      <c r="B212" s="15" t="s">
        <v>714</v>
      </c>
      <c r="C212" s="16">
        <v>9.54170342E9</v>
      </c>
    </row>
    <row r="213">
      <c r="A213" s="17" t="s">
        <v>716</v>
      </c>
      <c r="B213" s="17" t="s">
        <v>717</v>
      </c>
      <c r="C213" s="18">
        <v>7.321969871E9</v>
      </c>
    </row>
    <row r="214">
      <c r="A214" s="15" t="s">
        <v>66</v>
      </c>
      <c r="B214" s="15" t="s">
        <v>63</v>
      </c>
      <c r="C214" s="16">
        <v>9.570194524E9</v>
      </c>
    </row>
    <row r="215">
      <c r="A215" s="17" t="s">
        <v>721</v>
      </c>
      <c r="B215" s="17" t="s">
        <v>722</v>
      </c>
      <c r="C215" s="18">
        <v>7.777998625E9</v>
      </c>
    </row>
    <row r="216">
      <c r="A216" s="15" t="s">
        <v>567</v>
      </c>
      <c r="B216" s="15" t="s">
        <v>723</v>
      </c>
      <c r="C216" s="16">
        <v>8.158815626E9</v>
      </c>
    </row>
    <row r="217">
      <c r="A217" s="17" t="s">
        <v>726</v>
      </c>
      <c r="B217" s="17" t="s">
        <v>727</v>
      </c>
      <c r="C217" s="18">
        <v>8.826800336E9</v>
      </c>
    </row>
    <row r="218">
      <c r="A218" s="15" t="s">
        <v>728</v>
      </c>
      <c r="B218" s="15" t="s">
        <v>730</v>
      </c>
      <c r="C218" s="16">
        <v>6.394540805E9</v>
      </c>
    </row>
    <row r="219">
      <c r="A219" s="17" t="s">
        <v>731</v>
      </c>
      <c r="B219" s="17" t="s">
        <v>732</v>
      </c>
      <c r="C219" s="18">
        <v>9.340448257E9</v>
      </c>
    </row>
    <row r="220">
      <c r="A220" s="15" t="s">
        <v>734</v>
      </c>
      <c r="B220" s="15" t="s">
        <v>736</v>
      </c>
      <c r="C220" s="16">
        <v>7.840009145E9</v>
      </c>
    </row>
    <row r="221">
      <c r="A221" s="17" t="s">
        <v>738</v>
      </c>
      <c r="B221" s="17" t="s">
        <v>740</v>
      </c>
      <c r="C221" s="18">
        <v>7.980260921E9</v>
      </c>
    </row>
    <row r="222">
      <c r="A222" s="15" t="s">
        <v>741</v>
      </c>
      <c r="B222" s="15" t="s">
        <v>742</v>
      </c>
      <c r="C222" s="16">
        <v>6.377423582E9</v>
      </c>
    </row>
    <row r="223">
      <c r="A223" s="17" t="s">
        <v>745</v>
      </c>
      <c r="B223" s="17" t="s">
        <v>747</v>
      </c>
      <c r="C223" s="18">
        <v>7.338315216E9</v>
      </c>
    </row>
    <row r="224">
      <c r="A224" s="15" t="s">
        <v>748</v>
      </c>
      <c r="B224" s="15" t="s">
        <v>749</v>
      </c>
      <c r="C224" s="16">
        <v>8.800362273E9</v>
      </c>
    </row>
    <row r="225">
      <c r="A225" s="17" t="s">
        <v>751</v>
      </c>
      <c r="B225" s="17" t="s">
        <v>752</v>
      </c>
      <c r="C225" s="18">
        <v>9.987113453E9</v>
      </c>
    </row>
    <row r="226">
      <c r="A226" s="15" t="s">
        <v>754</v>
      </c>
      <c r="B226" s="15" t="s">
        <v>758</v>
      </c>
      <c r="C226" s="16">
        <v>9.163171557E9</v>
      </c>
    </row>
    <row r="227">
      <c r="A227" s="17" t="s">
        <v>760</v>
      </c>
      <c r="B227" s="17" t="s">
        <v>761</v>
      </c>
      <c r="C227" s="18">
        <v>9.870982405E9</v>
      </c>
    </row>
    <row r="228">
      <c r="A228" s="15" t="s">
        <v>182</v>
      </c>
      <c r="B228" s="15" t="s">
        <v>177</v>
      </c>
      <c r="C228" s="16">
        <v>9.877483716E9</v>
      </c>
    </row>
    <row r="229">
      <c r="A229" s="17" t="s">
        <v>622</v>
      </c>
      <c r="B229" s="17" t="s">
        <v>766</v>
      </c>
      <c r="C229" s="18">
        <v>8.368322631E9</v>
      </c>
    </row>
    <row r="230">
      <c r="A230" s="15" t="s">
        <v>767</v>
      </c>
      <c r="B230" s="15" t="s">
        <v>768</v>
      </c>
      <c r="C230" s="16">
        <v>9.35974859E9</v>
      </c>
    </row>
    <row r="231">
      <c r="A231" s="17" t="s">
        <v>771</v>
      </c>
      <c r="B231" s="17" t="s">
        <v>773</v>
      </c>
      <c r="C231" s="18">
        <v>9.668880666E9</v>
      </c>
    </row>
    <row r="232">
      <c r="A232" s="15" t="s">
        <v>774</v>
      </c>
      <c r="B232" s="15" t="s">
        <v>775</v>
      </c>
      <c r="C232" s="16">
        <v>7.26297273E9</v>
      </c>
    </row>
    <row r="233">
      <c r="A233" s="17" t="s">
        <v>776</v>
      </c>
      <c r="B233" s="17" t="s">
        <v>777</v>
      </c>
      <c r="C233" s="18">
        <v>9.878200213E9</v>
      </c>
    </row>
    <row r="234">
      <c r="A234" s="15" t="s">
        <v>779</v>
      </c>
      <c r="B234" s="15" t="s">
        <v>781</v>
      </c>
      <c r="C234" s="16">
        <v>6.377493536E9</v>
      </c>
    </row>
    <row r="235">
      <c r="A235" s="17" t="s">
        <v>782</v>
      </c>
      <c r="B235" s="17" t="s">
        <v>783</v>
      </c>
      <c r="C235" s="18">
        <v>9.014215334E9</v>
      </c>
    </row>
    <row r="236">
      <c r="A236" s="15" t="s">
        <v>785</v>
      </c>
      <c r="B236" s="15" t="s">
        <v>787</v>
      </c>
      <c r="C236" s="16">
        <v>6.283228175E9</v>
      </c>
    </row>
    <row r="237">
      <c r="A237" s="17" t="s">
        <v>789</v>
      </c>
      <c r="B237" s="17" t="s">
        <v>790</v>
      </c>
      <c r="C237" s="18">
        <v>7.895657554E9</v>
      </c>
    </row>
    <row r="238">
      <c r="A238" s="15" t="s">
        <v>792</v>
      </c>
      <c r="B238" s="15" t="s">
        <v>794</v>
      </c>
      <c r="C238" s="16">
        <v>9.119292553E9</v>
      </c>
    </row>
    <row r="239">
      <c r="A239" s="17" t="s">
        <v>795</v>
      </c>
      <c r="B239" s="17" t="s">
        <v>796</v>
      </c>
      <c r="C239" s="18">
        <v>8.350097169E9</v>
      </c>
    </row>
    <row r="240">
      <c r="A240" s="15" t="s">
        <v>799</v>
      </c>
      <c r="B240" s="15" t="s">
        <v>800</v>
      </c>
      <c r="C240" s="16">
        <v>7.404253011E9</v>
      </c>
    </row>
    <row r="241">
      <c r="A241" s="17" t="s">
        <v>801</v>
      </c>
      <c r="B241" s="17" t="s">
        <v>802</v>
      </c>
      <c r="C241" s="18">
        <v>9.677722693E9</v>
      </c>
    </row>
    <row r="242">
      <c r="A242" s="15" t="s">
        <v>804</v>
      </c>
      <c r="B242" s="15" t="s">
        <v>805</v>
      </c>
      <c r="C242" s="16">
        <v>9.825926536E9</v>
      </c>
    </row>
    <row r="243">
      <c r="A243" s="17" t="s">
        <v>808</v>
      </c>
      <c r="B243" s="17" t="s">
        <v>809</v>
      </c>
      <c r="C243" s="18">
        <v>7.050834197E9</v>
      </c>
    </row>
    <row r="244">
      <c r="A244" s="15" t="s">
        <v>811</v>
      </c>
      <c r="B244" s="15" t="s">
        <v>812</v>
      </c>
      <c r="C244" s="16">
        <v>9.080195188E9</v>
      </c>
    </row>
    <row r="245">
      <c r="A245" s="17" t="s">
        <v>813</v>
      </c>
      <c r="B245" s="17" t="s">
        <v>814</v>
      </c>
      <c r="C245" s="18">
        <v>8.248409268E9</v>
      </c>
    </row>
    <row r="246">
      <c r="A246" s="15" t="s">
        <v>815</v>
      </c>
      <c r="B246" s="15" t="s">
        <v>817</v>
      </c>
      <c r="C246" s="16">
        <v>9.024106878E9</v>
      </c>
    </row>
    <row r="247">
      <c r="A247" s="17" t="s">
        <v>818</v>
      </c>
      <c r="B247" s="17" t="s">
        <v>820</v>
      </c>
      <c r="C247" s="18">
        <v>9.887000516E9</v>
      </c>
    </row>
    <row r="248">
      <c r="A248" s="15" t="s">
        <v>822</v>
      </c>
      <c r="B248" s="15" t="s">
        <v>824</v>
      </c>
      <c r="C248" s="16">
        <v>9.523601472E9</v>
      </c>
    </row>
    <row r="249">
      <c r="A249" s="17" t="s">
        <v>827</v>
      </c>
      <c r="B249" s="17" t="s">
        <v>828</v>
      </c>
      <c r="C249" s="18">
        <v>7.003471206E9</v>
      </c>
    </row>
    <row r="250">
      <c r="A250" s="15" t="s">
        <v>831</v>
      </c>
      <c r="B250" s="15" t="s">
        <v>832</v>
      </c>
      <c r="C250" s="16">
        <v>9.63226757E9</v>
      </c>
    </row>
    <row r="251">
      <c r="A251" s="17" t="s">
        <v>690</v>
      </c>
      <c r="B251" s="17" t="s">
        <v>687</v>
      </c>
      <c r="C251" s="18">
        <v>8.277097271E9</v>
      </c>
    </row>
    <row r="252">
      <c r="A252" s="15" t="s">
        <v>835</v>
      </c>
      <c r="B252" s="15" t="s">
        <v>836</v>
      </c>
      <c r="C252" s="16">
        <v>7.834823856E9</v>
      </c>
    </row>
    <row r="253">
      <c r="A253" s="17" t="s">
        <v>841</v>
      </c>
      <c r="B253" s="17" t="s">
        <v>842</v>
      </c>
      <c r="C253" s="18">
        <v>9.5719581E9</v>
      </c>
    </row>
    <row r="254">
      <c r="A254" s="15" t="s">
        <v>844</v>
      </c>
      <c r="B254" s="15" t="s">
        <v>845</v>
      </c>
      <c r="C254" s="16">
        <v>8.305039922E9</v>
      </c>
    </row>
    <row r="255">
      <c r="A255" s="17" t="s">
        <v>846</v>
      </c>
      <c r="B255" s="17" t="s">
        <v>847</v>
      </c>
      <c r="C255" s="18">
        <v>7.566780688E9</v>
      </c>
    </row>
    <row r="256">
      <c r="A256" s="15" t="s">
        <v>212</v>
      </c>
      <c r="B256" s="15" t="s">
        <v>210</v>
      </c>
      <c r="C256" s="16">
        <v>8.54403245E9</v>
      </c>
    </row>
    <row r="257">
      <c r="A257" s="17" t="s">
        <v>850</v>
      </c>
      <c r="B257" s="17" t="s">
        <v>851</v>
      </c>
      <c r="C257" s="18">
        <v>8.431003061E9</v>
      </c>
    </row>
    <row r="258">
      <c r="A258" s="15" t="s">
        <v>852</v>
      </c>
      <c r="B258" s="15" t="s">
        <v>853</v>
      </c>
      <c r="C258" s="16">
        <v>7.493012173E9</v>
      </c>
    </row>
    <row r="259">
      <c r="A259" s="17" t="s">
        <v>855</v>
      </c>
      <c r="B259" s="17" t="s">
        <v>856</v>
      </c>
      <c r="C259" s="18">
        <v>7.79816868E9</v>
      </c>
    </row>
    <row r="260">
      <c r="A260" s="15" t="s">
        <v>857</v>
      </c>
      <c r="B260" s="15" t="s">
        <v>858</v>
      </c>
      <c r="C260" s="16">
        <v>9.560594522E9</v>
      </c>
    </row>
    <row r="261">
      <c r="A261" s="17" t="s">
        <v>860</v>
      </c>
      <c r="B261" s="17" t="s">
        <v>861</v>
      </c>
      <c r="C261" s="18">
        <v>8.824032837E9</v>
      </c>
    </row>
    <row r="262">
      <c r="A262" s="15" t="s">
        <v>862</v>
      </c>
      <c r="B262" s="15" t="s">
        <v>864</v>
      </c>
      <c r="C262" s="16">
        <v>7.599830625E9</v>
      </c>
    </row>
    <row r="263">
      <c r="A263" s="17" t="s">
        <v>865</v>
      </c>
      <c r="B263" s="17" t="s">
        <v>866</v>
      </c>
      <c r="C263" s="18">
        <v>9.457839795E9</v>
      </c>
    </row>
    <row r="264">
      <c r="A264" s="15" t="s">
        <v>867</v>
      </c>
      <c r="B264" s="15" t="s">
        <v>868</v>
      </c>
      <c r="C264" s="16">
        <v>8.898887289E9</v>
      </c>
    </row>
    <row r="265">
      <c r="A265" s="17" t="s">
        <v>869</v>
      </c>
      <c r="B265" s="17" t="s">
        <v>870</v>
      </c>
      <c r="C265" s="18">
        <v>6.267410754E9</v>
      </c>
    </row>
    <row r="266">
      <c r="A266" s="15" t="s">
        <v>872</v>
      </c>
      <c r="B266" s="15" t="s">
        <v>874</v>
      </c>
      <c r="C266" s="16">
        <v>7.003901727E9</v>
      </c>
    </row>
    <row r="267">
      <c r="A267" s="17" t="s">
        <v>875</v>
      </c>
      <c r="B267" s="17" t="s">
        <v>876</v>
      </c>
      <c r="C267" s="18">
        <v>8.827440699E9</v>
      </c>
    </row>
    <row r="268">
      <c r="A268" s="15" t="s">
        <v>878</v>
      </c>
      <c r="B268" s="15" t="s">
        <v>879</v>
      </c>
      <c r="C268" s="16">
        <v>9.205864262E9</v>
      </c>
    </row>
    <row r="269">
      <c r="A269" s="17" t="s">
        <v>880</v>
      </c>
      <c r="B269" s="17" t="s">
        <v>881</v>
      </c>
      <c r="C269" s="18">
        <v>8.928229343E9</v>
      </c>
    </row>
    <row r="270">
      <c r="A270" s="15" t="s">
        <v>39</v>
      </c>
      <c r="B270" s="15" t="s">
        <v>882</v>
      </c>
      <c r="C270" s="16">
        <v>8.077448501E9</v>
      </c>
    </row>
    <row r="271">
      <c r="A271" s="17" t="s">
        <v>883</v>
      </c>
      <c r="B271" s="17" t="s">
        <v>885</v>
      </c>
      <c r="C271" s="18">
        <v>8.709186793E9</v>
      </c>
    </row>
    <row r="272">
      <c r="A272" s="15" t="s">
        <v>887</v>
      </c>
      <c r="B272" s="15" t="s">
        <v>888</v>
      </c>
      <c r="C272" s="16">
        <v>9.155599887E9</v>
      </c>
    </row>
    <row r="273">
      <c r="A273" s="17" t="s">
        <v>889</v>
      </c>
      <c r="B273" s="17" t="s">
        <v>890</v>
      </c>
      <c r="C273" s="18">
        <v>9.896797618E9</v>
      </c>
    </row>
    <row r="274">
      <c r="A274" s="15" t="s">
        <v>468</v>
      </c>
      <c r="B274" s="15" t="s">
        <v>465</v>
      </c>
      <c r="C274" s="16">
        <v>7.388999447E9</v>
      </c>
    </row>
    <row r="275">
      <c r="A275" s="17" t="s">
        <v>891</v>
      </c>
      <c r="B275" s="17" t="s">
        <v>892</v>
      </c>
      <c r="C275" s="18">
        <v>9.204636108E9</v>
      </c>
    </row>
    <row r="276">
      <c r="A276" s="15" t="s">
        <v>838</v>
      </c>
      <c r="B276" s="15" t="s">
        <v>837</v>
      </c>
      <c r="C276" s="16">
        <v>9.508492656E9</v>
      </c>
    </row>
    <row r="277">
      <c r="A277" s="17" t="s">
        <v>893</v>
      </c>
      <c r="B277" s="17" t="s">
        <v>894</v>
      </c>
      <c r="C277" s="18">
        <v>9.953757794E9</v>
      </c>
    </row>
    <row r="278">
      <c r="A278" s="15" t="s">
        <v>895</v>
      </c>
      <c r="B278" s="15" t="s">
        <v>896</v>
      </c>
      <c r="C278" s="16">
        <v>6.20558217E9</v>
      </c>
    </row>
    <row r="279">
      <c r="A279" s="17" t="s">
        <v>897</v>
      </c>
      <c r="B279" s="17" t="s">
        <v>898</v>
      </c>
      <c r="C279" s="18">
        <v>8.302045298E9</v>
      </c>
    </row>
    <row r="280">
      <c r="A280" s="15" t="s">
        <v>899</v>
      </c>
      <c r="B280" s="15" t="s">
        <v>900</v>
      </c>
      <c r="C280" s="16">
        <v>9.560023928E9</v>
      </c>
    </row>
    <row r="281">
      <c r="A281" s="17" t="s">
        <v>901</v>
      </c>
      <c r="B281" s="17" t="s">
        <v>902</v>
      </c>
      <c r="C281" s="18">
        <v>8.368691628E9</v>
      </c>
    </row>
    <row r="282">
      <c r="A282" s="15" t="s">
        <v>149</v>
      </c>
      <c r="B282" s="15" t="s">
        <v>146</v>
      </c>
      <c r="C282" s="16">
        <v>8.28777025E9</v>
      </c>
    </row>
    <row r="283">
      <c r="A283" s="17" t="s">
        <v>906</v>
      </c>
      <c r="B283" s="17" t="s">
        <v>908</v>
      </c>
      <c r="C283" s="18">
        <v>7.457976617E9</v>
      </c>
    </row>
    <row r="284">
      <c r="A284" s="15" t="s">
        <v>355</v>
      </c>
      <c r="B284" s="15" t="s">
        <v>352</v>
      </c>
      <c r="C284" s="16">
        <v>6.394801207E9</v>
      </c>
    </row>
    <row r="285">
      <c r="A285" s="17" t="s">
        <v>267</v>
      </c>
      <c r="B285" s="17" t="s">
        <v>265</v>
      </c>
      <c r="C285" s="18">
        <v>8.340184575E9</v>
      </c>
    </row>
    <row r="286">
      <c r="A286" s="15" t="s">
        <v>913</v>
      </c>
      <c r="B286" s="15" t="s">
        <v>914</v>
      </c>
      <c r="C286" s="16">
        <v>7.66672217E9</v>
      </c>
    </row>
    <row r="287">
      <c r="A287" s="17" t="s">
        <v>915</v>
      </c>
      <c r="B287" s="17" t="s">
        <v>916</v>
      </c>
      <c r="C287" s="18">
        <v>7.972276132E9</v>
      </c>
    </row>
    <row r="288">
      <c r="A288" s="15" t="s">
        <v>918</v>
      </c>
      <c r="B288" s="15" t="s">
        <v>919</v>
      </c>
      <c r="C288" s="16">
        <v>8.126397737E9</v>
      </c>
    </row>
    <row r="289">
      <c r="A289" s="17" t="s">
        <v>921</v>
      </c>
      <c r="B289" s="17" t="s">
        <v>923</v>
      </c>
      <c r="C289" s="18">
        <v>8.860207419E9</v>
      </c>
    </row>
    <row r="290">
      <c r="A290" s="15" t="s">
        <v>925</v>
      </c>
      <c r="B290" s="15" t="s">
        <v>926</v>
      </c>
      <c r="C290" s="16">
        <v>9.79994781E9</v>
      </c>
    </row>
    <row r="291">
      <c r="A291" s="17" t="s">
        <v>927</v>
      </c>
      <c r="B291" s="17" t="s">
        <v>928</v>
      </c>
      <c r="C291" s="18">
        <v>9.145940065E9</v>
      </c>
    </row>
    <row r="292">
      <c r="A292" s="15" t="s">
        <v>611</v>
      </c>
      <c r="B292" s="15" t="s">
        <v>609</v>
      </c>
      <c r="C292" s="16">
        <v>7.439629745E9</v>
      </c>
    </row>
    <row r="293">
      <c r="A293" s="17" t="s">
        <v>930</v>
      </c>
      <c r="B293" s="17" t="s">
        <v>932</v>
      </c>
      <c r="C293" s="18">
        <v>7.814669526E9</v>
      </c>
    </row>
    <row r="294">
      <c r="A294" s="15" t="s">
        <v>933</v>
      </c>
      <c r="B294" s="15" t="s">
        <v>934</v>
      </c>
      <c r="C294" s="16">
        <v>9.385970029E9</v>
      </c>
    </row>
    <row r="295">
      <c r="A295" s="17" t="s">
        <v>936</v>
      </c>
      <c r="B295" s="17" t="s">
        <v>937</v>
      </c>
      <c r="C295" s="18">
        <v>7.09618677E9</v>
      </c>
    </row>
    <row r="296">
      <c r="A296" s="15" t="s">
        <v>938</v>
      </c>
      <c r="B296" s="15" t="s">
        <v>940</v>
      </c>
      <c r="C296" s="16">
        <v>8.052600538E9</v>
      </c>
    </row>
    <row r="297">
      <c r="A297" s="17" t="s">
        <v>942</v>
      </c>
      <c r="B297" s="17" t="s">
        <v>943</v>
      </c>
      <c r="C297" s="18">
        <v>6.299547757E9</v>
      </c>
    </row>
    <row r="298">
      <c r="A298" s="15" t="s">
        <v>945</v>
      </c>
      <c r="B298" s="15" t="s">
        <v>946</v>
      </c>
      <c r="C298" s="16">
        <v>7.082067896E9</v>
      </c>
    </row>
    <row r="299">
      <c r="A299" s="17" t="s">
        <v>949</v>
      </c>
      <c r="B299" s="17" t="s">
        <v>952</v>
      </c>
      <c r="C299" s="18">
        <v>8.697001351E9</v>
      </c>
    </row>
    <row r="300">
      <c r="A300" s="15" t="s">
        <v>907</v>
      </c>
      <c r="B300" s="15" t="s">
        <v>905</v>
      </c>
      <c r="C300" s="16">
        <v>9.826229443E9</v>
      </c>
    </row>
    <row r="301">
      <c r="A301" s="17" t="s">
        <v>560</v>
      </c>
      <c r="B301" s="17" t="s">
        <v>557</v>
      </c>
      <c r="C301" s="18">
        <v>8.237960551E9</v>
      </c>
    </row>
    <row r="302">
      <c r="A302" s="15" t="s">
        <v>954</v>
      </c>
      <c r="B302" s="15" t="s">
        <v>956</v>
      </c>
      <c r="C302" s="16">
        <v>9.883492264E9</v>
      </c>
    </row>
    <row r="303">
      <c r="A303" s="17" t="s">
        <v>957</v>
      </c>
      <c r="B303" s="17" t="s">
        <v>958</v>
      </c>
      <c r="C303" s="18">
        <v>9.629958443E9</v>
      </c>
    </row>
    <row r="304">
      <c r="A304" s="15" t="s">
        <v>653</v>
      </c>
      <c r="B304" s="15" t="s">
        <v>650</v>
      </c>
      <c r="C304" s="16">
        <v>9.546667831E9</v>
      </c>
    </row>
    <row r="305">
      <c r="A305" s="17" t="s">
        <v>961</v>
      </c>
      <c r="B305" s="17" t="s">
        <v>962</v>
      </c>
      <c r="C305" s="18">
        <v>7.903410884E9</v>
      </c>
    </row>
    <row r="306">
      <c r="A306" s="15" t="s">
        <v>963</v>
      </c>
      <c r="B306" s="15" t="s">
        <v>964</v>
      </c>
      <c r="C306" s="16">
        <v>9.946046012E9</v>
      </c>
    </row>
    <row r="307">
      <c r="A307" s="17" t="s">
        <v>967</v>
      </c>
      <c r="B307" s="17" t="s">
        <v>968</v>
      </c>
      <c r="C307" s="18">
        <v>8.143751236E9</v>
      </c>
    </row>
    <row r="308">
      <c r="A308" s="15" t="s">
        <v>970</v>
      </c>
      <c r="B308" s="15" t="s">
        <v>972</v>
      </c>
      <c r="C308" s="16">
        <v>9.930756031E9</v>
      </c>
    </row>
    <row r="309">
      <c r="A309" s="17" t="s">
        <v>973</v>
      </c>
      <c r="B309" s="17" t="s">
        <v>974</v>
      </c>
      <c r="C309" s="18">
        <v>9.840878119E9</v>
      </c>
    </row>
    <row r="310">
      <c r="A310" s="15" t="s">
        <v>975</v>
      </c>
      <c r="B310" s="15" t="s">
        <v>977</v>
      </c>
      <c r="C310" s="16">
        <v>9.004993795E9</v>
      </c>
    </row>
    <row r="311">
      <c r="A311" s="17" t="s">
        <v>979</v>
      </c>
      <c r="B311" s="17" t="s">
        <v>980</v>
      </c>
      <c r="C311" s="18">
        <v>9.669282284E9</v>
      </c>
    </row>
    <row r="312">
      <c r="A312" s="15" t="s">
        <v>983</v>
      </c>
      <c r="B312" s="15" t="s">
        <v>985</v>
      </c>
      <c r="C312" s="16">
        <v>7.797956272E9</v>
      </c>
    </row>
    <row r="313">
      <c r="A313" s="17" t="s">
        <v>986</v>
      </c>
      <c r="B313" s="17" t="s">
        <v>987</v>
      </c>
      <c r="C313" s="18">
        <v>6.203406556E9</v>
      </c>
    </row>
    <row r="314">
      <c r="A314" s="15" t="s">
        <v>990</v>
      </c>
      <c r="B314" s="15" t="s">
        <v>991</v>
      </c>
      <c r="C314" s="16">
        <v>7.980837255E9</v>
      </c>
    </row>
    <row r="315">
      <c r="A315" s="17" t="s">
        <v>993</v>
      </c>
      <c r="B315" s="17" t="s">
        <v>994</v>
      </c>
      <c r="C315" s="18">
        <v>8.758021675E9</v>
      </c>
    </row>
    <row r="316">
      <c r="A316" s="15" t="s">
        <v>995</v>
      </c>
      <c r="B316" s="15" t="s">
        <v>997</v>
      </c>
      <c r="C316" s="16">
        <v>9.038929699E9</v>
      </c>
    </row>
    <row r="317">
      <c r="A317" s="17" t="s">
        <v>998</v>
      </c>
      <c r="B317" s="17" t="s">
        <v>999</v>
      </c>
      <c r="C317" s="18">
        <v>9.771030185E9</v>
      </c>
    </row>
    <row r="318">
      <c r="A318" s="15" t="s">
        <v>1002</v>
      </c>
      <c r="B318" s="15" t="s">
        <v>1003</v>
      </c>
      <c r="C318" s="16">
        <v>9.465480575E9</v>
      </c>
    </row>
    <row r="319">
      <c r="A319" s="17" t="s">
        <v>1005</v>
      </c>
      <c r="B319" s="17" t="s">
        <v>1006</v>
      </c>
      <c r="C319" s="18">
        <v>9.100959727E9</v>
      </c>
    </row>
    <row r="320">
      <c r="A320" s="15" t="s">
        <v>1008</v>
      </c>
      <c r="B320" s="15" t="s">
        <v>1009</v>
      </c>
      <c r="C320" s="16">
        <v>9.585058822E9</v>
      </c>
    </row>
    <row r="321">
      <c r="A321" s="17" t="s">
        <v>1011</v>
      </c>
      <c r="B321" s="17" t="s">
        <v>1013</v>
      </c>
      <c r="C321" s="18">
        <v>6.396635684E9</v>
      </c>
    </row>
    <row r="322">
      <c r="A322" s="15" t="s">
        <v>1016</v>
      </c>
      <c r="B322" s="15" t="s">
        <v>1017</v>
      </c>
      <c r="C322" s="16">
        <v>8.529569118E9</v>
      </c>
    </row>
    <row r="323">
      <c r="A323" s="17" t="s">
        <v>1019</v>
      </c>
      <c r="B323" s="17" t="s">
        <v>1020</v>
      </c>
      <c r="C323" s="18">
        <v>8.05622747E9</v>
      </c>
    </row>
    <row r="324">
      <c r="A324" s="15" t="s">
        <v>1022</v>
      </c>
      <c r="B324" s="15" t="s">
        <v>1023</v>
      </c>
      <c r="C324" s="16">
        <v>7.805012626E9</v>
      </c>
    </row>
    <row r="325">
      <c r="A325" s="17" t="s">
        <v>1024</v>
      </c>
      <c r="B325" s="17" t="s">
        <v>1025</v>
      </c>
      <c r="C325" s="18">
        <v>7.871464155E9</v>
      </c>
    </row>
    <row r="326">
      <c r="A326" s="15" t="s">
        <v>1027</v>
      </c>
      <c r="B326" s="15" t="s">
        <v>1029</v>
      </c>
      <c r="C326" s="16">
        <v>9.207107746E9</v>
      </c>
    </row>
    <row r="327">
      <c r="A327" s="17" t="s">
        <v>1030</v>
      </c>
      <c r="B327" s="17" t="s">
        <v>1031</v>
      </c>
      <c r="C327" s="18">
        <v>7.904645891E9</v>
      </c>
    </row>
    <row r="328">
      <c r="A328" s="15" t="s">
        <v>322</v>
      </c>
      <c r="B328" s="15" t="s">
        <v>1033</v>
      </c>
      <c r="C328" s="16">
        <v>6.367755955E9</v>
      </c>
    </row>
    <row r="329">
      <c r="A329" s="17" t="s">
        <v>1035</v>
      </c>
      <c r="B329" s="17" t="s">
        <v>1036</v>
      </c>
      <c r="C329" s="18">
        <v>7.454831062E9</v>
      </c>
    </row>
    <row r="330">
      <c r="A330" s="15" t="s">
        <v>1038</v>
      </c>
      <c r="B330" s="15" t="s">
        <v>1040</v>
      </c>
      <c r="C330" s="16">
        <v>7.700807888E9</v>
      </c>
    </row>
    <row r="331">
      <c r="A331" s="17" t="s">
        <v>1042</v>
      </c>
      <c r="B331" s="17" t="s">
        <v>1044</v>
      </c>
      <c r="C331" s="18">
        <v>9.03173033E9</v>
      </c>
    </row>
    <row r="332">
      <c r="A332" s="15" t="s">
        <v>1047</v>
      </c>
      <c r="B332" s="15" t="s">
        <v>1048</v>
      </c>
      <c r="C332" s="16">
        <v>8.448106478E9</v>
      </c>
    </row>
    <row r="333">
      <c r="A333" s="17" t="s">
        <v>1050</v>
      </c>
      <c r="B333" s="17" t="s">
        <v>1051</v>
      </c>
      <c r="C333" s="18">
        <v>9.170639649E9</v>
      </c>
    </row>
    <row r="334">
      <c r="A334" s="15" t="s">
        <v>1052</v>
      </c>
      <c r="B334" s="15" t="s">
        <v>1053</v>
      </c>
      <c r="C334" s="16">
        <v>7.439617274E9</v>
      </c>
    </row>
    <row r="335">
      <c r="A335" s="17" t="s">
        <v>1054</v>
      </c>
      <c r="B335" s="17" t="s">
        <v>1055</v>
      </c>
      <c r="C335" s="18">
        <v>6.20375646E9</v>
      </c>
    </row>
    <row r="336">
      <c r="A336" s="15" t="s">
        <v>1057</v>
      </c>
      <c r="B336" s="15" t="s">
        <v>1058</v>
      </c>
      <c r="C336" s="16">
        <v>9.411204423E9</v>
      </c>
    </row>
    <row r="337">
      <c r="A337" s="17" t="s">
        <v>1060</v>
      </c>
      <c r="B337" s="17" t="s">
        <v>1061</v>
      </c>
      <c r="C337" s="18">
        <v>8.409588796E9</v>
      </c>
    </row>
    <row r="338">
      <c r="A338" s="15" t="s">
        <v>1062</v>
      </c>
      <c r="B338" s="15" t="s">
        <v>1063</v>
      </c>
      <c r="C338" s="16">
        <v>8.899626822E9</v>
      </c>
    </row>
    <row r="339">
      <c r="A339" s="17" t="s">
        <v>1065</v>
      </c>
      <c r="B339" s="17" t="s">
        <v>1066</v>
      </c>
      <c r="C339" s="18">
        <v>6.387480481E9</v>
      </c>
    </row>
    <row r="340">
      <c r="A340" s="15" t="s">
        <v>1068</v>
      </c>
      <c r="B340" s="15" t="s">
        <v>1069</v>
      </c>
      <c r="C340" s="16">
        <v>7.982844174E9</v>
      </c>
    </row>
    <row r="341">
      <c r="A341" s="17" t="s">
        <v>595</v>
      </c>
      <c r="B341" s="17" t="s">
        <v>593</v>
      </c>
      <c r="C341" s="18">
        <v>7.978783934E9</v>
      </c>
    </row>
    <row r="342">
      <c r="A342" s="15" t="s">
        <v>1072</v>
      </c>
      <c r="B342" s="15" t="s">
        <v>1073</v>
      </c>
      <c r="C342" s="16">
        <v>9.059068739E9</v>
      </c>
    </row>
    <row r="343">
      <c r="A343" s="17" t="s">
        <v>1074</v>
      </c>
      <c r="B343" s="17" t="s">
        <v>1075</v>
      </c>
      <c r="C343" s="18">
        <v>9.970013662E9</v>
      </c>
    </row>
    <row r="344">
      <c r="A344" s="15" t="s">
        <v>1076</v>
      </c>
      <c r="B344" s="15" t="s">
        <v>1078</v>
      </c>
      <c r="C344" s="16">
        <v>9.538944471E9</v>
      </c>
    </row>
    <row r="345">
      <c r="A345" s="17" t="s">
        <v>1080</v>
      </c>
      <c r="B345" s="17" t="s">
        <v>1081</v>
      </c>
      <c r="C345" s="17" t="s">
        <v>47</v>
      </c>
    </row>
    <row r="346">
      <c r="A346" s="15" t="s">
        <v>1083</v>
      </c>
      <c r="B346" s="15" t="s">
        <v>1085</v>
      </c>
      <c r="C346" s="16">
        <v>7.396626025E9</v>
      </c>
    </row>
    <row r="347">
      <c r="A347" s="17" t="s">
        <v>1088</v>
      </c>
      <c r="B347" s="17" t="s">
        <v>1090</v>
      </c>
      <c r="C347" s="18">
        <v>9.638634737E9</v>
      </c>
    </row>
    <row r="348">
      <c r="A348" s="15" t="s">
        <v>969</v>
      </c>
      <c r="B348" s="15" t="s">
        <v>1092</v>
      </c>
      <c r="C348" s="16">
        <v>8.700524258E9</v>
      </c>
    </row>
    <row r="349">
      <c r="A349" s="17" t="s">
        <v>1095</v>
      </c>
      <c r="B349" s="17" t="s">
        <v>1097</v>
      </c>
      <c r="C349" s="18">
        <v>9.798724149E9</v>
      </c>
    </row>
    <row r="350">
      <c r="A350" s="15" t="s">
        <v>1100</v>
      </c>
      <c r="B350" s="15" t="s">
        <v>1101</v>
      </c>
      <c r="C350" s="16">
        <v>7.988576592E9</v>
      </c>
    </row>
    <row r="351">
      <c r="A351" s="17" t="s">
        <v>76</v>
      </c>
      <c r="B351" s="17" t="s">
        <v>74</v>
      </c>
      <c r="C351" s="18">
        <v>9.142347554E9</v>
      </c>
    </row>
    <row r="352">
      <c r="A352" s="15" t="s">
        <v>396</v>
      </c>
      <c r="B352" s="15" t="s">
        <v>1105</v>
      </c>
      <c r="C352" s="16">
        <v>8.319059935E9</v>
      </c>
    </row>
    <row r="353">
      <c r="A353" s="17" t="s">
        <v>1107</v>
      </c>
      <c r="B353" s="17" t="s">
        <v>1108</v>
      </c>
      <c r="C353" s="18">
        <v>8.707484932E9</v>
      </c>
    </row>
    <row r="354">
      <c r="A354" s="15" t="s">
        <v>1110</v>
      </c>
      <c r="B354" s="15" t="s">
        <v>1111</v>
      </c>
      <c r="C354" s="16">
        <v>9.717118189E9</v>
      </c>
    </row>
    <row r="355">
      <c r="A355" s="17" t="s">
        <v>1113</v>
      </c>
      <c r="B355" s="17" t="s">
        <v>1114</v>
      </c>
      <c r="C355" s="18">
        <v>8.148428241E9</v>
      </c>
    </row>
    <row r="356">
      <c r="A356" s="15" t="s">
        <v>1115</v>
      </c>
      <c r="B356" s="15" t="s">
        <v>1117</v>
      </c>
      <c r="C356" s="16">
        <v>9.999482864E9</v>
      </c>
    </row>
    <row r="357">
      <c r="A357" s="17" t="s">
        <v>399</v>
      </c>
      <c r="B357" s="17" t="s">
        <v>397</v>
      </c>
      <c r="C357" s="18">
        <v>7.080299171E9</v>
      </c>
    </row>
    <row r="358">
      <c r="A358" s="15" t="s">
        <v>1118</v>
      </c>
      <c r="B358" s="15" t="s">
        <v>1119</v>
      </c>
      <c r="C358" s="16">
        <v>6.376409955E9</v>
      </c>
    </row>
    <row r="359">
      <c r="A359" s="17" t="s">
        <v>1121</v>
      </c>
      <c r="B359" s="17" t="s">
        <v>1122</v>
      </c>
      <c r="C359" s="18">
        <v>7.002211554E9</v>
      </c>
    </row>
    <row r="360">
      <c r="A360" s="15" t="s">
        <v>1123</v>
      </c>
      <c r="B360" s="15" t="s">
        <v>1124</v>
      </c>
      <c r="C360" s="16">
        <v>6.303961097E9</v>
      </c>
    </row>
    <row r="361">
      <c r="A361" s="17" t="s">
        <v>1125</v>
      </c>
      <c r="B361" s="17" t="s">
        <v>1127</v>
      </c>
      <c r="C361" s="18">
        <v>8.3688649E9</v>
      </c>
    </row>
    <row r="362">
      <c r="A362" s="15" t="s">
        <v>1128</v>
      </c>
      <c r="B362" s="15" t="s">
        <v>1130</v>
      </c>
      <c r="C362" s="16">
        <v>9.521087176E9</v>
      </c>
    </row>
    <row r="363">
      <c r="A363" s="17" t="s">
        <v>1132</v>
      </c>
      <c r="B363" s="17" t="s">
        <v>1133</v>
      </c>
      <c r="C363" s="18">
        <v>8.240558484E9</v>
      </c>
    </row>
    <row r="364">
      <c r="A364" s="21" t="s">
        <v>1134</v>
      </c>
      <c r="B364" s="3" t="s">
        <v>1137</v>
      </c>
      <c r="C364" s="4">
        <v>7.300920262E9</v>
      </c>
    </row>
    <row r="365">
      <c r="A365" s="22" t="s">
        <v>1140</v>
      </c>
      <c r="B365" s="5" t="s">
        <v>1141</v>
      </c>
      <c r="C365" s="6">
        <v>6.299568744E9</v>
      </c>
    </row>
    <row r="366">
      <c r="A366" s="21" t="s">
        <v>1142</v>
      </c>
      <c r="B366" s="3" t="s">
        <v>1143</v>
      </c>
      <c r="C366" s="4">
        <v>9.300499439E9</v>
      </c>
    </row>
    <row r="367">
      <c r="A367" s="22" t="s">
        <v>1145</v>
      </c>
      <c r="B367" s="5" t="s">
        <v>1146</v>
      </c>
      <c r="C367" s="6">
        <v>9.829710989E9</v>
      </c>
    </row>
    <row r="368">
      <c r="A368" s="21" t="s">
        <v>1148</v>
      </c>
      <c r="B368" s="3" t="s">
        <v>1149</v>
      </c>
      <c r="C368" s="4">
        <v>9.711143489E9</v>
      </c>
    </row>
    <row r="369">
      <c r="A369" s="22" t="s">
        <v>1152</v>
      </c>
      <c r="B369" s="5" t="s">
        <v>1153</v>
      </c>
      <c r="C369" s="6">
        <v>7.010656028E9</v>
      </c>
    </row>
    <row r="370">
      <c r="A370" s="21" t="s">
        <v>1154</v>
      </c>
      <c r="B370" s="3" t="s">
        <v>1155</v>
      </c>
      <c r="C370" s="4">
        <v>7.982833376E9</v>
      </c>
    </row>
    <row r="371">
      <c r="A371" s="5" t="s">
        <v>1156</v>
      </c>
      <c r="B371" s="5" t="s">
        <v>1158</v>
      </c>
      <c r="C371" s="6">
        <v>9.515525688E9</v>
      </c>
    </row>
    <row r="372">
      <c r="A372" s="3" t="s">
        <v>1160</v>
      </c>
      <c r="B372" s="3" t="s">
        <v>1161</v>
      </c>
      <c r="C372" s="4">
        <v>9.711833898E9</v>
      </c>
    </row>
    <row r="373">
      <c r="A373" s="5" t="s">
        <v>239</v>
      </c>
      <c r="B373" s="5" t="s">
        <v>238</v>
      </c>
      <c r="C373" s="6">
        <v>9.026479584E9</v>
      </c>
    </row>
    <row r="374">
      <c r="A374" s="3" t="s">
        <v>1164</v>
      </c>
      <c r="B374" s="3" t="s">
        <v>1165</v>
      </c>
      <c r="C374" s="4">
        <v>7.275040865E9</v>
      </c>
    </row>
    <row r="375">
      <c r="A375" s="5" t="s">
        <v>337</v>
      </c>
      <c r="B375" s="5" t="s">
        <v>334</v>
      </c>
      <c r="C375" s="6">
        <v>7.661838282E9</v>
      </c>
    </row>
    <row r="376">
      <c r="A376" s="3" t="s">
        <v>1166</v>
      </c>
      <c r="B376" s="3" t="s">
        <v>1168</v>
      </c>
      <c r="C376" s="4">
        <v>8.870180403E9</v>
      </c>
    </row>
    <row r="377">
      <c r="A377" s="5" t="s">
        <v>1170</v>
      </c>
      <c r="B377" s="5" t="s">
        <v>1171</v>
      </c>
      <c r="C377" s="6">
        <v>9.743514388E9</v>
      </c>
    </row>
    <row r="378">
      <c r="A378" s="3" t="s">
        <v>1172</v>
      </c>
      <c r="B378" s="3" t="s">
        <v>1173</v>
      </c>
      <c r="C378" s="4">
        <v>7.905521531E9</v>
      </c>
    </row>
    <row r="379">
      <c r="A379" s="5" t="s">
        <v>1174</v>
      </c>
      <c r="B379" s="5" t="s">
        <v>619</v>
      </c>
      <c r="C379" s="6">
        <v>6.20027161E9</v>
      </c>
    </row>
    <row r="380">
      <c r="A380" s="23" t="s">
        <v>1176</v>
      </c>
      <c r="B380" s="23" t="s">
        <v>1177</v>
      </c>
      <c r="C380" s="24">
        <v>7.59719422E9</v>
      </c>
    </row>
    <row r="381">
      <c r="A381" s="25" t="s">
        <v>1087</v>
      </c>
      <c r="B381" s="17" t="s">
        <v>1084</v>
      </c>
      <c r="C381" s="18">
        <v>6.383130781E9</v>
      </c>
    </row>
    <row r="382">
      <c r="A382" s="26" t="s">
        <v>1181</v>
      </c>
      <c r="B382" s="15" t="s">
        <v>1182</v>
      </c>
      <c r="C382" s="16">
        <v>9.380320085E9</v>
      </c>
    </row>
    <row r="383">
      <c r="A383" s="25" t="s">
        <v>1185</v>
      </c>
      <c r="B383" s="17" t="s">
        <v>1186</v>
      </c>
      <c r="C383" s="18">
        <v>6.281110145E9</v>
      </c>
    </row>
    <row r="384">
      <c r="A384" s="26" t="s">
        <v>1187</v>
      </c>
      <c r="B384" s="15" t="s">
        <v>1188</v>
      </c>
      <c r="C384" s="16">
        <v>9.871122993E9</v>
      </c>
    </row>
    <row r="385">
      <c r="A385" s="25" t="s">
        <v>1189</v>
      </c>
      <c r="B385" s="17" t="s">
        <v>1190</v>
      </c>
      <c r="C385" s="18">
        <v>8.54006018E9</v>
      </c>
    </row>
    <row r="386">
      <c r="A386" s="26" t="s">
        <v>1193</v>
      </c>
      <c r="B386" s="15" t="s">
        <v>1194</v>
      </c>
      <c r="C386" s="16">
        <v>6.290547306E9</v>
      </c>
    </row>
    <row r="387">
      <c r="A387" s="25" t="s">
        <v>1196</v>
      </c>
      <c r="B387" s="17" t="s">
        <v>1197</v>
      </c>
      <c r="C387" s="18">
        <v>9.518419276E9</v>
      </c>
    </row>
    <row r="388">
      <c r="A388" s="26" t="s">
        <v>1198</v>
      </c>
      <c r="B388" s="15" t="s">
        <v>1199</v>
      </c>
      <c r="C388" s="16">
        <v>9.450525333E9</v>
      </c>
    </row>
    <row r="389">
      <c r="A389" s="25" t="s">
        <v>1200</v>
      </c>
      <c r="B389" s="17" t="s">
        <v>1201</v>
      </c>
      <c r="C389" s="18">
        <v>8.82588552E9</v>
      </c>
    </row>
    <row r="390">
      <c r="A390" s="26" t="s">
        <v>1203</v>
      </c>
      <c r="B390" s="15" t="s">
        <v>1204</v>
      </c>
      <c r="C390" s="16">
        <v>7.355540762E9</v>
      </c>
    </row>
    <row r="391">
      <c r="A391" s="25" t="s">
        <v>1205</v>
      </c>
      <c r="B391" s="17" t="s">
        <v>1206</v>
      </c>
      <c r="C391" s="18">
        <v>9.717588426E9</v>
      </c>
    </row>
    <row r="392">
      <c r="A392" s="26" t="s">
        <v>1207</v>
      </c>
      <c r="B392" s="15" t="s">
        <v>1208</v>
      </c>
      <c r="C392" s="16">
        <v>7.017863452E9</v>
      </c>
    </row>
    <row r="393">
      <c r="A393" s="25" t="s">
        <v>1210</v>
      </c>
      <c r="B393" s="17" t="s">
        <v>1211</v>
      </c>
      <c r="C393" s="18">
        <v>8.409715153E9</v>
      </c>
    </row>
    <row r="394">
      <c r="A394" s="26" t="s">
        <v>1213</v>
      </c>
      <c r="B394" s="15" t="s">
        <v>1214</v>
      </c>
      <c r="C394" s="16">
        <v>7.387249303E9</v>
      </c>
    </row>
    <row r="395">
      <c r="A395" s="25" t="s">
        <v>1215</v>
      </c>
      <c r="B395" s="17" t="s">
        <v>1216</v>
      </c>
      <c r="C395" s="18">
        <v>8.638509806E9</v>
      </c>
    </row>
    <row r="396">
      <c r="A396" s="26" t="s">
        <v>1218</v>
      </c>
      <c r="B396" s="15" t="s">
        <v>1219</v>
      </c>
      <c r="C396" s="16">
        <v>9.604234204E9</v>
      </c>
    </row>
    <row r="397">
      <c r="A397" s="25" t="s">
        <v>1220</v>
      </c>
      <c r="B397" s="17" t="s">
        <v>1221</v>
      </c>
      <c r="C397" s="18">
        <v>7.666126009E9</v>
      </c>
    </row>
    <row r="398">
      <c r="A398" s="26" t="s">
        <v>1223</v>
      </c>
      <c r="B398" s="15" t="s">
        <v>1224</v>
      </c>
      <c r="C398" s="16">
        <v>9.140895177E9</v>
      </c>
    </row>
    <row r="399">
      <c r="A399" s="25" t="s">
        <v>494</v>
      </c>
      <c r="B399" s="17" t="s">
        <v>492</v>
      </c>
      <c r="C399" s="18">
        <v>7.007454441E9</v>
      </c>
    </row>
    <row r="400">
      <c r="A400" s="26" t="s">
        <v>826</v>
      </c>
      <c r="B400" s="15" t="s">
        <v>825</v>
      </c>
      <c r="C400" s="16">
        <v>9.798496367E9</v>
      </c>
    </row>
    <row r="401">
      <c r="A401" s="27" t="s">
        <v>1226</v>
      </c>
      <c r="B401" s="5" t="s">
        <v>1228</v>
      </c>
      <c r="C401" s="6">
        <v>8.528400125E9</v>
      </c>
    </row>
    <row r="402">
      <c r="A402" s="23" t="s">
        <v>1230</v>
      </c>
      <c r="B402" s="3" t="s">
        <v>1231</v>
      </c>
      <c r="C402" s="4">
        <v>7.827554625E9</v>
      </c>
    </row>
    <row r="403">
      <c r="A403" s="27" t="s">
        <v>1232</v>
      </c>
      <c r="B403" s="5" t="s">
        <v>1233</v>
      </c>
      <c r="C403" s="6">
        <v>8.949404907E9</v>
      </c>
    </row>
    <row r="404">
      <c r="A404" s="23" t="s">
        <v>1235</v>
      </c>
      <c r="B404" s="3" t="s">
        <v>1236</v>
      </c>
      <c r="C404" s="4">
        <v>9.344303854E9</v>
      </c>
    </row>
    <row r="405">
      <c r="A405" s="27" t="s">
        <v>1237</v>
      </c>
      <c r="B405" s="5" t="s">
        <v>1238</v>
      </c>
      <c r="C405" s="6">
        <v>6.381464733E9</v>
      </c>
    </row>
    <row r="406">
      <c r="A406" s="23" t="s">
        <v>1239</v>
      </c>
      <c r="B406" s="3" t="s">
        <v>1240</v>
      </c>
      <c r="C406" s="4">
        <v>9.967155568E9</v>
      </c>
    </row>
    <row r="407">
      <c r="A407" s="27" t="s">
        <v>1243</v>
      </c>
      <c r="B407" s="5" t="s">
        <v>1245</v>
      </c>
      <c r="C407" s="6">
        <v>9.696826826E9</v>
      </c>
    </row>
    <row r="408">
      <c r="A408" s="23" t="s">
        <v>1246</v>
      </c>
      <c r="B408" s="3" t="s">
        <v>1247</v>
      </c>
      <c r="C408" s="4">
        <v>9.988511591E9</v>
      </c>
    </row>
    <row r="409">
      <c r="A409" s="27" t="s">
        <v>1249</v>
      </c>
      <c r="B409" s="5" t="s">
        <v>1250</v>
      </c>
      <c r="C409" s="6">
        <v>6.269425392E9</v>
      </c>
    </row>
    <row r="410">
      <c r="A410" s="23" t="s">
        <v>793</v>
      </c>
      <c r="B410" s="3" t="s">
        <v>791</v>
      </c>
      <c r="C410" s="4">
        <v>6.005726422E9</v>
      </c>
    </row>
    <row r="411">
      <c r="A411" s="27" t="s">
        <v>1254</v>
      </c>
      <c r="B411" s="5" t="s">
        <v>1256</v>
      </c>
      <c r="C411" s="6">
        <v>8.104878355E9</v>
      </c>
    </row>
    <row r="412">
      <c r="A412" s="23" t="s">
        <v>1257</v>
      </c>
      <c r="B412" s="3" t="s">
        <v>1258</v>
      </c>
      <c r="C412" s="4">
        <v>8.080666817E9</v>
      </c>
    </row>
    <row r="413">
      <c r="A413" s="27" t="s">
        <v>1261</v>
      </c>
      <c r="B413" s="27" t="s">
        <v>1263</v>
      </c>
      <c r="C413" s="28">
        <v>6.20422313E9</v>
      </c>
    </row>
    <row r="414">
      <c r="A414" s="23" t="s">
        <v>497</v>
      </c>
      <c r="B414" s="23" t="s">
        <v>1264</v>
      </c>
      <c r="C414" s="24">
        <v>9.049505376E9</v>
      </c>
    </row>
    <row r="415">
      <c r="A415" s="27" t="s">
        <v>1266</v>
      </c>
      <c r="B415" s="27" t="s">
        <v>1267</v>
      </c>
      <c r="C415" s="28">
        <v>9.052636607E9</v>
      </c>
    </row>
    <row r="416">
      <c r="A416" s="23" t="s">
        <v>1269</v>
      </c>
      <c r="B416" s="23" t="s">
        <v>1270</v>
      </c>
      <c r="C416" s="24">
        <v>7.755062447E9</v>
      </c>
    </row>
    <row r="417">
      <c r="A417" s="27" t="s">
        <v>338</v>
      </c>
      <c r="B417" s="27" t="s">
        <v>1271</v>
      </c>
      <c r="C417" s="28">
        <v>9.134034085E9</v>
      </c>
    </row>
    <row r="418">
      <c r="A418" s="23" t="s">
        <v>1272</v>
      </c>
      <c r="B418" s="23" t="s">
        <v>1274</v>
      </c>
      <c r="C418" s="24">
        <v>9.784919687E9</v>
      </c>
    </row>
    <row r="419">
      <c r="A419" s="27" t="s">
        <v>1275</v>
      </c>
      <c r="B419" s="27" t="s">
        <v>1276</v>
      </c>
      <c r="C419" s="28">
        <v>8.709539146E9</v>
      </c>
    </row>
    <row r="420">
      <c r="A420" s="23" t="s">
        <v>1278</v>
      </c>
      <c r="B420" s="23" t="s">
        <v>1280</v>
      </c>
      <c r="C420" s="24">
        <v>7.02604859E9</v>
      </c>
    </row>
    <row r="421">
      <c r="A421" s="27" t="s">
        <v>1281</v>
      </c>
      <c r="B421" s="27" t="s">
        <v>1283</v>
      </c>
      <c r="C421" s="28">
        <v>9.967856668E9</v>
      </c>
    </row>
    <row r="422">
      <c r="A422" s="23" t="s">
        <v>1284</v>
      </c>
      <c r="B422" s="23" t="s">
        <v>1285</v>
      </c>
      <c r="C422" s="24">
        <v>9.588770284E9</v>
      </c>
    </row>
    <row r="423">
      <c r="A423" s="27" t="s">
        <v>1286</v>
      </c>
      <c r="B423" s="27" t="s">
        <v>1289</v>
      </c>
      <c r="C423" s="28">
        <v>9.81020123E9</v>
      </c>
    </row>
    <row r="424">
      <c r="A424" s="23" t="s">
        <v>1290</v>
      </c>
      <c r="B424" s="23" t="s">
        <v>1291</v>
      </c>
      <c r="C424" s="24">
        <v>9.60738001E9</v>
      </c>
    </row>
    <row r="425">
      <c r="A425" s="27" t="s">
        <v>1292</v>
      </c>
      <c r="B425" s="27" t="s">
        <v>1293</v>
      </c>
      <c r="C425" s="28">
        <v>9.654988456E9</v>
      </c>
    </row>
    <row r="426">
      <c r="A426" s="23" t="s">
        <v>1294</v>
      </c>
      <c r="B426" s="23" t="s">
        <v>1295</v>
      </c>
      <c r="C426" s="24">
        <v>9.312247292E9</v>
      </c>
    </row>
    <row r="427">
      <c r="A427" s="27" t="s">
        <v>1296</v>
      </c>
      <c r="B427" s="27" t="s">
        <v>1297</v>
      </c>
      <c r="C427" s="28">
        <v>9.391766936E9</v>
      </c>
    </row>
    <row r="428">
      <c r="A428" s="23" t="s">
        <v>1298</v>
      </c>
      <c r="B428" s="23" t="s">
        <v>1299</v>
      </c>
      <c r="C428" s="24">
        <v>9.462443361E9</v>
      </c>
    </row>
    <row r="429">
      <c r="A429" s="27" t="s">
        <v>1300</v>
      </c>
      <c r="B429" s="27" t="s">
        <v>1302</v>
      </c>
      <c r="C429" s="28">
        <v>7.00725496E9</v>
      </c>
    </row>
    <row r="430">
      <c r="A430" s="23" t="s">
        <v>1304</v>
      </c>
      <c r="B430" s="23" t="s">
        <v>1305</v>
      </c>
      <c r="C430" s="24">
        <v>8.074988847E9</v>
      </c>
    </row>
    <row r="431">
      <c r="A431" s="29" t="s">
        <v>759</v>
      </c>
      <c r="B431" s="29" t="s">
        <v>756</v>
      </c>
      <c r="C431" s="30">
        <v>9.454925436E9</v>
      </c>
    </row>
    <row r="432">
      <c r="A432" s="31" t="s">
        <v>1307</v>
      </c>
      <c r="B432" s="23" t="s">
        <v>1308</v>
      </c>
      <c r="C432" s="24">
        <v>7.455825268E9</v>
      </c>
    </row>
    <row r="433">
      <c r="A433" s="31" t="s">
        <v>1310</v>
      </c>
      <c r="B433" s="27" t="s">
        <v>1311</v>
      </c>
      <c r="C433" s="28">
        <v>8.292780621E9</v>
      </c>
    </row>
    <row r="434">
      <c r="A434" s="31" t="s">
        <v>1312</v>
      </c>
      <c r="B434" s="23" t="s">
        <v>1313</v>
      </c>
      <c r="C434" s="24">
        <v>7.480064415E9</v>
      </c>
    </row>
    <row r="435">
      <c r="A435" s="31" t="s">
        <v>1317</v>
      </c>
      <c r="B435" s="27" t="s">
        <v>1318</v>
      </c>
      <c r="C435" s="28">
        <v>9.336991922E9</v>
      </c>
    </row>
    <row r="436">
      <c r="A436" s="31" t="s">
        <v>1319</v>
      </c>
      <c r="B436" s="23" t="s">
        <v>1320</v>
      </c>
      <c r="C436" s="24">
        <v>9.652882165E9</v>
      </c>
    </row>
    <row r="437">
      <c r="A437" s="31" t="s">
        <v>1321</v>
      </c>
      <c r="B437" s="27" t="s">
        <v>1322</v>
      </c>
      <c r="C437" s="28">
        <v>6.264381875E9</v>
      </c>
    </row>
    <row r="438">
      <c r="A438" s="31" t="s">
        <v>1323</v>
      </c>
      <c r="B438" s="23" t="s">
        <v>1325</v>
      </c>
      <c r="C438" s="24">
        <v>7.003343157E9</v>
      </c>
    </row>
    <row r="439">
      <c r="A439" s="31" t="s">
        <v>1327</v>
      </c>
      <c r="B439" s="27" t="s">
        <v>1328</v>
      </c>
      <c r="C439" s="28">
        <v>8.001538444E9</v>
      </c>
    </row>
    <row r="440">
      <c r="A440" s="31" t="s">
        <v>1329</v>
      </c>
      <c r="B440" s="23" t="s">
        <v>547</v>
      </c>
      <c r="C440" s="24">
        <v>8.507384195E9</v>
      </c>
    </row>
    <row r="441">
      <c r="A441" s="31" t="s">
        <v>1330</v>
      </c>
      <c r="B441" s="27" t="s">
        <v>1332</v>
      </c>
      <c r="C441" s="28">
        <v>9.080696609E9</v>
      </c>
    </row>
    <row r="442">
      <c r="A442" s="31" t="s">
        <v>1333</v>
      </c>
      <c r="B442" s="23" t="s">
        <v>1334</v>
      </c>
      <c r="C442" s="24">
        <v>7.294103529E9</v>
      </c>
    </row>
    <row r="443">
      <c r="A443" s="31" t="s">
        <v>370</v>
      </c>
      <c r="B443" s="27" t="s">
        <v>367</v>
      </c>
      <c r="C443" s="28">
        <v>9.356986148E9</v>
      </c>
    </row>
    <row r="444">
      <c r="A444" s="31" t="s">
        <v>1335</v>
      </c>
      <c r="B444" s="23" t="s">
        <v>1336</v>
      </c>
      <c r="C444" s="24">
        <v>7.018379073E9</v>
      </c>
    </row>
    <row r="445">
      <c r="A445" s="31" t="s">
        <v>1339</v>
      </c>
      <c r="B445" s="27" t="s">
        <v>1340</v>
      </c>
      <c r="C445" s="28">
        <v>8.209034611E9</v>
      </c>
    </row>
    <row r="446">
      <c r="A446" s="31" t="s">
        <v>1341</v>
      </c>
      <c r="B446" s="23" t="s">
        <v>1342</v>
      </c>
      <c r="C446" s="24">
        <v>9.570637407E9</v>
      </c>
    </row>
    <row r="447">
      <c r="A447" s="31" t="s">
        <v>1344</v>
      </c>
      <c r="B447" s="27" t="s">
        <v>1345</v>
      </c>
      <c r="C447" s="28">
        <v>8.754251749E9</v>
      </c>
    </row>
    <row r="448">
      <c r="A448" s="31" t="s">
        <v>1346</v>
      </c>
      <c r="B448" s="23" t="s">
        <v>1347</v>
      </c>
      <c r="C448" s="24">
        <v>9.910907292E9</v>
      </c>
    </row>
    <row r="449">
      <c r="A449" s="31" t="s">
        <v>1349</v>
      </c>
      <c r="B449" s="27" t="s">
        <v>1350</v>
      </c>
      <c r="C449" s="28">
        <v>7.559333249E9</v>
      </c>
    </row>
    <row r="450">
      <c r="A450" s="31" t="s">
        <v>1352</v>
      </c>
      <c r="B450" s="23" t="s">
        <v>1354</v>
      </c>
      <c r="C450" s="24">
        <v>7.014145435E9</v>
      </c>
    </row>
    <row r="451">
      <c r="A451" s="31" t="s">
        <v>1355</v>
      </c>
      <c r="B451" s="27" t="s">
        <v>1356</v>
      </c>
      <c r="C451" s="28">
        <v>9.742009531E9</v>
      </c>
    </row>
    <row r="452">
      <c r="A452" s="31" t="s">
        <v>1358</v>
      </c>
      <c r="B452" s="23" t="s">
        <v>1359</v>
      </c>
      <c r="C452" s="24">
        <v>9.424770001E9</v>
      </c>
    </row>
    <row r="453">
      <c r="A453" s="31" t="s">
        <v>1360</v>
      </c>
      <c r="B453" s="27" t="s">
        <v>1361</v>
      </c>
      <c r="C453" s="28">
        <v>8.302952659E9</v>
      </c>
    </row>
    <row r="454">
      <c r="A454" s="31" t="s">
        <v>1363</v>
      </c>
      <c r="B454" s="23" t="s">
        <v>1364</v>
      </c>
      <c r="C454" s="24">
        <v>8.23522345E9</v>
      </c>
    </row>
    <row r="455">
      <c r="A455" s="31" t="s">
        <v>1365</v>
      </c>
      <c r="B455" s="27" t="s">
        <v>1367</v>
      </c>
      <c r="C455" s="28">
        <v>7.633824151E9</v>
      </c>
    </row>
    <row r="456">
      <c r="A456" s="31" t="s">
        <v>1368</v>
      </c>
      <c r="B456" s="23" t="s">
        <v>1369</v>
      </c>
      <c r="C456" s="24">
        <v>9.495578959E9</v>
      </c>
    </row>
    <row r="457">
      <c r="A457" s="31" t="s">
        <v>1370</v>
      </c>
      <c r="B457" s="27" t="s">
        <v>1371</v>
      </c>
      <c r="C457" s="28">
        <v>8.220200524E9</v>
      </c>
    </row>
    <row r="458">
      <c r="A458" s="31" t="s">
        <v>1373</v>
      </c>
      <c r="B458" s="23" t="s">
        <v>1374</v>
      </c>
      <c r="C458" s="24">
        <v>9.32589173E9</v>
      </c>
    </row>
    <row r="459">
      <c r="A459" s="31" t="s">
        <v>1376</v>
      </c>
      <c r="B459" s="27" t="s">
        <v>1377</v>
      </c>
      <c r="C459" s="28">
        <v>9.962261274E9</v>
      </c>
    </row>
    <row r="460">
      <c r="A460" s="31" t="s">
        <v>1378</v>
      </c>
      <c r="B460" s="23" t="s">
        <v>1379</v>
      </c>
      <c r="C460" s="24">
        <v>9.236614161E9</v>
      </c>
    </row>
    <row r="461">
      <c r="A461" s="31" t="s">
        <v>1380</v>
      </c>
      <c r="B461" s="27" t="s">
        <v>1382</v>
      </c>
      <c r="C461" s="28">
        <v>9.948019592E9</v>
      </c>
    </row>
    <row r="462">
      <c r="A462" s="31" t="s">
        <v>1383</v>
      </c>
      <c r="B462" s="23" t="s">
        <v>1384</v>
      </c>
      <c r="C462" s="24">
        <v>9.064185252E9</v>
      </c>
    </row>
    <row r="463">
      <c r="A463" s="31" t="s">
        <v>1385</v>
      </c>
      <c r="B463" s="27" t="s">
        <v>1386</v>
      </c>
      <c r="C463" s="28">
        <v>9.398220355E9</v>
      </c>
    </row>
    <row r="464">
      <c r="A464" s="31" t="s">
        <v>1388</v>
      </c>
      <c r="B464" s="23" t="s">
        <v>1389</v>
      </c>
      <c r="C464" s="24">
        <v>9.5664331E9</v>
      </c>
    </row>
    <row r="465">
      <c r="A465" s="31" t="s">
        <v>1392</v>
      </c>
      <c r="B465" s="27" t="s">
        <v>1393</v>
      </c>
      <c r="C465" s="28">
        <v>8.126891989E9</v>
      </c>
    </row>
    <row r="466">
      <c r="A466" s="31" t="s">
        <v>1394</v>
      </c>
      <c r="B466" s="23" t="s">
        <v>1395</v>
      </c>
      <c r="C466" s="24">
        <v>9.029000139E9</v>
      </c>
    </row>
    <row r="467">
      <c r="A467" s="31" t="s">
        <v>1396</v>
      </c>
      <c r="B467" s="27" t="s">
        <v>1397</v>
      </c>
      <c r="C467" s="28">
        <v>7.300898804E9</v>
      </c>
    </row>
    <row r="468">
      <c r="A468" s="31" t="s">
        <v>1398</v>
      </c>
      <c r="B468" s="23" t="s">
        <v>1399</v>
      </c>
      <c r="C468" s="24">
        <v>7.589260599E9</v>
      </c>
    </row>
    <row r="469">
      <c r="A469" s="31" t="s">
        <v>1402</v>
      </c>
      <c r="B469" s="27" t="s">
        <v>1404</v>
      </c>
      <c r="C469" s="28">
        <v>7.84007036E9</v>
      </c>
    </row>
    <row r="470">
      <c r="A470" s="31" t="s">
        <v>1405</v>
      </c>
      <c r="B470" s="23" t="s">
        <v>1406</v>
      </c>
      <c r="C470" s="24">
        <v>9.643194284E9</v>
      </c>
    </row>
    <row r="471">
      <c r="A471" s="31" t="s">
        <v>1408</v>
      </c>
      <c r="B471" s="27" t="s">
        <v>1409</v>
      </c>
      <c r="C471" s="28">
        <v>8.459693587E9</v>
      </c>
    </row>
    <row r="472">
      <c r="A472" s="31" t="s">
        <v>1410</v>
      </c>
      <c r="B472" s="23" t="s">
        <v>1411</v>
      </c>
      <c r="C472" s="24">
        <v>9.872323945E9</v>
      </c>
    </row>
    <row r="473">
      <c r="A473" s="31" t="s">
        <v>1413</v>
      </c>
      <c r="B473" s="27" t="s">
        <v>1414</v>
      </c>
      <c r="C473" s="28">
        <v>9.835598952E9</v>
      </c>
    </row>
    <row r="474">
      <c r="A474" s="31" t="s">
        <v>246</v>
      </c>
      <c r="B474" s="23" t="s">
        <v>381</v>
      </c>
      <c r="C474" s="24">
        <v>8.017767311E9</v>
      </c>
    </row>
    <row r="475">
      <c r="A475" s="31" t="s">
        <v>1418</v>
      </c>
      <c r="B475" s="27" t="s">
        <v>1421</v>
      </c>
      <c r="C475" s="28">
        <v>7.086336156E9</v>
      </c>
    </row>
    <row r="476">
      <c r="A476" s="31" t="s">
        <v>1423</v>
      </c>
      <c r="B476" s="23" t="s">
        <v>1424</v>
      </c>
      <c r="C476" s="24">
        <v>9.834888609E9</v>
      </c>
    </row>
    <row r="477">
      <c r="A477" s="31" t="s">
        <v>1426</v>
      </c>
      <c r="B477" s="27" t="s">
        <v>1428</v>
      </c>
      <c r="C477" s="28">
        <v>9.457594038E9</v>
      </c>
    </row>
    <row r="478">
      <c r="A478" s="31" t="s">
        <v>1429</v>
      </c>
      <c r="B478" s="23" t="s">
        <v>1430</v>
      </c>
      <c r="C478" s="24">
        <v>9.146782685E9</v>
      </c>
    </row>
    <row r="479">
      <c r="A479" s="31" t="s">
        <v>1431</v>
      </c>
      <c r="B479" s="27" t="s">
        <v>1432</v>
      </c>
      <c r="C479" s="28">
        <v>7.062937436E9</v>
      </c>
    </row>
    <row r="480">
      <c r="A480" s="31" t="s">
        <v>1436</v>
      </c>
      <c r="B480" s="23" t="s">
        <v>1437</v>
      </c>
      <c r="C480" s="24">
        <v>8.355086283E9</v>
      </c>
    </row>
    <row r="481">
      <c r="A481" s="31" t="s">
        <v>1015</v>
      </c>
      <c r="B481" s="27" t="s">
        <v>1014</v>
      </c>
      <c r="C481" s="28">
        <v>9.359412921E9</v>
      </c>
    </row>
    <row r="482">
      <c r="A482" s="31" t="s">
        <v>1439</v>
      </c>
      <c r="B482" s="23" t="s">
        <v>1440</v>
      </c>
      <c r="C482" s="24">
        <v>8.376890957E9</v>
      </c>
    </row>
    <row r="483">
      <c r="A483" s="31" t="s">
        <v>1441</v>
      </c>
      <c r="B483" s="27" t="s">
        <v>1443</v>
      </c>
      <c r="C483" s="28">
        <v>9.6339569E9</v>
      </c>
    </row>
    <row r="484">
      <c r="A484" s="31" t="s">
        <v>1444</v>
      </c>
      <c r="B484" s="23" t="s">
        <v>1445</v>
      </c>
      <c r="C484" s="24">
        <v>9.987664293E9</v>
      </c>
    </row>
    <row r="485">
      <c r="A485" s="31" t="s">
        <v>984</v>
      </c>
      <c r="B485" s="27" t="s">
        <v>1447</v>
      </c>
      <c r="C485" s="28">
        <v>7.069055104E9</v>
      </c>
    </row>
    <row r="486">
      <c r="A486" s="31" t="s">
        <v>1046</v>
      </c>
      <c r="B486" s="23" t="s">
        <v>1043</v>
      </c>
      <c r="C486" s="24">
        <v>9.429563006E9</v>
      </c>
    </row>
    <row r="487">
      <c r="A487" s="31" t="s">
        <v>1449</v>
      </c>
      <c r="B487" s="27" t="s">
        <v>1451</v>
      </c>
      <c r="C487" s="28">
        <v>9.835177843E9</v>
      </c>
    </row>
    <row r="488">
      <c r="A488" s="31" t="s">
        <v>1277</v>
      </c>
      <c r="B488" s="23" t="s">
        <v>1273</v>
      </c>
      <c r="C488" s="24">
        <v>8.219407196E9</v>
      </c>
    </row>
    <row r="489">
      <c r="A489" s="31" t="s">
        <v>1452</v>
      </c>
      <c r="B489" s="27" t="s">
        <v>1453</v>
      </c>
      <c r="C489" s="28">
        <v>9.9586975E9</v>
      </c>
    </row>
    <row r="490">
      <c r="A490" s="23"/>
      <c r="B490" s="23"/>
      <c r="C490" s="23"/>
    </row>
    <row r="491">
      <c r="A491" s="27"/>
      <c r="B491" s="27"/>
      <c r="C491" s="27"/>
    </row>
    <row r="492">
      <c r="A492" s="23"/>
      <c r="B492" s="23"/>
      <c r="C492" s="23"/>
    </row>
    <row r="493">
      <c r="A493" s="27"/>
      <c r="B493" s="27"/>
      <c r="C493" s="27"/>
    </row>
    <row r="494">
      <c r="A494" s="23"/>
      <c r="B494" s="23"/>
      <c r="C494" s="23"/>
    </row>
    <row r="495">
      <c r="A495" s="27"/>
      <c r="B495" s="27"/>
      <c r="C495" s="27"/>
    </row>
    <row r="496">
      <c r="A496" s="23"/>
      <c r="B496" s="23"/>
      <c r="C496" s="23"/>
    </row>
    <row r="497">
      <c r="A497" s="27"/>
      <c r="B497" s="27"/>
      <c r="C497" s="27"/>
    </row>
    <row r="498">
      <c r="A498" s="23"/>
      <c r="B498" s="23"/>
      <c r="C498" s="23"/>
    </row>
    <row r="499">
      <c r="A499" s="27"/>
      <c r="B499" s="27"/>
      <c r="C499" s="27"/>
    </row>
    <row r="500">
      <c r="A500" s="23"/>
      <c r="B500" s="23"/>
      <c r="C500" s="23"/>
    </row>
    <row r="501">
      <c r="A501" s="27"/>
      <c r="B501" s="27"/>
      <c r="C501" s="27"/>
    </row>
    <row r="502">
      <c r="A502" s="23"/>
      <c r="B502" s="23"/>
      <c r="C502" s="23"/>
    </row>
    <row r="503">
      <c r="A503" s="27"/>
      <c r="B503" s="27"/>
      <c r="C503" s="27"/>
    </row>
    <row r="504">
      <c r="A504" s="23"/>
      <c r="B504" s="23"/>
      <c r="C504" s="23"/>
    </row>
    <row r="505">
      <c r="A505" s="27"/>
      <c r="B505" s="27"/>
      <c r="C505" s="27"/>
    </row>
    <row r="506">
      <c r="A506" s="23"/>
      <c r="B506" s="23"/>
      <c r="C506" s="23"/>
    </row>
    <row r="507">
      <c r="A507" s="27"/>
      <c r="B507" s="27"/>
      <c r="C507" s="27"/>
    </row>
    <row r="508">
      <c r="A508" s="23"/>
      <c r="B508" s="23"/>
      <c r="C508" s="23"/>
    </row>
    <row r="509">
      <c r="A509" s="27"/>
      <c r="B509" s="27"/>
      <c r="C509" s="27"/>
    </row>
    <row r="510">
      <c r="A510" s="23"/>
      <c r="B510" s="23"/>
      <c r="C510" s="23"/>
    </row>
    <row r="511">
      <c r="A511" s="27"/>
      <c r="B511" s="27"/>
      <c r="C511" s="27"/>
    </row>
    <row r="512">
      <c r="A512" s="23"/>
      <c r="B512" s="23"/>
      <c r="C512" s="23"/>
    </row>
    <row r="513">
      <c r="A513" s="27"/>
      <c r="B513" s="27"/>
      <c r="C513" s="27"/>
    </row>
    <row r="514">
      <c r="A514" s="23"/>
      <c r="B514" s="23"/>
      <c r="C514" s="23"/>
    </row>
    <row r="515">
      <c r="A515" s="27"/>
      <c r="B515" s="27"/>
      <c r="C515" s="27"/>
    </row>
    <row r="516">
      <c r="A516" s="23"/>
      <c r="B516" s="23"/>
      <c r="C516" s="23"/>
    </row>
    <row r="517">
      <c r="A517" s="27"/>
      <c r="B517" s="27"/>
      <c r="C517" s="27"/>
    </row>
    <row r="518">
      <c r="A518" s="23"/>
      <c r="B518" s="23"/>
      <c r="C518" s="23"/>
    </row>
    <row r="519">
      <c r="A519" s="27"/>
      <c r="B519" s="27"/>
      <c r="C519" s="27"/>
    </row>
    <row r="520">
      <c r="A520" s="23"/>
      <c r="B520" s="23"/>
      <c r="C520" s="23"/>
    </row>
    <row r="521">
      <c r="A521" s="27"/>
      <c r="B521" s="27"/>
      <c r="C521" s="27"/>
    </row>
    <row r="522">
      <c r="A522" s="23"/>
      <c r="B522" s="23"/>
      <c r="C522" s="23"/>
    </row>
    <row r="523">
      <c r="A523" s="27"/>
      <c r="B523" s="27"/>
      <c r="C523" s="27"/>
    </row>
    <row r="524">
      <c r="A524" s="23"/>
      <c r="B524" s="23"/>
      <c r="C524" s="23"/>
    </row>
    <row r="525">
      <c r="A525" s="27"/>
      <c r="B525" s="27"/>
      <c r="C525" s="27"/>
    </row>
    <row r="526">
      <c r="A526" s="23"/>
      <c r="B526" s="23"/>
      <c r="C526" s="23"/>
    </row>
    <row r="527">
      <c r="A527" s="27"/>
      <c r="B527" s="27"/>
      <c r="C527" s="27"/>
    </row>
    <row r="528">
      <c r="A528" s="23"/>
      <c r="B528" s="23"/>
      <c r="C528" s="23"/>
    </row>
    <row r="529">
      <c r="A529" s="27"/>
      <c r="B529" s="27"/>
      <c r="C529" s="27"/>
    </row>
    <row r="530">
      <c r="A530" s="23"/>
      <c r="B530" s="23"/>
      <c r="C530" s="23"/>
    </row>
    <row r="531">
      <c r="A531" s="27"/>
      <c r="B531" s="27"/>
      <c r="C531" s="27"/>
    </row>
    <row r="532">
      <c r="A532" s="23"/>
      <c r="B532" s="23"/>
      <c r="C532" s="23"/>
    </row>
    <row r="533">
      <c r="A533" s="27"/>
      <c r="B533" s="27"/>
      <c r="C533" s="27"/>
    </row>
    <row r="534">
      <c r="A534" s="23"/>
      <c r="B534" s="23"/>
      <c r="C534" s="23"/>
    </row>
    <row r="535">
      <c r="A535" s="27"/>
      <c r="B535" s="27"/>
      <c r="C535" s="27"/>
    </row>
    <row r="536">
      <c r="A536" s="23"/>
      <c r="B536" s="23"/>
      <c r="C536" s="23"/>
    </row>
    <row r="537">
      <c r="A537" s="27"/>
      <c r="B537" s="27"/>
      <c r="C537" s="27"/>
    </row>
    <row r="538">
      <c r="A538" s="23"/>
      <c r="B538" s="23"/>
      <c r="C538" s="23"/>
    </row>
    <row r="539">
      <c r="A539" s="27"/>
      <c r="B539" s="27"/>
      <c r="C539" s="27"/>
    </row>
    <row r="540">
      <c r="A540" s="23"/>
      <c r="B540" s="23"/>
      <c r="C540" s="23"/>
    </row>
    <row r="541">
      <c r="A541" s="27"/>
      <c r="B541" s="27"/>
      <c r="C541" s="27"/>
    </row>
    <row r="542">
      <c r="A542" s="23"/>
      <c r="B542" s="23"/>
      <c r="C542" s="23"/>
    </row>
    <row r="543">
      <c r="A543" s="27"/>
      <c r="B543" s="27"/>
      <c r="C543" s="27"/>
    </row>
    <row r="544">
      <c r="A544" s="23"/>
      <c r="B544" s="23"/>
      <c r="C544" s="23"/>
    </row>
    <row r="545">
      <c r="A545" s="27"/>
      <c r="B545" s="27"/>
      <c r="C545" s="27"/>
    </row>
    <row r="546">
      <c r="A546" s="23"/>
      <c r="B546" s="23"/>
      <c r="C546" s="23"/>
    </row>
    <row r="547">
      <c r="A547" s="27"/>
      <c r="B547" s="27"/>
      <c r="C547" s="27"/>
    </row>
    <row r="548">
      <c r="A548" s="23"/>
      <c r="B548" s="23"/>
      <c r="C548" s="23"/>
    </row>
    <row r="549">
      <c r="A549" s="27"/>
      <c r="B549" s="27"/>
      <c r="C549" s="27"/>
    </row>
    <row r="550">
      <c r="A550" s="23"/>
      <c r="B550" s="23"/>
      <c r="C550" s="23"/>
    </row>
    <row r="551">
      <c r="A551" s="27"/>
      <c r="B551" s="27"/>
      <c r="C551" s="27"/>
    </row>
    <row r="552">
      <c r="A552" s="23"/>
      <c r="B552" s="23"/>
      <c r="C552" s="23"/>
    </row>
    <row r="553">
      <c r="A553" s="27"/>
      <c r="B553" s="27"/>
      <c r="C553" s="27"/>
    </row>
    <row r="554">
      <c r="A554" s="23"/>
      <c r="B554" s="23"/>
      <c r="C554" s="23"/>
    </row>
    <row r="555">
      <c r="A555" s="27"/>
      <c r="B555" s="27"/>
      <c r="C555" s="27"/>
    </row>
    <row r="556">
      <c r="A556" s="23"/>
      <c r="B556" s="23"/>
      <c r="C556" s="23"/>
    </row>
    <row r="557">
      <c r="A557" s="27"/>
      <c r="B557" s="27"/>
      <c r="C557" s="27"/>
    </row>
    <row r="558">
      <c r="A558" s="23"/>
      <c r="B558" s="23"/>
      <c r="C558" s="23"/>
    </row>
    <row r="559">
      <c r="A559" s="27"/>
      <c r="B559" s="27"/>
      <c r="C559" s="27"/>
    </row>
    <row r="560">
      <c r="A560" s="23"/>
      <c r="B560" s="23"/>
      <c r="C560" s="23"/>
    </row>
    <row r="561">
      <c r="A561" s="27"/>
      <c r="B561" s="27"/>
      <c r="C561" s="27"/>
    </row>
    <row r="562">
      <c r="A562" s="23"/>
      <c r="B562" s="23"/>
      <c r="C562" s="23"/>
    </row>
    <row r="563">
      <c r="A563" s="27"/>
      <c r="B563" s="27"/>
      <c r="C563" s="27"/>
    </row>
    <row r="564">
      <c r="A564" s="23"/>
      <c r="B564" s="23"/>
      <c r="C564" s="23"/>
    </row>
    <row r="565">
      <c r="A565" s="27"/>
      <c r="B565" s="27"/>
      <c r="C565" s="27"/>
    </row>
    <row r="566">
      <c r="A566" s="23"/>
      <c r="B566" s="23"/>
      <c r="C566" s="23"/>
    </row>
    <row r="567">
      <c r="A567" s="27"/>
      <c r="B567" s="27"/>
      <c r="C567" s="27"/>
    </row>
    <row r="568">
      <c r="A568" s="23"/>
      <c r="B568" s="23"/>
      <c r="C568" s="23"/>
    </row>
    <row r="569">
      <c r="A569" s="27"/>
      <c r="B569" s="27"/>
      <c r="C569" s="27"/>
    </row>
    <row r="570">
      <c r="A570" s="23"/>
      <c r="B570" s="23"/>
      <c r="C570" s="23"/>
    </row>
    <row r="571">
      <c r="A571" s="27"/>
      <c r="B571" s="27"/>
      <c r="C571" s="27"/>
    </row>
    <row r="572">
      <c r="A572" s="23"/>
      <c r="B572" s="23"/>
      <c r="C572" s="23"/>
    </row>
    <row r="573">
      <c r="A573" s="27"/>
      <c r="B573" s="27"/>
      <c r="C573" s="27"/>
    </row>
    <row r="574">
      <c r="A574" s="23"/>
      <c r="B574" s="23"/>
      <c r="C574" s="23"/>
    </row>
    <row r="575">
      <c r="A575" s="27"/>
      <c r="B575" s="27"/>
      <c r="C575" s="27"/>
    </row>
    <row r="576">
      <c r="A576" s="23"/>
      <c r="B576" s="23"/>
      <c r="C576" s="23"/>
    </row>
    <row r="577">
      <c r="A577" s="27"/>
      <c r="B577" s="27"/>
      <c r="C577" s="27"/>
    </row>
    <row r="578">
      <c r="A578" s="23"/>
      <c r="B578" s="23"/>
      <c r="C578" s="23"/>
    </row>
    <row r="579">
      <c r="A579" s="27"/>
      <c r="B579" s="27"/>
      <c r="C579" s="27"/>
    </row>
    <row r="580">
      <c r="A580" s="23"/>
      <c r="B580" s="23"/>
      <c r="C580" s="23"/>
    </row>
    <row r="581">
      <c r="A581" s="27"/>
      <c r="B581" s="27"/>
      <c r="C581" s="27"/>
    </row>
    <row r="582">
      <c r="A582" s="23"/>
      <c r="B582" s="23"/>
      <c r="C582" s="23"/>
    </row>
    <row r="583">
      <c r="A583" s="27"/>
      <c r="B583" s="27"/>
      <c r="C583" s="27"/>
    </row>
    <row r="584">
      <c r="A584" s="23"/>
      <c r="B584" s="23"/>
      <c r="C584" s="23"/>
    </row>
    <row r="585">
      <c r="A585" s="27"/>
      <c r="B585" s="27"/>
      <c r="C585" s="27"/>
    </row>
    <row r="586">
      <c r="A586" s="23"/>
      <c r="B586" s="23"/>
      <c r="C586" s="23"/>
    </row>
    <row r="587">
      <c r="A587" s="27"/>
      <c r="B587" s="27"/>
      <c r="C587" s="27"/>
    </row>
    <row r="588">
      <c r="A588" s="23"/>
      <c r="B588" s="23"/>
      <c r="C588" s="23"/>
    </row>
    <row r="589">
      <c r="A589" s="27"/>
      <c r="B589" s="27"/>
      <c r="C589" s="27"/>
    </row>
    <row r="590">
      <c r="A590" s="23"/>
      <c r="B590" s="23"/>
      <c r="C590" s="23"/>
    </row>
    <row r="591">
      <c r="A591" s="27"/>
      <c r="B591" s="27"/>
      <c r="C591" s="27"/>
    </row>
    <row r="592">
      <c r="A592" s="23"/>
      <c r="B592" s="23"/>
      <c r="C592" s="23"/>
    </row>
    <row r="593">
      <c r="A593" s="27"/>
      <c r="B593" s="27"/>
      <c r="C593" s="27"/>
    </row>
    <row r="594">
      <c r="A594" s="23"/>
      <c r="B594" s="23"/>
      <c r="C594" s="23"/>
    </row>
    <row r="595">
      <c r="A595" s="27"/>
      <c r="B595" s="27"/>
      <c r="C595" s="27"/>
    </row>
    <row r="596">
      <c r="A596" s="23"/>
      <c r="B596" s="23"/>
      <c r="C596" s="23"/>
    </row>
    <row r="597">
      <c r="A597" s="27"/>
      <c r="B597" s="27"/>
      <c r="C597" s="27"/>
    </row>
    <row r="598">
      <c r="A598" s="23"/>
      <c r="B598" s="23"/>
      <c r="C598" s="23"/>
    </row>
    <row r="599">
      <c r="A599" s="27"/>
      <c r="B599" s="27"/>
      <c r="C599" s="27"/>
    </row>
    <row r="600">
      <c r="A600" s="23"/>
      <c r="B600" s="23"/>
      <c r="C600" s="23"/>
    </row>
    <row r="601">
      <c r="A601" s="27"/>
      <c r="B601" s="27"/>
      <c r="C601" s="27"/>
    </row>
    <row r="602">
      <c r="A602" s="23"/>
      <c r="B602" s="23"/>
      <c r="C602" s="23"/>
    </row>
    <row r="603">
      <c r="A603" s="27"/>
      <c r="B603" s="27"/>
      <c r="C603" s="27"/>
    </row>
    <row r="604">
      <c r="A604" s="23"/>
      <c r="B604" s="23"/>
      <c r="C604" s="23"/>
    </row>
    <row r="605">
      <c r="A605" s="27"/>
      <c r="B605" s="27"/>
      <c r="C605" s="27"/>
    </row>
    <row r="606">
      <c r="A606" s="23"/>
      <c r="B606" s="23"/>
      <c r="C606" s="23"/>
    </row>
    <row r="607">
      <c r="A607" s="27"/>
      <c r="B607" s="27"/>
      <c r="C607" s="27"/>
    </row>
    <row r="608">
      <c r="A608" s="23"/>
      <c r="B608" s="23"/>
      <c r="C608" s="23"/>
    </row>
    <row r="609">
      <c r="A609" s="27"/>
      <c r="B609" s="27"/>
      <c r="C609" s="27"/>
    </row>
    <row r="610">
      <c r="A610" s="23"/>
      <c r="B610" s="23"/>
      <c r="C610" s="23"/>
    </row>
    <row r="611">
      <c r="A611" s="27"/>
      <c r="B611" s="27"/>
      <c r="C611" s="27"/>
    </row>
    <row r="612">
      <c r="A612" s="23"/>
      <c r="B612" s="23"/>
      <c r="C612" s="23"/>
    </row>
    <row r="613">
      <c r="A613" s="27"/>
      <c r="B613" s="27"/>
      <c r="C613" s="27"/>
    </row>
    <row r="614">
      <c r="A614" s="23"/>
      <c r="B614" s="23"/>
      <c r="C614" s="23"/>
    </row>
    <row r="615">
      <c r="A615" s="27"/>
      <c r="B615" s="27"/>
      <c r="C615" s="27"/>
    </row>
    <row r="616">
      <c r="A616" s="23"/>
      <c r="B616" s="23"/>
      <c r="C616" s="23"/>
    </row>
    <row r="617">
      <c r="A617" s="27"/>
      <c r="B617" s="27"/>
      <c r="C617" s="27"/>
    </row>
    <row r="618">
      <c r="A618" s="23"/>
      <c r="B618" s="23"/>
      <c r="C618" s="23"/>
    </row>
    <row r="619">
      <c r="A619" s="27"/>
      <c r="B619" s="27"/>
      <c r="C619" s="27"/>
    </row>
    <row r="620">
      <c r="A620" s="23"/>
      <c r="B620" s="23"/>
      <c r="C620" s="23"/>
    </row>
    <row r="621">
      <c r="A621" s="27"/>
      <c r="B621" s="27"/>
      <c r="C621" s="27"/>
    </row>
    <row r="622">
      <c r="A622" s="23"/>
      <c r="B622" s="23"/>
      <c r="C622" s="23"/>
    </row>
    <row r="623">
      <c r="A623" s="27"/>
      <c r="B623" s="27"/>
      <c r="C623" s="27"/>
    </row>
    <row r="624">
      <c r="A624" s="23"/>
      <c r="B624" s="23"/>
      <c r="C624" s="23"/>
    </row>
    <row r="625">
      <c r="A625" s="27"/>
      <c r="B625" s="27"/>
      <c r="C625" s="27"/>
    </row>
    <row r="626">
      <c r="A626" s="23"/>
      <c r="B626" s="23"/>
      <c r="C626" s="23"/>
    </row>
    <row r="627">
      <c r="A627" s="27"/>
      <c r="B627" s="27"/>
      <c r="C627" s="27"/>
    </row>
    <row r="628">
      <c r="A628" s="23"/>
      <c r="B628" s="23"/>
      <c r="C628" s="23"/>
    </row>
    <row r="629">
      <c r="A629" s="27"/>
      <c r="B629" s="27"/>
      <c r="C629" s="27"/>
    </row>
    <row r="630">
      <c r="A630" s="23"/>
      <c r="B630" s="23"/>
      <c r="C630" s="23"/>
    </row>
    <row r="631">
      <c r="A631" s="27"/>
      <c r="B631" s="27"/>
      <c r="C631" s="27"/>
    </row>
    <row r="632">
      <c r="A632" s="23"/>
      <c r="B632" s="23"/>
      <c r="C632" s="23"/>
    </row>
    <row r="633">
      <c r="A633" s="27"/>
      <c r="B633" s="27"/>
      <c r="C633" s="27"/>
    </row>
    <row r="634">
      <c r="A634" s="23"/>
      <c r="B634" s="23"/>
      <c r="C634" s="23"/>
    </row>
    <row r="635">
      <c r="A635" s="27"/>
      <c r="B635" s="27"/>
      <c r="C635" s="27"/>
    </row>
    <row r="636">
      <c r="A636" s="23"/>
      <c r="B636" s="23"/>
      <c r="C636" s="23"/>
    </row>
    <row r="637">
      <c r="A637" s="27"/>
      <c r="B637" s="27"/>
      <c r="C637" s="27"/>
    </row>
    <row r="638">
      <c r="A638" s="23"/>
      <c r="B638" s="23"/>
      <c r="C638" s="23"/>
    </row>
    <row r="639">
      <c r="A639" s="27"/>
      <c r="B639" s="27"/>
      <c r="C639" s="27"/>
    </row>
    <row r="640">
      <c r="A640" s="23"/>
      <c r="B640" s="23"/>
      <c r="C640" s="23"/>
    </row>
    <row r="641">
      <c r="A641" s="27"/>
      <c r="B641" s="27"/>
      <c r="C641" s="27"/>
    </row>
    <row r="642">
      <c r="A642" s="23"/>
      <c r="B642" s="23"/>
      <c r="C642" s="23"/>
    </row>
    <row r="643">
      <c r="A643" s="27"/>
      <c r="B643" s="27"/>
      <c r="C643" s="27"/>
    </row>
    <row r="644">
      <c r="A644" s="23"/>
      <c r="B644" s="23"/>
      <c r="C644" s="23"/>
    </row>
    <row r="645">
      <c r="A645" s="27"/>
      <c r="B645" s="27"/>
      <c r="C645" s="27"/>
    </row>
    <row r="646">
      <c r="A646" s="23"/>
      <c r="B646" s="23"/>
      <c r="C646" s="23"/>
    </row>
    <row r="647">
      <c r="A647" s="27"/>
      <c r="B647" s="27"/>
      <c r="C647" s="27"/>
    </row>
    <row r="648">
      <c r="A648" s="23"/>
      <c r="B648" s="23"/>
      <c r="C648" s="23"/>
    </row>
    <row r="649">
      <c r="A649" s="27"/>
      <c r="B649" s="27"/>
      <c r="C649" s="27"/>
    </row>
    <row r="650">
      <c r="A650" s="23"/>
      <c r="B650" s="23"/>
      <c r="C650" s="23"/>
    </row>
    <row r="651">
      <c r="A651" s="27"/>
      <c r="B651" s="27"/>
      <c r="C651" s="27"/>
    </row>
    <row r="652">
      <c r="A652" s="23"/>
      <c r="B652" s="23"/>
      <c r="C652" s="23"/>
    </row>
    <row r="653">
      <c r="A653" s="27"/>
      <c r="B653" s="27"/>
      <c r="C653" s="27"/>
    </row>
    <row r="654">
      <c r="A654" s="23"/>
      <c r="B654" s="23"/>
      <c r="C654" s="23"/>
    </row>
    <row r="655">
      <c r="A655" s="27"/>
      <c r="B655" s="27"/>
      <c r="C655" s="27"/>
    </row>
    <row r="656">
      <c r="A656" s="23"/>
      <c r="B656" s="23"/>
      <c r="C656" s="23"/>
    </row>
    <row r="657">
      <c r="A657" s="27"/>
      <c r="B657" s="27"/>
      <c r="C657" s="27"/>
    </row>
    <row r="658">
      <c r="A658" s="23"/>
      <c r="B658" s="23"/>
      <c r="C658" s="23"/>
    </row>
    <row r="659">
      <c r="A659" s="27"/>
      <c r="B659" s="27"/>
      <c r="C659" s="27"/>
    </row>
    <row r="660">
      <c r="A660" s="23"/>
      <c r="B660" s="23"/>
      <c r="C660" s="23"/>
    </row>
    <row r="661">
      <c r="A661" s="27"/>
      <c r="B661" s="27"/>
      <c r="C661" s="27"/>
    </row>
    <row r="662">
      <c r="A662" s="23"/>
      <c r="B662" s="23"/>
      <c r="C662" s="23"/>
    </row>
    <row r="663">
      <c r="A663" s="27"/>
      <c r="B663" s="27"/>
      <c r="C663" s="27"/>
    </row>
    <row r="664">
      <c r="A664" s="23"/>
      <c r="B664" s="23"/>
      <c r="C664" s="23"/>
    </row>
    <row r="665">
      <c r="A665" s="27"/>
      <c r="B665" s="27"/>
      <c r="C665" s="27"/>
    </row>
    <row r="666">
      <c r="A666" s="23"/>
      <c r="B666" s="23"/>
      <c r="C666" s="23"/>
    </row>
    <row r="667">
      <c r="A667" s="27"/>
      <c r="B667" s="27"/>
      <c r="C667" s="27"/>
    </row>
    <row r="668">
      <c r="A668" s="23"/>
      <c r="B668" s="23"/>
      <c r="C668" s="23"/>
    </row>
    <row r="669">
      <c r="A669" s="27"/>
      <c r="B669" s="27"/>
      <c r="C669" s="27"/>
    </row>
    <row r="670">
      <c r="A670" s="23"/>
      <c r="B670" s="23"/>
      <c r="C670" s="23"/>
    </row>
    <row r="671">
      <c r="A671" s="27"/>
      <c r="B671" s="27"/>
      <c r="C671" s="27"/>
    </row>
    <row r="672">
      <c r="A672" s="23"/>
      <c r="B672" s="23"/>
      <c r="C672" s="23"/>
    </row>
    <row r="673">
      <c r="A673" s="27"/>
      <c r="B673" s="27"/>
      <c r="C673" s="27"/>
    </row>
    <row r="674">
      <c r="A674" s="23"/>
      <c r="B674" s="23"/>
      <c r="C674" s="23"/>
    </row>
    <row r="675">
      <c r="A675" s="27"/>
      <c r="B675" s="27"/>
      <c r="C675" s="27"/>
    </row>
    <row r="676">
      <c r="A676" s="23"/>
      <c r="B676" s="23"/>
      <c r="C676" s="23"/>
    </row>
    <row r="677">
      <c r="A677" s="27"/>
      <c r="B677" s="27"/>
      <c r="C677" s="27"/>
    </row>
    <row r="678">
      <c r="A678" s="23"/>
      <c r="B678" s="23"/>
      <c r="C678" s="23"/>
    </row>
    <row r="679">
      <c r="A679" s="27"/>
      <c r="B679" s="27"/>
      <c r="C679" s="27"/>
    </row>
    <row r="680">
      <c r="A680" s="23"/>
      <c r="B680" s="23"/>
      <c r="C680" s="23"/>
    </row>
    <row r="681">
      <c r="A681" s="27"/>
      <c r="B681" s="27"/>
      <c r="C681" s="27"/>
    </row>
    <row r="682">
      <c r="A682" s="23"/>
      <c r="B682" s="23"/>
      <c r="C682" s="23"/>
    </row>
    <row r="683">
      <c r="A683" s="27"/>
      <c r="B683" s="27"/>
      <c r="C683" s="27"/>
    </row>
    <row r="684">
      <c r="A684" s="23"/>
      <c r="B684" s="23"/>
      <c r="C684" s="23"/>
    </row>
    <row r="685">
      <c r="A685" s="27"/>
      <c r="B685" s="27"/>
      <c r="C685" s="27"/>
    </row>
    <row r="686">
      <c r="A686" s="23"/>
      <c r="B686" s="23"/>
      <c r="C686" s="23"/>
    </row>
    <row r="687">
      <c r="A687" s="27"/>
      <c r="B687" s="27"/>
      <c r="C687" s="27"/>
    </row>
    <row r="688">
      <c r="A688" s="23"/>
      <c r="B688" s="23"/>
      <c r="C688" s="23"/>
    </row>
    <row r="689">
      <c r="A689" s="27"/>
      <c r="B689" s="27"/>
      <c r="C689" s="27"/>
    </row>
    <row r="690">
      <c r="A690" s="23"/>
      <c r="B690" s="23"/>
      <c r="C690" s="23"/>
    </row>
    <row r="691">
      <c r="A691" s="27"/>
      <c r="B691" s="27"/>
      <c r="C691" s="27"/>
    </row>
    <row r="692">
      <c r="A692" s="23"/>
      <c r="B692" s="23"/>
      <c r="C692" s="23"/>
    </row>
    <row r="693">
      <c r="A693" s="27"/>
      <c r="B693" s="27"/>
      <c r="C693" s="27"/>
    </row>
    <row r="694">
      <c r="A694" s="23"/>
      <c r="B694" s="23"/>
      <c r="C694" s="23"/>
    </row>
    <row r="695">
      <c r="A695" s="27"/>
      <c r="B695" s="27"/>
      <c r="C695" s="27"/>
    </row>
    <row r="696">
      <c r="A696" s="23"/>
      <c r="B696" s="23"/>
      <c r="C696" s="23"/>
    </row>
    <row r="697">
      <c r="A697" s="27"/>
      <c r="B697" s="27"/>
      <c r="C697" s="27"/>
    </row>
    <row r="698">
      <c r="A698" s="23"/>
      <c r="B698" s="23"/>
      <c r="C698" s="23"/>
    </row>
    <row r="699">
      <c r="A699" s="27"/>
      <c r="B699" s="27"/>
      <c r="C699" s="27"/>
    </row>
    <row r="700">
      <c r="A700" s="23"/>
      <c r="B700" s="23"/>
      <c r="C700" s="23"/>
    </row>
    <row r="701">
      <c r="A701" s="27"/>
      <c r="B701" s="27"/>
      <c r="C701" s="27"/>
    </row>
    <row r="702">
      <c r="A702" s="23"/>
      <c r="B702" s="23"/>
      <c r="C702" s="23"/>
    </row>
    <row r="703">
      <c r="A703" s="27"/>
      <c r="B703" s="27"/>
      <c r="C703" s="27"/>
    </row>
    <row r="704">
      <c r="A704" s="23"/>
      <c r="B704" s="23"/>
      <c r="C704" s="23"/>
    </row>
    <row r="705">
      <c r="A705" s="27"/>
      <c r="B705" s="27"/>
      <c r="C705" s="27"/>
    </row>
    <row r="706">
      <c r="A706" s="23"/>
      <c r="B706" s="23"/>
      <c r="C706" s="23"/>
    </row>
    <row r="707">
      <c r="A707" s="27"/>
      <c r="B707" s="27"/>
      <c r="C707" s="27"/>
    </row>
    <row r="708">
      <c r="A708" s="23"/>
      <c r="B708" s="23"/>
      <c r="C708" s="23"/>
    </row>
    <row r="709">
      <c r="A709" s="27"/>
      <c r="B709" s="27"/>
      <c r="C709" s="27"/>
    </row>
    <row r="710">
      <c r="A710" s="23"/>
      <c r="B710" s="23"/>
      <c r="C710" s="23"/>
    </row>
    <row r="711">
      <c r="A711" s="27"/>
      <c r="B711" s="27"/>
      <c r="C711" s="27"/>
    </row>
    <row r="712">
      <c r="A712" s="23"/>
      <c r="B712" s="23"/>
      <c r="C712" s="23"/>
    </row>
    <row r="713">
      <c r="A713" s="27"/>
      <c r="B713" s="27"/>
      <c r="C713" s="27"/>
    </row>
    <row r="714">
      <c r="A714" s="23"/>
      <c r="B714" s="23"/>
      <c r="C714" s="23"/>
    </row>
    <row r="715">
      <c r="A715" s="27"/>
      <c r="B715" s="27"/>
      <c r="C715" s="27"/>
    </row>
    <row r="716">
      <c r="A716" s="23"/>
      <c r="B716" s="23"/>
      <c r="C716" s="23"/>
    </row>
    <row r="717">
      <c r="A717" s="27"/>
      <c r="B717" s="27"/>
      <c r="C717" s="27"/>
    </row>
    <row r="718">
      <c r="A718" s="23"/>
      <c r="B718" s="23"/>
      <c r="C718" s="23"/>
    </row>
    <row r="719">
      <c r="A719" s="27"/>
      <c r="B719" s="27"/>
      <c r="C719" s="27"/>
    </row>
    <row r="720">
      <c r="A720" s="23"/>
      <c r="B720" s="23"/>
      <c r="C720" s="23"/>
    </row>
    <row r="721">
      <c r="A721" s="27"/>
      <c r="B721" s="27"/>
      <c r="C721" s="27"/>
    </row>
    <row r="722">
      <c r="A722" s="23"/>
      <c r="B722" s="23"/>
      <c r="C722" s="23"/>
    </row>
    <row r="723">
      <c r="A723" s="27"/>
      <c r="B723" s="27"/>
      <c r="C723" s="27"/>
    </row>
    <row r="724">
      <c r="A724" s="23"/>
      <c r="B724" s="23"/>
      <c r="C724" s="23"/>
    </row>
    <row r="725">
      <c r="A725" s="27"/>
      <c r="B725" s="27"/>
      <c r="C725" s="27"/>
    </row>
    <row r="726">
      <c r="A726" s="23"/>
      <c r="B726" s="23"/>
      <c r="C726" s="23"/>
    </row>
    <row r="727">
      <c r="A727" s="27"/>
      <c r="B727" s="27"/>
      <c r="C727" s="27"/>
    </row>
    <row r="728">
      <c r="A728" s="23"/>
      <c r="B728" s="23"/>
      <c r="C728" s="23"/>
    </row>
    <row r="729">
      <c r="A729" s="27"/>
      <c r="B729" s="27"/>
      <c r="C729" s="27"/>
    </row>
    <row r="730">
      <c r="A730" s="23"/>
      <c r="B730" s="23"/>
      <c r="C730" s="23"/>
    </row>
    <row r="731">
      <c r="A731" s="27"/>
      <c r="B731" s="27"/>
      <c r="C731" s="27"/>
    </row>
    <row r="732">
      <c r="A732" s="23"/>
      <c r="B732" s="23"/>
      <c r="C732" s="23"/>
    </row>
    <row r="733">
      <c r="A733" s="27"/>
      <c r="B733" s="27"/>
      <c r="C733" s="27"/>
    </row>
    <row r="734">
      <c r="A734" s="23"/>
      <c r="B734" s="23"/>
      <c r="C734" s="23"/>
    </row>
    <row r="735">
      <c r="A735" s="27"/>
      <c r="B735" s="27"/>
      <c r="C735" s="27"/>
    </row>
    <row r="736">
      <c r="A736" s="23"/>
      <c r="B736" s="23"/>
      <c r="C736" s="23"/>
    </row>
    <row r="737">
      <c r="A737" s="27"/>
      <c r="B737" s="27"/>
      <c r="C737" s="27"/>
    </row>
    <row r="738">
      <c r="A738" s="23"/>
      <c r="B738" s="23"/>
      <c r="C738" s="23"/>
    </row>
    <row r="739">
      <c r="A739" s="27"/>
      <c r="B739" s="27"/>
      <c r="C739" s="27"/>
    </row>
    <row r="740">
      <c r="A740" s="23"/>
      <c r="B740" s="23"/>
      <c r="C740" s="23"/>
    </row>
    <row r="741">
      <c r="A741" s="27"/>
      <c r="B741" s="27"/>
      <c r="C741" s="27"/>
    </row>
    <row r="742">
      <c r="A742" s="23"/>
      <c r="B742" s="23"/>
      <c r="C742" s="23"/>
    </row>
    <row r="743">
      <c r="A743" s="27"/>
      <c r="B743" s="27"/>
      <c r="C743" s="27"/>
    </row>
    <row r="744">
      <c r="A744" s="23"/>
      <c r="B744" s="23"/>
      <c r="C744" s="23"/>
    </row>
    <row r="745">
      <c r="A745" s="27"/>
      <c r="B745" s="27"/>
      <c r="C745" s="27"/>
    </row>
    <row r="746">
      <c r="A746" s="23"/>
      <c r="B746" s="23"/>
      <c r="C746" s="23"/>
    </row>
    <row r="747">
      <c r="A747" s="27"/>
      <c r="B747" s="27"/>
      <c r="C747" s="27"/>
    </row>
    <row r="748">
      <c r="A748" s="23"/>
      <c r="B748" s="23"/>
      <c r="C748" s="23"/>
    </row>
    <row r="749">
      <c r="A749" s="27"/>
      <c r="B749" s="27"/>
      <c r="C749" s="27"/>
    </row>
    <row r="750">
      <c r="A750" s="23"/>
      <c r="B750" s="23"/>
      <c r="C750" s="23"/>
    </row>
    <row r="751">
      <c r="A751" s="27"/>
      <c r="B751" s="27"/>
      <c r="C751" s="27"/>
    </row>
    <row r="752">
      <c r="A752" s="23"/>
      <c r="B752" s="23"/>
      <c r="C752" s="23"/>
    </row>
    <row r="753">
      <c r="A753" s="27"/>
      <c r="B753" s="27"/>
      <c r="C753" s="27"/>
    </row>
    <row r="754">
      <c r="A754" s="23"/>
      <c r="B754" s="23"/>
      <c r="C754" s="23"/>
    </row>
    <row r="755">
      <c r="A755" s="27"/>
      <c r="B755" s="27"/>
      <c r="C755" s="27"/>
    </row>
    <row r="756">
      <c r="A756" s="23"/>
      <c r="B756" s="23"/>
      <c r="C756" s="23"/>
    </row>
    <row r="757">
      <c r="A757" s="27"/>
      <c r="B757" s="27"/>
      <c r="C757" s="27"/>
    </row>
    <row r="758">
      <c r="A758" s="23"/>
      <c r="B758" s="23"/>
      <c r="C758" s="23"/>
    </row>
    <row r="759">
      <c r="A759" s="27"/>
      <c r="B759" s="27"/>
      <c r="C759" s="27"/>
    </row>
    <row r="760">
      <c r="A760" s="23"/>
      <c r="B760" s="23"/>
      <c r="C760" s="23"/>
    </row>
    <row r="761">
      <c r="A761" s="27"/>
      <c r="B761" s="27"/>
      <c r="C761" s="27"/>
    </row>
    <row r="762">
      <c r="A762" s="23"/>
      <c r="B762" s="23"/>
      <c r="C762" s="23"/>
    </row>
    <row r="763">
      <c r="A763" s="27"/>
      <c r="B763" s="27"/>
      <c r="C763" s="27"/>
    </row>
    <row r="764">
      <c r="A764" s="23"/>
      <c r="B764" s="23"/>
      <c r="C764" s="23"/>
    </row>
    <row r="765">
      <c r="A765" s="27"/>
      <c r="B765" s="27"/>
      <c r="C765" s="27"/>
    </row>
    <row r="766">
      <c r="A766" s="23"/>
      <c r="B766" s="23"/>
      <c r="C766" s="23"/>
    </row>
    <row r="767">
      <c r="A767" s="27"/>
      <c r="B767" s="27"/>
      <c r="C767" s="27"/>
    </row>
    <row r="768">
      <c r="A768" s="23"/>
      <c r="B768" s="23"/>
      <c r="C768" s="23"/>
    </row>
    <row r="769">
      <c r="A769" s="27"/>
      <c r="B769" s="27"/>
      <c r="C769" s="27"/>
    </row>
    <row r="770">
      <c r="A770" s="23"/>
      <c r="B770" s="23"/>
      <c r="C770" s="23"/>
    </row>
    <row r="771">
      <c r="A771" s="27"/>
      <c r="B771" s="27"/>
      <c r="C771" s="27"/>
    </row>
    <row r="772">
      <c r="A772" s="23"/>
      <c r="B772" s="23"/>
      <c r="C772" s="23"/>
    </row>
    <row r="773">
      <c r="A773" s="27"/>
      <c r="B773" s="27"/>
      <c r="C773" s="27"/>
    </row>
    <row r="774">
      <c r="A774" s="23"/>
      <c r="B774" s="23"/>
      <c r="C774" s="23"/>
    </row>
    <row r="775">
      <c r="A775" s="27"/>
      <c r="B775" s="27"/>
      <c r="C775" s="27"/>
    </row>
    <row r="776">
      <c r="A776" s="23"/>
      <c r="B776" s="23"/>
      <c r="C776" s="23"/>
    </row>
    <row r="777">
      <c r="A777" s="27"/>
      <c r="B777" s="27"/>
      <c r="C777" s="27"/>
    </row>
    <row r="778">
      <c r="A778" s="23"/>
      <c r="B778" s="23"/>
      <c r="C778" s="23"/>
    </row>
    <row r="779">
      <c r="A779" s="27"/>
      <c r="B779" s="27"/>
      <c r="C779" s="27"/>
    </row>
    <row r="780">
      <c r="A780" s="23"/>
      <c r="B780" s="23"/>
      <c r="C780" s="23"/>
    </row>
    <row r="781">
      <c r="A781" s="27"/>
      <c r="B781" s="27"/>
      <c r="C781" s="27"/>
    </row>
    <row r="782">
      <c r="A782" s="23"/>
      <c r="B782" s="23"/>
      <c r="C782" s="23"/>
    </row>
    <row r="783">
      <c r="A783" s="27"/>
      <c r="B783" s="27"/>
      <c r="C783" s="27"/>
    </row>
    <row r="784">
      <c r="A784" s="23"/>
      <c r="B784" s="23"/>
      <c r="C784" s="23"/>
    </row>
    <row r="785">
      <c r="A785" s="27"/>
      <c r="B785" s="27"/>
      <c r="C785" s="27"/>
    </row>
    <row r="786">
      <c r="A786" s="23"/>
      <c r="B786" s="23"/>
      <c r="C786" s="23"/>
    </row>
    <row r="787">
      <c r="A787" s="27"/>
      <c r="B787" s="27"/>
      <c r="C787" s="27"/>
    </row>
    <row r="788">
      <c r="A788" s="23"/>
      <c r="B788" s="23"/>
      <c r="C788" s="23"/>
    </row>
    <row r="789">
      <c r="A789" s="27"/>
      <c r="B789" s="27"/>
      <c r="C789" s="27"/>
    </row>
    <row r="790">
      <c r="A790" s="23"/>
      <c r="B790" s="23"/>
      <c r="C790" s="23"/>
    </row>
    <row r="791">
      <c r="A791" s="27"/>
      <c r="B791" s="27"/>
      <c r="C791" s="27"/>
    </row>
    <row r="792">
      <c r="A792" s="23"/>
      <c r="B792" s="23"/>
      <c r="C792" s="23"/>
    </row>
    <row r="793">
      <c r="A793" s="27"/>
      <c r="B793" s="27"/>
      <c r="C793" s="27"/>
    </row>
    <row r="794">
      <c r="A794" s="23"/>
      <c r="B794" s="23"/>
      <c r="C794" s="23"/>
    </row>
    <row r="795">
      <c r="A795" s="27"/>
      <c r="B795" s="27"/>
      <c r="C795" s="27"/>
    </row>
    <row r="796">
      <c r="A796" s="23"/>
      <c r="B796" s="23"/>
      <c r="C796" s="23"/>
    </row>
    <row r="797">
      <c r="A797" s="27"/>
      <c r="B797" s="27"/>
      <c r="C797" s="27"/>
    </row>
    <row r="798">
      <c r="A798" s="23"/>
      <c r="B798" s="23"/>
      <c r="C798" s="23"/>
    </row>
    <row r="799">
      <c r="A799" s="27"/>
      <c r="B799" s="27"/>
      <c r="C799" s="27"/>
    </row>
    <row r="800">
      <c r="A800" s="23"/>
      <c r="B800" s="23"/>
      <c r="C800" s="23"/>
    </row>
    <row r="801">
      <c r="A801" s="27"/>
      <c r="B801" s="27"/>
      <c r="C801" s="27"/>
    </row>
    <row r="802">
      <c r="A802" s="23"/>
      <c r="B802" s="23"/>
      <c r="C802" s="23"/>
    </row>
    <row r="803">
      <c r="A803" s="27"/>
      <c r="B803" s="27"/>
      <c r="C803" s="27"/>
    </row>
    <row r="804">
      <c r="A804" s="23"/>
      <c r="B804" s="23"/>
      <c r="C804" s="23"/>
    </row>
    <row r="805">
      <c r="A805" s="27"/>
      <c r="B805" s="27"/>
      <c r="C805" s="27"/>
    </row>
    <row r="806">
      <c r="A806" s="23"/>
      <c r="B806" s="23"/>
      <c r="C806" s="23"/>
    </row>
    <row r="807">
      <c r="A807" s="27"/>
      <c r="B807" s="27"/>
      <c r="C807" s="27"/>
    </row>
    <row r="808">
      <c r="A808" s="23"/>
      <c r="B808" s="23"/>
      <c r="C808" s="23"/>
    </row>
    <row r="809">
      <c r="A809" s="27"/>
      <c r="B809" s="27"/>
      <c r="C809" s="27"/>
    </row>
    <row r="810">
      <c r="A810" s="23"/>
      <c r="B810" s="23"/>
      <c r="C810" s="23"/>
    </row>
    <row r="811">
      <c r="A811" s="27"/>
      <c r="B811" s="27"/>
      <c r="C811" s="27"/>
    </row>
    <row r="812">
      <c r="A812" s="23"/>
      <c r="B812" s="23"/>
      <c r="C812" s="23"/>
    </row>
    <row r="813">
      <c r="A813" s="27"/>
      <c r="B813" s="27"/>
      <c r="C813" s="27"/>
    </row>
    <row r="814">
      <c r="A814" s="23"/>
      <c r="B814" s="23"/>
      <c r="C814" s="23"/>
    </row>
    <row r="815">
      <c r="A815" s="27"/>
      <c r="B815" s="27"/>
      <c r="C815" s="27"/>
    </row>
    <row r="816">
      <c r="A816" s="23"/>
      <c r="B816" s="23"/>
      <c r="C816" s="23"/>
    </row>
    <row r="817">
      <c r="A817" s="27"/>
      <c r="B817" s="27"/>
      <c r="C817" s="27"/>
    </row>
    <row r="818">
      <c r="A818" s="23"/>
      <c r="B818" s="23"/>
      <c r="C818" s="23"/>
    </row>
    <row r="819">
      <c r="A819" s="27"/>
      <c r="B819" s="27"/>
      <c r="C819" s="27"/>
    </row>
    <row r="820">
      <c r="A820" s="23"/>
      <c r="B820" s="23"/>
      <c r="C820" s="23"/>
    </row>
    <row r="821">
      <c r="A821" s="27"/>
      <c r="B821" s="27"/>
      <c r="C821" s="27"/>
    </row>
    <row r="822">
      <c r="A822" s="23"/>
      <c r="B822" s="23"/>
      <c r="C822" s="23"/>
    </row>
    <row r="823">
      <c r="A823" s="27"/>
      <c r="B823" s="27"/>
      <c r="C823" s="27"/>
    </row>
    <row r="824">
      <c r="A824" s="23"/>
      <c r="B824" s="23"/>
      <c r="C824" s="23"/>
    </row>
    <row r="825">
      <c r="A825" s="27"/>
      <c r="B825" s="27"/>
      <c r="C825" s="27"/>
    </row>
    <row r="826">
      <c r="A826" s="23"/>
      <c r="B826" s="23"/>
      <c r="C826" s="23"/>
    </row>
    <row r="827">
      <c r="A827" s="27"/>
      <c r="B827" s="27"/>
      <c r="C827" s="27"/>
    </row>
    <row r="828">
      <c r="A828" s="23"/>
      <c r="B828" s="23"/>
      <c r="C828" s="23"/>
    </row>
    <row r="829">
      <c r="A829" s="27"/>
      <c r="B829" s="27"/>
      <c r="C829" s="27"/>
    </row>
    <row r="830">
      <c r="A830" s="23"/>
      <c r="B830" s="23"/>
      <c r="C830" s="23"/>
    </row>
    <row r="831">
      <c r="A831" s="27"/>
      <c r="B831" s="27"/>
      <c r="C831" s="27"/>
    </row>
    <row r="832">
      <c r="A832" s="23"/>
      <c r="B832" s="23"/>
      <c r="C832" s="23"/>
    </row>
    <row r="833">
      <c r="A833" s="27"/>
      <c r="B833" s="27"/>
      <c r="C833" s="27"/>
    </row>
    <row r="834">
      <c r="A834" s="23"/>
      <c r="B834" s="23"/>
      <c r="C834" s="23"/>
    </row>
    <row r="835">
      <c r="A835" s="27"/>
      <c r="B835" s="27"/>
      <c r="C835" s="27"/>
    </row>
    <row r="836">
      <c r="A836" s="23"/>
      <c r="B836" s="23"/>
      <c r="C836" s="23"/>
    </row>
    <row r="837">
      <c r="A837" s="27"/>
      <c r="B837" s="27"/>
      <c r="C837" s="27"/>
    </row>
    <row r="838">
      <c r="A838" s="23"/>
      <c r="B838" s="23"/>
      <c r="C838" s="23"/>
    </row>
    <row r="839">
      <c r="A839" s="27"/>
      <c r="B839" s="27"/>
      <c r="C839" s="27"/>
    </row>
    <row r="840">
      <c r="A840" s="23"/>
      <c r="B840" s="23"/>
      <c r="C840" s="23"/>
    </row>
    <row r="841">
      <c r="A841" s="27"/>
      <c r="B841" s="27"/>
      <c r="C841" s="27"/>
    </row>
    <row r="842">
      <c r="A842" s="23"/>
      <c r="B842" s="23"/>
      <c r="C842" s="23"/>
    </row>
    <row r="843">
      <c r="A843" s="33"/>
      <c r="B843" s="33"/>
      <c r="C843" s="33"/>
    </row>
    <row r="844">
      <c r="A844" s="33"/>
      <c r="B844" s="33"/>
      <c r="C844" s="33"/>
    </row>
    <row r="845">
      <c r="A845" s="33"/>
      <c r="B845" s="33"/>
      <c r="C845" s="33"/>
    </row>
    <row r="846">
      <c r="A846" s="33"/>
      <c r="B846" s="33"/>
      <c r="C846" s="33"/>
    </row>
    <row r="847">
      <c r="A847" s="33"/>
      <c r="B847" s="33"/>
      <c r="C847" s="33"/>
    </row>
    <row r="848">
      <c r="A848" s="33"/>
      <c r="B848" s="33"/>
      <c r="C848" s="33"/>
    </row>
    <row r="849">
      <c r="A849" s="33"/>
      <c r="B849" s="33"/>
      <c r="C849" s="33"/>
    </row>
    <row r="850">
      <c r="A850" s="33"/>
      <c r="B850" s="33"/>
      <c r="C850" s="33"/>
    </row>
    <row r="851">
      <c r="A851" s="33"/>
      <c r="B851" s="33"/>
      <c r="C851" s="33"/>
    </row>
    <row r="852">
      <c r="A852" s="33"/>
      <c r="B852" s="33"/>
      <c r="C852" s="33"/>
    </row>
    <row r="853">
      <c r="A853" s="33"/>
      <c r="B853" s="33"/>
      <c r="C853" s="33"/>
    </row>
    <row r="854">
      <c r="A854" s="33"/>
      <c r="B854" s="33"/>
      <c r="C854" s="33"/>
    </row>
    <row r="855">
      <c r="A855" s="33"/>
      <c r="B855" s="33"/>
      <c r="C855" s="33"/>
    </row>
    <row r="856">
      <c r="A856" s="33"/>
      <c r="B856" s="33"/>
      <c r="C856" s="33"/>
    </row>
    <row r="857">
      <c r="A857" s="33"/>
      <c r="B857" s="33"/>
      <c r="C857" s="33"/>
    </row>
    <row r="858">
      <c r="A858" s="33"/>
      <c r="B858" s="33"/>
      <c r="C858" s="33"/>
    </row>
    <row r="859">
      <c r="A859" s="33"/>
      <c r="B859" s="33"/>
      <c r="C859" s="33"/>
    </row>
    <row r="860">
      <c r="A860" s="33"/>
      <c r="B860" s="33"/>
      <c r="C860" s="33"/>
    </row>
    <row r="861">
      <c r="A861" s="33"/>
      <c r="B861" s="33"/>
      <c r="C861" s="33"/>
    </row>
    <row r="862">
      <c r="A862" s="33"/>
      <c r="B862" s="33"/>
      <c r="C862" s="33"/>
    </row>
    <row r="863">
      <c r="A863" s="33"/>
      <c r="B863" s="33"/>
      <c r="C863" s="33"/>
    </row>
    <row r="864">
      <c r="A864" s="33"/>
      <c r="B864" s="33"/>
      <c r="C864" s="33"/>
    </row>
    <row r="865">
      <c r="A865" s="33"/>
      <c r="B865" s="33"/>
      <c r="C865" s="33"/>
    </row>
    <row r="866">
      <c r="A866" s="33"/>
      <c r="B866" s="33"/>
      <c r="C866" s="33"/>
    </row>
    <row r="867">
      <c r="A867" s="33"/>
      <c r="B867" s="33"/>
      <c r="C867" s="33"/>
    </row>
    <row r="868">
      <c r="A868" s="33"/>
      <c r="B868" s="33"/>
      <c r="C868" s="33"/>
    </row>
    <row r="869">
      <c r="A869" s="33"/>
      <c r="B869" s="33"/>
      <c r="C869" s="33"/>
    </row>
    <row r="870">
      <c r="A870" s="33"/>
      <c r="B870" s="33"/>
      <c r="C870" s="33"/>
    </row>
    <row r="871">
      <c r="A871" s="33"/>
      <c r="B871" s="33"/>
      <c r="C871" s="33"/>
    </row>
    <row r="872">
      <c r="A872" s="33"/>
      <c r="B872" s="33"/>
      <c r="C872" s="33"/>
    </row>
    <row r="873">
      <c r="A873" s="33"/>
      <c r="B873" s="33"/>
      <c r="C873" s="33"/>
    </row>
    <row r="874">
      <c r="A874" s="33"/>
      <c r="B874" s="33"/>
      <c r="C874" s="33"/>
    </row>
    <row r="875">
      <c r="A875" s="33"/>
      <c r="B875" s="33"/>
      <c r="C875" s="33"/>
    </row>
    <row r="876">
      <c r="A876" s="33"/>
      <c r="B876" s="33"/>
      <c r="C876" s="33"/>
    </row>
    <row r="877">
      <c r="A877" s="33"/>
      <c r="B877" s="33"/>
      <c r="C877" s="33"/>
    </row>
    <row r="878">
      <c r="A878" s="33"/>
      <c r="B878" s="33"/>
      <c r="C878" s="33"/>
    </row>
    <row r="879">
      <c r="A879" s="33"/>
      <c r="B879" s="33"/>
      <c r="C879" s="33"/>
    </row>
    <row r="880">
      <c r="A880" s="33"/>
      <c r="B880" s="33"/>
      <c r="C880" s="33"/>
    </row>
    <row r="881">
      <c r="A881" s="33"/>
      <c r="B881" s="33"/>
      <c r="C881" s="33"/>
    </row>
    <row r="882">
      <c r="A882" s="33"/>
      <c r="B882" s="33"/>
      <c r="C882" s="33"/>
    </row>
    <row r="883">
      <c r="A883" s="33"/>
      <c r="B883" s="33"/>
      <c r="C883" s="33"/>
    </row>
    <row r="884">
      <c r="A884" s="33"/>
      <c r="B884" s="33"/>
      <c r="C884" s="33"/>
    </row>
    <row r="885">
      <c r="A885" s="33"/>
      <c r="B885" s="33"/>
      <c r="C885" s="33"/>
    </row>
    <row r="886">
      <c r="A886" s="33"/>
      <c r="B886" s="33"/>
      <c r="C886" s="33"/>
    </row>
    <row r="887">
      <c r="A887" s="33"/>
      <c r="B887" s="33"/>
      <c r="C887" s="33"/>
    </row>
    <row r="888">
      <c r="A888" s="33"/>
      <c r="B888" s="33"/>
      <c r="C888" s="33"/>
    </row>
    <row r="889">
      <c r="A889" s="33"/>
      <c r="B889" s="33"/>
      <c r="C889" s="33"/>
    </row>
    <row r="890">
      <c r="A890" s="33"/>
      <c r="B890" s="33"/>
      <c r="C890" s="33"/>
    </row>
    <row r="891">
      <c r="A891" s="33"/>
      <c r="B891" s="33"/>
      <c r="C891" s="33"/>
    </row>
    <row r="892">
      <c r="A892" s="33"/>
      <c r="B892" s="33"/>
      <c r="C892" s="33"/>
    </row>
    <row r="893">
      <c r="A893" s="33"/>
      <c r="B893" s="33"/>
      <c r="C893" s="33"/>
    </row>
    <row r="894">
      <c r="A894" s="33"/>
      <c r="B894" s="33"/>
      <c r="C894" s="33"/>
    </row>
    <row r="895">
      <c r="A895" s="33"/>
      <c r="B895" s="33"/>
      <c r="C895" s="33"/>
    </row>
    <row r="896">
      <c r="A896" s="33"/>
      <c r="B896" s="33"/>
      <c r="C896" s="33"/>
    </row>
    <row r="897">
      <c r="A897" s="33"/>
      <c r="B897" s="33"/>
      <c r="C897" s="33"/>
    </row>
    <row r="898">
      <c r="A898" s="33"/>
      <c r="B898" s="33"/>
      <c r="C898" s="33"/>
    </row>
    <row r="899">
      <c r="A899" s="33"/>
      <c r="B899" s="33"/>
      <c r="C899" s="33"/>
    </row>
    <row r="900">
      <c r="A900" s="33"/>
      <c r="B900" s="33"/>
      <c r="C900" s="33"/>
    </row>
    <row r="901">
      <c r="A901" s="33"/>
      <c r="B901" s="33"/>
      <c r="C901" s="33"/>
    </row>
    <row r="902">
      <c r="A902" s="33"/>
      <c r="B902" s="33"/>
      <c r="C902" s="33"/>
    </row>
    <row r="903">
      <c r="A903" s="33"/>
      <c r="B903" s="33"/>
      <c r="C903" s="33"/>
    </row>
    <row r="904">
      <c r="A904" s="33"/>
      <c r="B904" s="33"/>
      <c r="C904" s="33"/>
    </row>
    <row r="905">
      <c r="A905" s="33"/>
      <c r="B905" s="33"/>
      <c r="C905" s="33"/>
    </row>
    <row r="906">
      <c r="A906" s="33"/>
      <c r="B906" s="33"/>
      <c r="C906" s="33"/>
    </row>
    <row r="907">
      <c r="A907" s="33"/>
      <c r="B907" s="33"/>
      <c r="C907" s="33"/>
    </row>
    <row r="908">
      <c r="A908" s="33"/>
      <c r="B908" s="33"/>
      <c r="C908" s="33"/>
    </row>
    <row r="909">
      <c r="A909" s="33"/>
      <c r="B909" s="33"/>
      <c r="C909" s="33"/>
    </row>
    <row r="910">
      <c r="A910" s="33"/>
      <c r="B910" s="33"/>
      <c r="C910" s="33"/>
    </row>
    <row r="911">
      <c r="A911" s="33"/>
      <c r="B911" s="33"/>
      <c r="C911" s="33"/>
    </row>
    <row r="912">
      <c r="A912" s="33"/>
      <c r="B912" s="33"/>
      <c r="C912" s="33"/>
    </row>
    <row r="913">
      <c r="A913" s="33"/>
      <c r="B913" s="33"/>
      <c r="C913" s="33"/>
    </row>
    <row r="914">
      <c r="A914" s="33"/>
      <c r="B914" s="33"/>
      <c r="C914" s="33"/>
    </row>
    <row r="915">
      <c r="A915" s="33"/>
      <c r="B915" s="33"/>
      <c r="C915" s="33"/>
    </row>
    <row r="916">
      <c r="A916" s="33"/>
      <c r="B916" s="33"/>
      <c r="C916" s="33"/>
    </row>
    <row r="917">
      <c r="A917" s="33"/>
      <c r="B917" s="33"/>
      <c r="C917" s="33"/>
    </row>
    <row r="918">
      <c r="A918" s="33"/>
      <c r="B918" s="33"/>
      <c r="C918" s="33"/>
    </row>
    <row r="919">
      <c r="A919" s="33"/>
      <c r="B919" s="33"/>
      <c r="C919" s="33"/>
    </row>
    <row r="920">
      <c r="A920" s="33"/>
      <c r="B920" s="33"/>
      <c r="C920" s="33"/>
    </row>
    <row r="921">
      <c r="A921" s="33"/>
      <c r="B921" s="33"/>
      <c r="C921" s="33"/>
    </row>
    <row r="922">
      <c r="A922" s="33"/>
      <c r="B922" s="33"/>
      <c r="C922" s="33"/>
    </row>
    <row r="923">
      <c r="A923" s="33"/>
      <c r="B923" s="33"/>
      <c r="C923" s="33"/>
    </row>
    <row r="924">
      <c r="A924" s="33"/>
      <c r="B924" s="33"/>
      <c r="C924" s="33"/>
    </row>
    <row r="925">
      <c r="A925" s="33"/>
      <c r="B925" s="33"/>
      <c r="C925" s="33"/>
    </row>
    <row r="926">
      <c r="A926" s="33"/>
      <c r="B926" s="33"/>
      <c r="C926" s="33"/>
    </row>
    <row r="927">
      <c r="A927" s="33"/>
      <c r="B927" s="33"/>
      <c r="C927" s="33"/>
    </row>
    <row r="928">
      <c r="A928" s="33"/>
      <c r="B928" s="33"/>
      <c r="C928" s="33"/>
    </row>
    <row r="929">
      <c r="A929" s="33"/>
      <c r="B929" s="33"/>
      <c r="C929" s="33"/>
    </row>
    <row r="930">
      <c r="A930" s="33"/>
      <c r="B930" s="33"/>
      <c r="C930" s="33"/>
    </row>
    <row r="931">
      <c r="A931" s="33"/>
      <c r="B931" s="33"/>
      <c r="C931" s="33"/>
    </row>
    <row r="932">
      <c r="A932" s="33"/>
      <c r="B932" s="33"/>
      <c r="C932" s="33"/>
    </row>
    <row r="933">
      <c r="A933" s="33"/>
      <c r="B933" s="33"/>
      <c r="C933" s="33"/>
    </row>
    <row r="934">
      <c r="A934" s="33"/>
      <c r="B934" s="33"/>
      <c r="C934" s="33"/>
    </row>
    <row r="935">
      <c r="A935" s="33"/>
      <c r="B935" s="33"/>
      <c r="C935" s="33"/>
    </row>
    <row r="936">
      <c r="A936" s="33"/>
      <c r="B936" s="33"/>
      <c r="C936" s="33"/>
    </row>
    <row r="937">
      <c r="A937" s="33"/>
      <c r="B937" s="33"/>
      <c r="C937" s="33"/>
    </row>
    <row r="938">
      <c r="A938" s="33"/>
      <c r="B938" s="33"/>
      <c r="C938" s="33"/>
    </row>
    <row r="939">
      <c r="A939" s="33"/>
      <c r="B939" s="33"/>
      <c r="C939" s="33"/>
    </row>
    <row r="940">
      <c r="A940" s="33"/>
      <c r="B940" s="33"/>
      <c r="C940" s="33"/>
    </row>
    <row r="941">
      <c r="A941" s="33"/>
      <c r="B941" s="33"/>
      <c r="C941" s="33"/>
    </row>
    <row r="942">
      <c r="A942" s="33"/>
      <c r="B942" s="33"/>
      <c r="C942" s="33"/>
    </row>
    <row r="943">
      <c r="A943" s="33"/>
      <c r="B943" s="33"/>
      <c r="C943" s="33"/>
    </row>
    <row r="944">
      <c r="A944" s="33"/>
      <c r="B944" s="33"/>
      <c r="C944" s="33"/>
    </row>
    <row r="945">
      <c r="A945" s="33"/>
      <c r="B945" s="33"/>
      <c r="C945" s="33"/>
    </row>
    <row r="946">
      <c r="A946" s="33"/>
      <c r="B946" s="33"/>
      <c r="C946" s="33"/>
    </row>
    <row r="947">
      <c r="A947" s="33"/>
      <c r="B947" s="33"/>
      <c r="C947" s="33"/>
    </row>
    <row r="948">
      <c r="A948" s="33"/>
      <c r="B948" s="33"/>
      <c r="C948" s="33"/>
    </row>
    <row r="949">
      <c r="A949" s="33"/>
      <c r="B949" s="33"/>
      <c r="C949" s="33"/>
    </row>
    <row r="950">
      <c r="A950" s="33"/>
      <c r="B950" s="33"/>
      <c r="C950" s="33"/>
    </row>
    <row r="951">
      <c r="A951" s="33"/>
      <c r="B951" s="33"/>
      <c r="C951" s="33"/>
    </row>
    <row r="952">
      <c r="A952" s="33"/>
      <c r="B952" s="33"/>
      <c r="C952" s="33"/>
    </row>
    <row r="953">
      <c r="A953" s="33"/>
      <c r="B953" s="33"/>
      <c r="C953" s="33"/>
    </row>
    <row r="954">
      <c r="A954" s="33"/>
      <c r="B954" s="33"/>
      <c r="C954" s="33"/>
    </row>
    <row r="955">
      <c r="A955" s="33"/>
      <c r="B955" s="33"/>
      <c r="C955" s="33"/>
    </row>
    <row r="956">
      <c r="A956" s="33"/>
      <c r="B956" s="33"/>
      <c r="C956" s="33"/>
    </row>
    <row r="957">
      <c r="A957" s="33"/>
      <c r="B957" s="33"/>
      <c r="C957" s="33"/>
    </row>
    <row r="958">
      <c r="A958" s="33"/>
      <c r="B958" s="33"/>
      <c r="C958" s="33"/>
    </row>
    <row r="959">
      <c r="A959" s="33"/>
      <c r="B959" s="33"/>
      <c r="C959" s="33"/>
    </row>
    <row r="960">
      <c r="A960" s="33"/>
      <c r="B960" s="33"/>
      <c r="C960" s="33"/>
    </row>
    <row r="961">
      <c r="A961" s="33"/>
      <c r="B961" s="33"/>
      <c r="C961" s="33"/>
    </row>
    <row r="962">
      <c r="A962" s="33"/>
      <c r="B962" s="33"/>
      <c r="C962" s="33"/>
    </row>
    <row r="963">
      <c r="A963" s="33"/>
      <c r="B963" s="33"/>
      <c r="C963" s="33"/>
    </row>
    <row r="964">
      <c r="A964" s="33"/>
      <c r="B964" s="33"/>
      <c r="C964" s="33"/>
    </row>
    <row r="965">
      <c r="A965" s="33"/>
      <c r="B965" s="33"/>
      <c r="C965" s="33"/>
    </row>
    <row r="966">
      <c r="A966" s="33"/>
      <c r="B966" s="33"/>
      <c r="C966" s="33"/>
    </row>
    <row r="967">
      <c r="A967" s="33"/>
      <c r="B967" s="33"/>
      <c r="C967" s="33"/>
    </row>
    <row r="968">
      <c r="A968" s="33"/>
      <c r="B968" s="33"/>
      <c r="C968" s="33"/>
    </row>
    <row r="969">
      <c r="A969" s="33"/>
      <c r="B969" s="33"/>
      <c r="C969" s="33"/>
    </row>
    <row r="970">
      <c r="A970" s="33"/>
      <c r="B970" s="33"/>
      <c r="C970" s="33"/>
    </row>
    <row r="971">
      <c r="A971" s="33"/>
      <c r="B971" s="33"/>
      <c r="C971" s="33"/>
    </row>
    <row r="972">
      <c r="A972" s="33"/>
      <c r="B972" s="33"/>
      <c r="C972" s="33"/>
    </row>
    <row r="973">
      <c r="A973" s="33"/>
      <c r="B973" s="33"/>
      <c r="C973" s="33"/>
    </row>
    <row r="974">
      <c r="A974" s="33"/>
      <c r="B974" s="33"/>
      <c r="C974" s="33"/>
    </row>
    <row r="975">
      <c r="A975" s="33"/>
      <c r="B975" s="33"/>
      <c r="C975" s="33"/>
    </row>
    <row r="976">
      <c r="A976" s="33"/>
      <c r="B976" s="33"/>
      <c r="C976" s="33"/>
    </row>
    <row r="977">
      <c r="A977" s="33"/>
      <c r="B977" s="33"/>
      <c r="C977" s="33"/>
    </row>
    <row r="978">
      <c r="A978" s="33"/>
      <c r="B978" s="33"/>
      <c r="C978" s="33"/>
    </row>
    <row r="979">
      <c r="A979" s="33"/>
      <c r="B979" s="33"/>
      <c r="C979" s="33"/>
    </row>
    <row r="980">
      <c r="A980" s="33"/>
      <c r="B980" s="33"/>
      <c r="C980" s="33"/>
    </row>
    <row r="981">
      <c r="A981" s="33"/>
      <c r="B981" s="33"/>
      <c r="C981" s="33"/>
    </row>
    <row r="982">
      <c r="A982" s="33"/>
      <c r="B982" s="33"/>
      <c r="C982" s="33"/>
    </row>
    <row r="983">
      <c r="A983" s="33"/>
      <c r="B983" s="33"/>
      <c r="C983" s="33"/>
    </row>
    <row r="984">
      <c r="A984" s="33"/>
      <c r="B984" s="33"/>
      <c r="C984" s="33"/>
    </row>
    <row r="985">
      <c r="A985" s="33"/>
      <c r="B985" s="33"/>
      <c r="C985" s="33"/>
    </row>
    <row r="986">
      <c r="A986" s="33"/>
      <c r="B986" s="33"/>
      <c r="C986" s="33"/>
    </row>
    <row r="987">
      <c r="A987" s="33"/>
      <c r="B987" s="33"/>
      <c r="C987" s="33"/>
    </row>
    <row r="988">
      <c r="A988" s="33"/>
      <c r="B988" s="33"/>
      <c r="C988" s="33"/>
    </row>
    <row r="989">
      <c r="A989" s="33"/>
      <c r="B989" s="33"/>
      <c r="C989" s="33"/>
    </row>
    <row r="990">
      <c r="A990" s="33"/>
      <c r="B990" s="33"/>
      <c r="C990" s="33"/>
    </row>
    <row r="991">
      <c r="A991" s="33"/>
      <c r="B991" s="33"/>
      <c r="C991" s="33"/>
    </row>
    <row r="992">
      <c r="A992" s="33"/>
      <c r="B992" s="33"/>
      <c r="C992" s="33"/>
    </row>
    <row r="993">
      <c r="A993" s="33"/>
      <c r="B993" s="33"/>
      <c r="C993" s="33"/>
    </row>
    <row r="994">
      <c r="A994" s="33"/>
      <c r="B994" s="33"/>
      <c r="C994" s="33"/>
    </row>
    <row r="995">
      <c r="A995" s="33"/>
      <c r="B995" s="33"/>
      <c r="C995" s="33"/>
    </row>
    <row r="996">
      <c r="A996" s="33"/>
      <c r="B996" s="33"/>
      <c r="C996" s="33"/>
    </row>
    <row r="997">
      <c r="A997" s="33"/>
      <c r="B997" s="33"/>
      <c r="C997" s="33"/>
    </row>
    <row r="998">
      <c r="A998" s="33"/>
      <c r="B998" s="33"/>
      <c r="C998" s="33"/>
    </row>
    <row r="999">
      <c r="A999" s="33"/>
      <c r="B999" s="33"/>
      <c r="C999" s="33"/>
    </row>
    <row r="1000">
      <c r="A1000" s="33"/>
      <c r="B1000" s="33"/>
      <c r="C1000" s="33"/>
    </row>
    <row r="1001">
      <c r="A1001" s="33"/>
      <c r="B1001" s="33"/>
      <c r="C1001" s="33"/>
    </row>
    <row r="1002">
      <c r="A1002" s="33"/>
      <c r="B1002" s="33"/>
      <c r="C1002" s="33"/>
    </row>
    <row r="1003">
      <c r="A1003" s="33"/>
      <c r="B1003" s="33"/>
      <c r="C1003" s="33"/>
    </row>
    <row r="1004">
      <c r="A1004" s="33"/>
      <c r="B1004" s="33"/>
      <c r="C1004" s="33"/>
    </row>
    <row r="1005">
      <c r="A1005" s="33"/>
      <c r="B1005" s="33"/>
      <c r="C1005" s="33"/>
    </row>
    <row r="1006">
      <c r="A1006" s="33"/>
      <c r="B1006" s="33"/>
      <c r="C1006" s="33"/>
    </row>
    <row r="1007">
      <c r="A1007" s="33"/>
      <c r="B1007" s="33"/>
      <c r="C1007" s="3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9.88"/>
    <col customWidth="1" min="7" max="7" width="37.63"/>
    <col customWidth="1" min="8" max="9" width="18.88"/>
    <col customWidth="1" min="10" max="10" width="31.38"/>
    <col customWidth="1" min="11" max="11" width="31.75"/>
    <col customWidth="1" min="12" max="18" width="18.88"/>
  </cols>
  <sheetData>
    <row r="1" ht="22.5" customHeight="1">
      <c r="A1" s="2" t="s">
        <v>0</v>
      </c>
      <c r="B1" s="2" t="s">
        <v>3</v>
      </c>
      <c r="C1" s="2" t="s">
        <v>5</v>
      </c>
      <c r="D1" s="2" t="s">
        <v>7</v>
      </c>
      <c r="E1" s="2" t="s">
        <v>10</v>
      </c>
      <c r="F1" s="2" t="s">
        <v>9</v>
      </c>
      <c r="G1" s="2" t="s">
        <v>16</v>
      </c>
      <c r="H1" s="2" t="s">
        <v>17</v>
      </c>
      <c r="I1" s="2" t="s">
        <v>20</v>
      </c>
      <c r="J1" s="2" t="s">
        <v>13</v>
      </c>
      <c r="K1" s="2" t="s">
        <v>14</v>
      </c>
      <c r="L1" s="2" t="s">
        <v>23</v>
      </c>
    </row>
    <row r="2" ht="22.5" customHeight="1">
      <c r="A2" s="7">
        <v>46154.62012399305</v>
      </c>
      <c r="B2" s="8" t="s">
        <v>28</v>
      </c>
      <c r="C2" s="8" t="s">
        <v>31</v>
      </c>
      <c r="D2" s="8">
        <v>9.727406861E9</v>
      </c>
      <c r="E2" s="8">
        <v>7.5</v>
      </c>
      <c r="F2" s="10" t="s">
        <v>35</v>
      </c>
      <c r="G2" s="8" t="s">
        <v>47</v>
      </c>
      <c r="H2" s="8" t="s">
        <v>49</v>
      </c>
      <c r="I2" s="8" t="s">
        <v>51</v>
      </c>
      <c r="J2" s="8" t="s">
        <v>54</v>
      </c>
      <c r="K2" s="11"/>
      <c r="L2" s="8" t="s">
        <v>31</v>
      </c>
    </row>
    <row r="3" ht="22.5" customHeight="1">
      <c r="A3" s="12">
        <v>46154.620736655095</v>
      </c>
      <c r="B3" s="13" t="s">
        <v>62</v>
      </c>
      <c r="C3" s="13" t="s">
        <v>68</v>
      </c>
      <c r="D3" s="13">
        <v>9.350957047E9</v>
      </c>
      <c r="E3" s="13">
        <v>7.31</v>
      </c>
      <c r="F3" s="14" t="s">
        <v>71</v>
      </c>
      <c r="G3" s="14" t="s">
        <v>82</v>
      </c>
      <c r="H3" s="13" t="s">
        <v>59</v>
      </c>
      <c r="I3" s="13" t="s">
        <v>51</v>
      </c>
      <c r="J3" s="13" t="s">
        <v>95</v>
      </c>
      <c r="L3" s="13" t="s">
        <v>68</v>
      </c>
    </row>
    <row r="4" ht="22.5" customHeight="1">
      <c r="A4" s="12">
        <v>46160.801514004634</v>
      </c>
      <c r="B4" s="13" t="s">
        <v>104</v>
      </c>
      <c r="C4" s="13" t="s">
        <v>108</v>
      </c>
      <c r="D4" s="13">
        <v>9.81374348E9</v>
      </c>
      <c r="E4" s="13">
        <v>7.95</v>
      </c>
      <c r="F4" s="14" t="s">
        <v>112</v>
      </c>
      <c r="G4" s="14" t="s">
        <v>119</v>
      </c>
      <c r="H4" s="13" t="s">
        <v>59</v>
      </c>
      <c r="I4" s="13" t="s">
        <v>51</v>
      </c>
      <c r="J4" s="13" t="s">
        <v>134</v>
      </c>
      <c r="L4" s="13" t="s">
        <v>108</v>
      </c>
    </row>
    <row r="5" ht="22.5" customHeight="1">
      <c r="A5" s="12">
        <v>46160.80807616898</v>
      </c>
      <c r="B5" s="13" t="s">
        <v>139</v>
      </c>
      <c r="C5" s="13" t="s">
        <v>142</v>
      </c>
      <c r="D5" s="13">
        <v>7.667717756E9</v>
      </c>
      <c r="E5" s="13">
        <v>6.44</v>
      </c>
      <c r="F5" s="14" t="s">
        <v>148</v>
      </c>
      <c r="G5" s="14" t="s">
        <v>159</v>
      </c>
      <c r="H5" s="13" t="s">
        <v>59</v>
      </c>
      <c r="I5" s="13" t="s">
        <v>51</v>
      </c>
      <c r="J5" s="13" t="s">
        <v>172</v>
      </c>
      <c r="L5" s="13" t="s">
        <v>142</v>
      </c>
    </row>
    <row r="6" ht="22.5" customHeight="1">
      <c r="A6" s="12">
        <v>46154.62222832176</v>
      </c>
      <c r="B6" s="13" t="s">
        <v>180</v>
      </c>
      <c r="C6" s="13" t="s">
        <v>181</v>
      </c>
      <c r="D6" s="13">
        <v>9.003928895E9</v>
      </c>
      <c r="E6" s="13">
        <v>9.49</v>
      </c>
      <c r="F6" s="14" t="s">
        <v>186</v>
      </c>
      <c r="G6" s="14" t="s">
        <v>195</v>
      </c>
      <c r="H6" s="13" t="s">
        <v>59</v>
      </c>
      <c r="I6" s="13" t="s">
        <v>51</v>
      </c>
      <c r="J6" s="13" t="s">
        <v>209</v>
      </c>
      <c r="L6" s="13" t="s">
        <v>181</v>
      </c>
    </row>
    <row r="7" ht="22.5" customHeight="1">
      <c r="A7" s="12">
        <v>46160.79784438657</v>
      </c>
      <c r="B7" s="13" t="s">
        <v>19</v>
      </c>
      <c r="C7" s="13" t="s">
        <v>18</v>
      </c>
      <c r="D7" s="13">
        <v>8.882475437E9</v>
      </c>
      <c r="E7" s="13">
        <v>8.53</v>
      </c>
      <c r="F7" s="14" t="s">
        <v>221</v>
      </c>
      <c r="G7" s="14" t="s">
        <v>231</v>
      </c>
      <c r="H7" s="13" t="s">
        <v>59</v>
      </c>
      <c r="I7" s="13" t="s">
        <v>51</v>
      </c>
      <c r="J7" s="13" t="s">
        <v>241</v>
      </c>
      <c r="L7" s="13" t="s">
        <v>18</v>
      </c>
    </row>
    <row r="8" ht="22.5" customHeight="1">
      <c r="A8" s="12">
        <v>46160.90382076389</v>
      </c>
      <c r="B8" s="13" t="s">
        <v>245</v>
      </c>
      <c r="C8" s="13" t="s">
        <v>246</v>
      </c>
      <c r="D8" s="13">
        <v>8.017767311E9</v>
      </c>
      <c r="E8" s="13">
        <v>7.1</v>
      </c>
      <c r="F8" s="14" t="s">
        <v>251</v>
      </c>
      <c r="G8" s="14" t="s">
        <v>260</v>
      </c>
      <c r="H8" s="13" t="s">
        <v>59</v>
      </c>
      <c r="I8" s="13" t="s">
        <v>51</v>
      </c>
      <c r="J8" s="13" t="s">
        <v>272</v>
      </c>
      <c r="L8" s="13" t="s">
        <v>246</v>
      </c>
    </row>
    <row r="9" ht="22.5" customHeight="1">
      <c r="A9" s="12">
        <v>46160.86781979167</v>
      </c>
      <c r="B9" s="13" t="s">
        <v>274</v>
      </c>
      <c r="C9" s="13" t="s">
        <v>275</v>
      </c>
      <c r="D9" s="13">
        <v>9.631575721E9</v>
      </c>
      <c r="E9" s="13">
        <v>7.74</v>
      </c>
      <c r="F9" s="14" t="s">
        <v>277</v>
      </c>
      <c r="G9" s="14" t="s">
        <v>285</v>
      </c>
      <c r="H9" s="13" t="s">
        <v>49</v>
      </c>
      <c r="I9" s="13" t="s">
        <v>51</v>
      </c>
      <c r="J9" s="13" t="s">
        <v>294</v>
      </c>
      <c r="L9" s="13" t="s">
        <v>275</v>
      </c>
    </row>
    <row r="10" ht="22.5" customHeight="1">
      <c r="A10" s="12">
        <v>46160.81457853009</v>
      </c>
      <c r="B10" s="13" t="s">
        <v>300</v>
      </c>
      <c r="C10" s="13" t="s">
        <v>302</v>
      </c>
      <c r="D10" s="13">
        <v>7.203954367E9</v>
      </c>
      <c r="E10" s="13">
        <v>6.31</v>
      </c>
      <c r="F10" s="14" t="s">
        <v>306</v>
      </c>
      <c r="G10" s="14" t="s">
        <v>309</v>
      </c>
      <c r="H10" s="13" t="s">
        <v>59</v>
      </c>
      <c r="I10" s="13" t="s">
        <v>51</v>
      </c>
      <c r="J10" s="13" t="s">
        <v>326</v>
      </c>
      <c r="L10" s="13" t="s">
        <v>302</v>
      </c>
    </row>
    <row r="11" ht="22.5" customHeight="1">
      <c r="A11" s="12">
        <v>46154.63035707176</v>
      </c>
      <c r="B11" s="13" t="s">
        <v>334</v>
      </c>
      <c r="C11" s="13" t="s">
        <v>337</v>
      </c>
      <c r="D11" s="13">
        <v>7.661838282E9</v>
      </c>
      <c r="E11" s="13">
        <v>8.4</v>
      </c>
      <c r="F11" s="14" t="s">
        <v>351</v>
      </c>
      <c r="G11" s="14" t="s">
        <v>361</v>
      </c>
      <c r="H11" s="13" t="s">
        <v>49</v>
      </c>
      <c r="I11" s="13" t="s">
        <v>51</v>
      </c>
      <c r="J11" s="13" t="s">
        <v>372</v>
      </c>
      <c r="L11" s="13" t="s">
        <v>337</v>
      </c>
    </row>
    <row r="12" ht="22.5" customHeight="1">
      <c r="A12" s="12">
        <v>46160.811591412035</v>
      </c>
      <c r="B12" s="13" t="s">
        <v>37</v>
      </c>
      <c r="C12" s="13" t="s">
        <v>39</v>
      </c>
      <c r="D12" s="13">
        <v>8.077448501E9</v>
      </c>
      <c r="E12" s="13">
        <v>7.6</v>
      </c>
      <c r="F12" s="14" t="s">
        <v>378</v>
      </c>
      <c r="G12" s="14" t="s">
        <v>382</v>
      </c>
      <c r="H12" s="13" t="s">
        <v>59</v>
      </c>
      <c r="I12" s="13" t="s">
        <v>51</v>
      </c>
      <c r="J12" s="13" t="s">
        <v>390</v>
      </c>
      <c r="L12" s="13" t="s">
        <v>39</v>
      </c>
    </row>
    <row r="13" ht="22.5" customHeight="1">
      <c r="A13" s="12">
        <v>46154.643833344904</v>
      </c>
      <c r="B13" s="13" t="s">
        <v>393</v>
      </c>
      <c r="C13" s="13" t="s">
        <v>396</v>
      </c>
      <c r="D13" s="13">
        <v>8.319059935E9</v>
      </c>
      <c r="E13" s="13">
        <v>6.95</v>
      </c>
      <c r="F13" s="14" t="s">
        <v>401</v>
      </c>
      <c r="G13" s="14" t="s">
        <v>406</v>
      </c>
      <c r="H13" s="13" t="s">
        <v>59</v>
      </c>
      <c r="I13" s="13" t="s">
        <v>51</v>
      </c>
      <c r="J13" s="13" t="s">
        <v>416</v>
      </c>
      <c r="L13" s="13" t="s">
        <v>417</v>
      </c>
    </row>
    <row r="14" ht="22.5" customHeight="1">
      <c r="A14" s="12">
        <v>46160.80084177083</v>
      </c>
      <c r="B14" s="13" t="s">
        <v>220</v>
      </c>
      <c r="C14" s="13" t="s">
        <v>219</v>
      </c>
      <c r="D14" s="13">
        <v>9.336142225E9</v>
      </c>
      <c r="E14" s="13">
        <v>8.37</v>
      </c>
      <c r="F14" s="14" t="s">
        <v>424</v>
      </c>
      <c r="G14" s="14" t="s">
        <v>430</v>
      </c>
      <c r="H14" s="13" t="s">
        <v>59</v>
      </c>
      <c r="I14" s="13" t="s">
        <v>51</v>
      </c>
      <c r="J14" s="13" t="s">
        <v>436</v>
      </c>
      <c r="L14" s="13" t="s">
        <v>219</v>
      </c>
    </row>
    <row r="15" ht="22.5" customHeight="1">
      <c r="A15" s="12">
        <v>46160.86797018518</v>
      </c>
      <c r="B15" s="13" t="s">
        <v>439</v>
      </c>
      <c r="C15" s="13" t="s">
        <v>405</v>
      </c>
      <c r="D15" s="13">
        <v>7.619571129E9</v>
      </c>
      <c r="E15" s="13">
        <v>7.67</v>
      </c>
      <c r="F15" s="14" t="s">
        <v>446</v>
      </c>
      <c r="G15" s="14" t="s">
        <v>452</v>
      </c>
      <c r="H15" s="13" t="s">
        <v>49</v>
      </c>
      <c r="I15" s="13" t="s">
        <v>51</v>
      </c>
      <c r="J15" s="13" t="s">
        <v>457</v>
      </c>
      <c r="L15" s="13" t="s">
        <v>405</v>
      </c>
    </row>
    <row r="16" ht="22.5" customHeight="1">
      <c r="A16" s="12">
        <v>46154.65263298611</v>
      </c>
      <c r="B16" s="13" t="s">
        <v>463</v>
      </c>
      <c r="C16" s="13" t="s">
        <v>464</v>
      </c>
      <c r="D16" s="13">
        <v>7.499961037E9</v>
      </c>
      <c r="E16" s="13">
        <v>8.44</v>
      </c>
      <c r="F16" s="14" t="s">
        <v>470</v>
      </c>
      <c r="G16" s="14" t="s">
        <v>479</v>
      </c>
      <c r="H16" s="13" t="s">
        <v>59</v>
      </c>
      <c r="I16" s="13" t="s">
        <v>51</v>
      </c>
      <c r="J16" s="13" t="s">
        <v>488</v>
      </c>
      <c r="L16" s="13" t="s">
        <v>464</v>
      </c>
    </row>
    <row r="17" ht="22.5" customHeight="1">
      <c r="A17" s="12">
        <v>46160.90319681713</v>
      </c>
      <c r="B17" s="13" t="s">
        <v>492</v>
      </c>
      <c r="C17" s="13" t="s">
        <v>494</v>
      </c>
      <c r="D17" s="13">
        <v>7.007454441E9</v>
      </c>
      <c r="E17" s="13">
        <v>7.2</v>
      </c>
      <c r="F17" s="14" t="s">
        <v>499</v>
      </c>
      <c r="G17" s="14" t="s">
        <v>505</v>
      </c>
      <c r="H17" s="13" t="s">
        <v>59</v>
      </c>
      <c r="I17" s="13" t="s">
        <v>51</v>
      </c>
      <c r="J17" s="13" t="s">
        <v>515</v>
      </c>
      <c r="L17" s="13" t="s">
        <v>494</v>
      </c>
    </row>
    <row r="18" ht="22.5" customHeight="1">
      <c r="A18" s="12">
        <v>46160.81454706019</v>
      </c>
      <c r="B18" s="13" t="s">
        <v>519</v>
      </c>
      <c r="C18" s="13" t="s">
        <v>267</v>
      </c>
      <c r="D18" s="13">
        <v>8.340184575E9</v>
      </c>
      <c r="E18" s="13">
        <v>7.45</v>
      </c>
      <c r="F18" s="14" t="s">
        <v>270</v>
      </c>
      <c r="G18" s="14" t="s">
        <v>273</v>
      </c>
      <c r="H18" s="13" t="s">
        <v>59</v>
      </c>
      <c r="I18" s="13" t="s">
        <v>51</v>
      </c>
      <c r="J18" s="13" t="s">
        <v>534</v>
      </c>
      <c r="L18" s="13" t="s">
        <v>267</v>
      </c>
    </row>
    <row r="19" ht="22.5" customHeight="1">
      <c r="A19" s="12">
        <v>46160.80138045139</v>
      </c>
      <c r="B19" s="13" t="s">
        <v>538</v>
      </c>
      <c r="C19" s="13" t="s">
        <v>289</v>
      </c>
      <c r="D19" s="13">
        <v>9.403374532E9</v>
      </c>
      <c r="E19" s="13">
        <v>7.58</v>
      </c>
      <c r="F19" s="14" t="s">
        <v>543</v>
      </c>
      <c r="G19" s="14" t="s">
        <v>548</v>
      </c>
      <c r="H19" s="13" t="s">
        <v>49</v>
      </c>
      <c r="I19" s="13" t="s">
        <v>51</v>
      </c>
      <c r="J19" s="13" t="s">
        <v>559</v>
      </c>
      <c r="L19" s="13" t="s">
        <v>289</v>
      </c>
    </row>
    <row r="20" ht="22.5" customHeight="1">
      <c r="A20" s="12">
        <v>46154.65935065973</v>
      </c>
      <c r="B20" s="13" t="s">
        <v>563</v>
      </c>
      <c r="C20" s="13" t="s">
        <v>567</v>
      </c>
      <c r="D20" s="13">
        <v>8.158815626E9</v>
      </c>
      <c r="E20" s="13">
        <v>9.23</v>
      </c>
      <c r="F20" s="14" t="s">
        <v>573</v>
      </c>
      <c r="G20" s="14" t="s">
        <v>579</v>
      </c>
      <c r="H20" s="13" t="s">
        <v>59</v>
      </c>
      <c r="I20" s="13" t="s">
        <v>51</v>
      </c>
      <c r="J20" s="13" t="s">
        <v>587</v>
      </c>
      <c r="L20" s="13" t="s">
        <v>588</v>
      </c>
    </row>
    <row r="21" ht="22.5" customHeight="1">
      <c r="A21" s="12">
        <v>46154.687650520835</v>
      </c>
      <c r="B21" s="13" t="s">
        <v>413</v>
      </c>
      <c r="C21" s="13" t="s">
        <v>412</v>
      </c>
      <c r="D21" s="13">
        <v>9.97108228E9</v>
      </c>
      <c r="E21" s="13">
        <v>8.0</v>
      </c>
      <c r="F21" s="14" t="s">
        <v>598</v>
      </c>
      <c r="G21" s="14" t="s">
        <v>607</v>
      </c>
      <c r="H21" s="13" t="s">
        <v>59</v>
      </c>
      <c r="I21" s="13" t="s">
        <v>51</v>
      </c>
      <c r="J21" s="13" t="s">
        <v>614</v>
      </c>
      <c r="L21" s="13" t="s">
        <v>412</v>
      </c>
    </row>
    <row r="22" ht="22.5" customHeight="1">
      <c r="A22" s="12">
        <v>46160.87969824074</v>
      </c>
      <c r="B22" s="13" t="s">
        <v>619</v>
      </c>
      <c r="C22" s="13" t="s">
        <v>167</v>
      </c>
      <c r="D22" s="13">
        <v>9.142125921E9</v>
      </c>
      <c r="E22" s="13">
        <v>6.89</v>
      </c>
      <c r="F22" s="14" t="s">
        <v>624</v>
      </c>
      <c r="G22" s="14" t="s">
        <v>627</v>
      </c>
      <c r="H22" s="13" t="s">
        <v>59</v>
      </c>
      <c r="I22" s="13" t="s">
        <v>51</v>
      </c>
      <c r="J22" s="13" t="s">
        <v>641</v>
      </c>
      <c r="L22" s="13" t="s">
        <v>167</v>
      </c>
    </row>
    <row r="23" ht="22.5" customHeight="1">
      <c r="A23" s="12">
        <v>46154.69005872685</v>
      </c>
      <c r="B23" s="13" t="s">
        <v>645</v>
      </c>
      <c r="C23" s="13" t="s">
        <v>402</v>
      </c>
      <c r="D23" s="13">
        <v>8.154996971E9</v>
      </c>
      <c r="E23" s="13">
        <v>7.76</v>
      </c>
      <c r="F23" s="14" t="s">
        <v>652</v>
      </c>
      <c r="G23" s="14" t="s">
        <v>660</v>
      </c>
      <c r="H23" s="13" t="s">
        <v>59</v>
      </c>
      <c r="I23" s="13" t="s">
        <v>51</v>
      </c>
      <c r="J23" s="13" t="s">
        <v>665</v>
      </c>
      <c r="L23" s="13" t="s">
        <v>402</v>
      </c>
    </row>
    <row r="24" ht="22.5" customHeight="1">
      <c r="A24" s="12">
        <v>46154.70222597222</v>
      </c>
      <c r="B24" s="13" t="s">
        <v>568</v>
      </c>
      <c r="C24" s="13" t="s">
        <v>566</v>
      </c>
      <c r="D24" s="13">
        <v>9.50428235E9</v>
      </c>
      <c r="E24" s="13">
        <v>7.63</v>
      </c>
      <c r="F24" s="14" t="s">
        <v>670</v>
      </c>
      <c r="G24" s="14" t="s">
        <v>674</v>
      </c>
      <c r="H24" s="13" t="s">
        <v>59</v>
      </c>
      <c r="I24" s="13" t="s">
        <v>51</v>
      </c>
      <c r="J24" s="13" t="s">
        <v>679</v>
      </c>
      <c r="L24" s="13" t="s">
        <v>566</v>
      </c>
    </row>
    <row r="25" ht="22.5" customHeight="1">
      <c r="A25" s="12">
        <v>46154.787375659726</v>
      </c>
      <c r="B25" s="13" t="s">
        <v>684</v>
      </c>
      <c r="C25" s="13" t="s">
        <v>192</v>
      </c>
      <c r="D25" s="13">
        <v>7.305202446E9</v>
      </c>
      <c r="E25" s="13">
        <v>6.31</v>
      </c>
      <c r="F25" s="14" t="s">
        <v>691</v>
      </c>
      <c r="G25" s="14" t="s">
        <v>697</v>
      </c>
      <c r="H25" s="13" t="s">
        <v>59</v>
      </c>
      <c r="I25" s="13" t="s">
        <v>51</v>
      </c>
      <c r="J25" s="13" t="s">
        <v>705</v>
      </c>
      <c r="L25" s="13" t="s">
        <v>192</v>
      </c>
    </row>
    <row r="26" ht="22.5" customHeight="1">
      <c r="A26" s="12">
        <v>46154.80254346065</v>
      </c>
      <c r="B26" s="13" t="s">
        <v>90</v>
      </c>
      <c r="C26" s="13" t="s">
        <v>89</v>
      </c>
      <c r="D26" s="13">
        <v>7.888734447E9</v>
      </c>
      <c r="E26" s="13">
        <v>7.27</v>
      </c>
      <c r="F26" s="14" t="s">
        <v>713</v>
      </c>
      <c r="G26" s="14" t="s">
        <v>719</v>
      </c>
      <c r="H26" s="13" t="s">
        <v>59</v>
      </c>
      <c r="I26" s="13" t="s">
        <v>51</v>
      </c>
      <c r="J26" s="13" t="s">
        <v>724</v>
      </c>
      <c r="L26" s="13" t="s">
        <v>89</v>
      </c>
    </row>
    <row r="27" ht="22.5" customHeight="1">
      <c r="A27" s="12">
        <v>46154.866862627314</v>
      </c>
      <c r="B27" s="13" t="s">
        <v>729</v>
      </c>
      <c r="C27" s="13" t="s">
        <v>280</v>
      </c>
      <c r="D27" s="13">
        <v>9.354565648E9</v>
      </c>
      <c r="E27" s="13">
        <v>7.8</v>
      </c>
      <c r="F27" s="14" t="s">
        <v>735</v>
      </c>
      <c r="G27" s="14" t="s">
        <v>744</v>
      </c>
      <c r="H27" s="13" t="s">
        <v>59</v>
      </c>
      <c r="I27" s="13" t="s">
        <v>51</v>
      </c>
      <c r="J27" s="13" t="s">
        <v>753</v>
      </c>
      <c r="L27" s="13" t="s">
        <v>280</v>
      </c>
    </row>
    <row r="28" ht="22.5" customHeight="1">
      <c r="A28" s="12">
        <v>46154.90005434028</v>
      </c>
      <c r="B28" s="13" t="s">
        <v>756</v>
      </c>
      <c r="C28" s="13" t="s">
        <v>759</v>
      </c>
      <c r="D28" s="13">
        <v>9.454925436E9</v>
      </c>
      <c r="E28" s="13">
        <v>8.54</v>
      </c>
      <c r="F28" s="14" t="s">
        <v>762</v>
      </c>
      <c r="G28" s="14" t="s">
        <v>764</v>
      </c>
      <c r="H28" s="13" t="s">
        <v>49</v>
      </c>
      <c r="I28" s="13" t="s">
        <v>51</v>
      </c>
      <c r="J28" s="13" t="s">
        <v>769</v>
      </c>
      <c r="L28" s="13" t="s">
        <v>772</v>
      </c>
    </row>
    <row r="29" ht="22.5" customHeight="1">
      <c r="A29" s="12">
        <v>46154.91578520833</v>
      </c>
      <c r="B29" s="13" t="s">
        <v>707</v>
      </c>
      <c r="C29" s="13" t="s">
        <v>706</v>
      </c>
      <c r="D29" s="13">
        <v>7.067910167E9</v>
      </c>
      <c r="E29" s="13">
        <v>7.16</v>
      </c>
      <c r="F29" s="14" t="s">
        <v>780</v>
      </c>
      <c r="G29" s="14" t="s">
        <v>786</v>
      </c>
      <c r="H29" s="13" t="s">
        <v>49</v>
      </c>
      <c r="I29" s="13" t="s">
        <v>51</v>
      </c>
      <c r="J29" s="13" t="s">
        <v>798</v>
      </c>
      <c r="L29" s="13" t="s">
        <v>706</v>
      </c>
    </row>
    <row r="30" ht="22.5" customHeight="1">
      <c r="A30" s="12">
        <v>46154.98927844907</v>
      </c>
      <c r="B30" s="13" t="s">
        <v>803</v>
      </c>
      <c r="C30" s="13" t="s">
        <v>370</v>
      </c>
      <c r="D30" s="13">
        <v>9.356986148E9</v>
      </c>
      <c r="E30" s="13">
        <v>6.06</v>
      </c>
      <c r="F30" s="14" t="s">
        <v>810</v>
      </c>
      <c r="G30" s="14" t="s">
        <v>379</v>
      </c>
      <c r="H30" s="13" t="s">
        <v>59</v>
      </c>
      <c r="I30" s="13" t="s">
        <v>51</v>
      </c>
      <c r="J30" s="13" t="s">
        <v>821</v>
      </c>
      <c r="L30" s="13" t="s">
        <v>370</v>
      </c>
    </row>
    <row r="31" ht="22.5" customHeight="1">
      <c r="A31" s="12">
        <v>46160.844911493055</v>
      </c>
      <c r="B31" s="13" t="s">
        <v>825</v>
      </c>
      <c r="C31" s="13" t="s">
        <v>826</v>
      </c>
      <c r="D31" s="13">
        <v>9.798496367E9</v>
      </c>
      <c r="E31" s="13">
        <v>8.95</v>
      </c>
      <c r="F31" s="14" t="s">
        <v>829</v>
      </c>
      <c r="G31" s="14" t="s">
        <v>833</v>
      </c>
      <c r="H31" s="13" t="s">
        <v>59</v>
      </c>
      <c r="I31" s="13" t="s">
        <v>51</v>
      </c>
      <c r="J31" s="13" t="s">
        <v>839</v>
      </c>
      <c r="L31" s="13" t="s">
        <v>826</v>
      </c>
    </row>
    <row r="32" ht="22.5" customHeight="1">
      <c r="A32" s="12">
        <v>46160.79721746528</v>
      </c>
      <c r="B32" s="13" t="s">
        <v>783</v>
      </c>
      <c r="C32" s="13" t="s">
        <v>782</v>
      </c>
      <c r="D32" s="13">
        <v>9.014215334E9</v>
      </c>
      <c r="E32" s="13">
        <v>7.3</v>
      </c>
      <c r="F32" s="14" t="s">
        <v>848</v>
      </c>
      <c r="G32" s="14" t="s">
        <v>854</v>
      </c>
      <c r="H32" s="13" t="s">
        <v>49</v>
      </c>
      <c r="I32" s="13" t="s">
        <v>51</v>
      </c>
      <c r="J32" s="13" t="s">
        <v>863</v>
      </c>
      <c r="L32" s="13" t="s">
        <v>782</v>
      </c>
    </row>
    <row r="33" ht="22.5" customHeight="1">
      <c r="A33" s="12">
        <v>46160.79726207176</v>
      </c>
      <c r="B33" s="13" t="s">
        <v>528</v>
      </c>
      <c r="C33" s="13" t="s">
        <v>527</v>
      </c>
      <c r="D33" s="13">
        <v>8.319347881E9</v>
      </c>
      <c r="E33" s="13">
        <v>8.59</v>
      </c>
      <c r="F33" s="14" t="s">
        <v>873</v>
      </c>
      <c r="G33" s="14" t="s">
        <v>877</v>
      </c>
      <c r="H33" s="13" t="s">
        <v>59</v>
      </c>
      <c r="I33" s="13" t="s">
        <v>51</v>
      </c>
      <c r="J33" s="13" t="s">
        <v>886</v>
      </c>
      <c r="L33" s="13" t="s">
        <v>527</v>
      </c>
    </row>
    <row r="34" ht="22.5" customHeight="1">
      <c r="A34" s="12">
        <v>46160.800055694446</v>
      </c>
      <c r="B34" s="13" t="s">
        <v>650</v>
      </c>
      <c r="C34" s="13" t="s">
        <v>653</v>
      </c>
      <c r="D34" s="13">
        <v>9.546667831E9</v>
      </c>
      <c r="E34" s="13">
        <v>7.03</v>
      </c>
      <c r="F34" s="14" t="s">
        <v>658</v>
      </c>
      <c r="G34" s="14" t="s">
        <v>663</v>
      </c>
      <c r="H34" s="13" t="s">
        <v>59</v>
      </c>
      <c r="I34" s="13" t="s">
        <v>603</v>
      </c>
      <c r="K34" s="13" t="s">
        <v>904</v>
      </c>
      <c r="L34" s="13" t="s">
        <v>653</v>
      </c>
    </row>
    <row r="35" ht="22.5" customHeight="1">
      <c r="A35" s="12">
        <v>46160.80595025463</v>
      </c>
      <c r="B35" s="13" t="s">
        <v>909</v>
      </c>
      <c r="C35" s="13" t="s">
        <v>469</v>
      </c>
      <c r="D35" s="13">
        <v>9.970208412E9</v>
      </c>
      <c r="E35" s="13">
        <v>6.47</v>
      </c>
      <c r="F35" s="14" t="s">
        <v>910</v>
      </c>
      <c r="G35" s="14" t="s">
        <v>912</v>
      </c>
      <c r="H35" s="13" t="s">
        <v>59</v>
      </c>
      <c r="I35" s="13" t="s">
        <v>603</v>
      </c>
      <c r="K35" s="13" t="s">
        <v>922</v>
      </c>
      <c r="L35" s="13" t="s">
        <v>469</v>
      </c>
    </row>
    <row r="36" ht="22.5" customHeight="1">
      <c r="A36" s="12">
        <v>46160.80739916667</v>
      </c>
      <c r="B36" s="13" t="s">
        <v>898</v>
      </c>
      <c r="C36" s="13" t="s">
        <v>897</v>
      </c>
      <c r="D36" s="13">
        <v>8.302045298E9</v>
      </c>
      <c r="E36" s="13">
        <v>6.26</v>
      </c>
      <c r="F36" s="14" t="s">
        <v>929</v>
      </c>
      <c r="G36" s="14" t="s">
        <v>935</v>
      </c>
      <c r="H36" s="13" t="s">
        <v>59</v>
      </c>
      <c r="I36" s="13" t="s">
        <v>51</v>
      </c>
      <c r="J36" s="13" t="s">
        <v>944</v>
      </c>
      <c r="L36" s="13" t="s">
        <v>897</v>
      </c>
    </row>
    <row r="37" ht="22.5" customHeight="1">
      <c r="A37" s="12">
        <v>46160.81164114583</v>
      </c>
      <c r="B37" s="13" t="s">
        <v>98</v>
      </c>
      <c r="C37" s="13" t="s">
        <v>34</v>
      </c>
      <c r="D37" s="13">
        <v>8.885312229E9</v>
      </c>
      <c r="E37" s="13">
        <v>7.64</v>
      </c>
      <c r="F37" s="14" t="s">
        <v>948</v>
      </c>
      <c r="G37" s="14" t="s">
        <v>114</v>
      </c>
      <c r="H37" s="13" t="s">
        <v>59</v>
      </c>
      <c r="I37" s="13" t="s">
        <v>51</v>
      </c>
      <c r="J37" s="13" t="s">
        <v>955</v>
      </c>
      <c r="L37" s="13" t="s">
        <v>34</v>
      </c>
    </row>
    <row r="38" ht="22.5" customHeight="1">
      <c r="A38" s="12">
        <v>46160.81253472222</v>
      </c>
      <c r="B38" s="13" t="s">
        <v>478</v>
      </c>
      <c r="C38" s="13" t="s">
        <v>477</v>
      </c>
      <c r="D38" s="13">
        <v>7.004553719E9</v>
      </c>
      <c r="E38" s="13">
        <v>8.44</v>
      </c>
      <c r="F38" s="14" t="s">
        <v>960</v>
      </c>
      <c r="G38" s="14" t="s">
        <v>965</v>
      </c>
      <c r="H38" s="13" t="s">
        <v>59</v>
      </c>
      <c r="I38" s="13" t="s">
        <v>51</v>
      </c>
      <c r="J38" s="13" t="s">
        <v>976</v>
      </c>
      <c r="L38" s="13" t="s">
        <v>477</v>
      </c>
    </row>
    <row r="39" ht="22.5" customHeight="1">
      <c r="A39" s="12">
        <v>46160.82279179398</v>
      </c>
      <c r="B39" s="13" t="s">
        <v>981</v>
      </c>
      <c r="C39" s="13" t="s">
        <v>984</v>
      </c>
      <c r="D39" s="13">
        <v>7.069055104E9</v>
      </c>
      <c r="E39" s="13">
        <v>8.0</v>
      </c>
      <c r="F39" s="14" t="s">
        <v>988</v>
      </c>
      <c r="G39" s="14" t="s">
        <v>996</v>
      </c>
      <c r="H39" s="13" t="s">
        <v>59</v>
      </c>
      <c r="I39" s="13" t="s">
        <v>51</v>
      </c>
      <c r="J39" s="13" t="s">
        <v>1007</v>
      </c>
      <c r="L39" s="13" t="s">
        <v>984</v>
      </c>
    </row>
    <row r="40" ht="22.5" customHeight="1">
      <c r="A40" s="12">
        <v>46160.827752129626</v>
      </c>
      <c r="B40" s="13" t="s">
        <v>1014</v>
      </c>
      <c r="C40" s="13" t="s">
        <v>1015</v>
      </c>
      <c r="D40" s="13">
        <v>9.359412921E9</v>
      </c>
      <c r="E40" s="13">
        <v>6.22</v>
      </c>
      <c r="F40" s="14" t="s">
        <v>1021</v>
      </c>
      <c r="G40" s="14" t="s">
        <v>1028</v>
      </c>
      <c r="H40" s="13" t="s">
        <v>59</v>
      </c>
      <c r="I40" s="13" t="s">
        <v>51</v>
      </c>
      <c r="J40" s="13" t="s">
        <v>1037</v>
      </c>
      <c r="L40" s="13" t="s">
        <v>1039</v>
      </c>
    </row>
    <row r="41" ht="22.5" customHeight="1">
      <c r="A41" s="12">
        <v>46160.83282534722</v>
      </c>
      <c r="B41" s="13" t="s">
        <v>1043</v>
      </c>
      <c r="C41" s="13" t="s">
        <v>1046</v>
      </c>
      <c r="D41" s="13">
        <v>9.429563006E9</v>
      </c>
      <c r="E41" s="13">
        <v>9.01</v>
      </c>
      <c r="F41" s="14" t="s">
        <v>1049</v>
      </c>
      <c r="G41" s="14" t="s">
        <v>1056</v>
      </c>
      <c r="H41" s="13" t="s">
        <v>59</v>
      </c>
      <c r="I41" s="13" t="s">
        <v>51</v>
      </c>
      <c r="J41" s="13" t="s">
        <v>1067</v>
      </c>
      <c r="L41" s="13" t="s">
        <v>1046</v>
      </c>
    </row>
    <row r="42" ht="22.5" customHeight="1">
      <c r="A42" s="12">
        <v>46160.832912557875</v>
      </c>
      <c r="B42" s="13" t="s">
        <v>796</v>
      </c>
      <c r="C42" s="13" t="s">
        <v>795</v>
      </c>
      <c r="D42" s="13">
        <v>8.350097169E9</v>
      </c>
      <c r="E42" s="13">
        <v>7.51</v>
      </c>
      <c r="F42" s="14" t="s">
        <v>1079</v>
      </c>
      <c r="G42" s="14" t="s">
        <v>1086</v>
      </c>
      <c r="H42" s="13" t="s">
        <v>59</v>
      </c>
      <c r="I42" s="13" t="s">
        <v>51</v>
      </c>
      <c r="J42" s="13" t="s">
        <v>1094</v>
      </c>
      <c r="L42" s="13" t="s">
        <v>1096</v>
      </c>
    </row>
    <row r="43" ht="22.5" customHeight="1">
      <c r="A43" s="12">
        <v>46160.83854149305</v>
      </c>
      <c r="B43" s="13" t="s">
        <v>344</v>
      </c>
      <c r="C43" s="13" t="s">
        <v>343</v>
      </c>
      <c r="D43" s="13">
        <v>9.449421763E9</v>
      </c>
      <c r="E43" s="13">
        <v>7.3</v>
      </c>
      <c r="F43" s="14" t="s">
        <v>1102</v>
      </c>
      <c r="G43" s="14" t="s">
        <v>1106</v>
      </c>
      <c r="H43" s="13" t="s">
        <v>59</v>
      </c>
      <c r="I43" s="13" t="s">
        <v>603</v>
      </c>
      <c r="K43" s="13" t="s">
        <v>1112</v>
      </c>
      <c r="L43" s="13" t="s">
        <v>343</v>
      </c>
    </row>
    <row r="44" ht="22.5" customHeight="1">
      <c r="A44" s="12">
        <v>46160.83919366898</v>
      </c>
      <c r="B44" s="13" t="s">
        <v>621</v>
      </c>
      <c r="C44" s="13" t="s">
        <v>622</v>
      </c>
      <c r="D44" s="13">
        <v>8.368322631E9</v>
      </c>
      <c r="E44" s="13">
        <v>7.35</v>
      </c>
      <c r="F44" s="14" t="s">
        <v>1120</v>
      </c>
      <c r="G44" s="14" t="s">
        <v>1131</v>
      </c>
      <c r="H44" s="13" t="s">
        <v>59</v>
      </c>
      <c r="I44" s="13" t="s">
        <v>603</v>
      </c>
      <c r="K44" s="13" t="s">
        <v>1139</v>
      </c>
      <c r="L44" s="13" t="s">
        <v>622</v>
      </c>
    </row>
    <row r="45" ht="22.5" customHeight="1">
      <c r="A45" s="12">
        <v>46160.855463182874</v>
      </c>
      <c r="B45" s="13" t="s">
        <v>952</v>
      </c>
      <c r="C45" s="13" t="s">
        <v>949</v>
      </c>
      <c r="D45" s="13">
        <v>8.697001351E9</v>
      </c>
      <c r="E45" s="13">
        <v>8.34</v>
      </c>
      <c r="F45" s="14" t="s">
        <v>1151</v>
      </c>
      <c r="G45" s="14" t="s">
        <v>1159</v>
      </c>
      <c r="H45" s="13" t="s">
        <v>59</v>
      </c>
      <c r="I45" s="13" t="s">
        <v>603</v>
      </c>
      <c r="K45" s="13" t="s">
        <v>1169</v>
      </c>
      <c r="L45" s="13" t="s">
        <v>949</v>
      </c>
    </row>
    <row r="46" ht="22.5" customHeight="1">
      <c r="A46" s="12">
        <v>46160.86293017361</v>
      </c>
      <c r="B46" s="13" t="s">
        <v>517</v>
      </c>
      <c r="C46" s="13" t="s">
        <v>512</v>
      </c>
      <c r="D46" s="13">
        <v>8.073125787E9</v>
      </c>
      <c r="E46" s="13">
        <v>8.38</v>
      </c>
      <c r="F46" s="14" t="s">
        <v>1180</v>
      </c>
      <c r="G46" s="14" t="s">
        <v>1184</v>
      </c>
      <c r="H46" s="13" t="s">
        <v>59</v>
      </c>
      <c r="I46" s="13" t="s">
        <v>51</v>
      </c>
      <c r="J46" s="13" t="s">
        <v>1195</v>
      </c>
      <c r="L46" s="13" t="s">
        <v>512</v>
      </c>
    </row>
    <row r="47" ht="22.5" customHeight="1">
      <c r="A47" s="12">
        <v>46160.89124964121</v>
      </c>
      <c r="B47" s="13" t="s">
        <v>509</v>
      </c>
      <c r="C47" s="13" t="s">
        <v>508</v>
      </c>
      <c r="D47" s="13">
        <v>8.870129519E9</v>
      </c>
      <c r="E47" s="13">
        <v>7.12</v>
      </c>
      <c r="F47" s="14" t="s">
        <v>1202</v>
      </c>
      <c r="G47" s="14" t="s">
        <v>1212</v>
      </c>
      <c r="H47" s="13" t="s">
        <v>59</v>
      </c>
      <c r="I47" s="13" t="s">
        <v>603</v>
      </c>
      <c r="K47" s="13" t="s">
        <v>1222</v>
      </c>
      <c r="L47" s="13" t="s">
        <v>508</v>
      </c>
    </row>
    <row r="48" ht="22.5" customHeight="1">
      <c r="A48" s="12">
        <v>46160.90976364583</v>
      </c>
      <c r="B48" s="13" t="s">
        <v>828</v>
      </c>
      <c r="C48" s="13" t="s">
        <v>827</v>
      </c>
      <c r="D48" s="13">
        <v>7.003471206E9</v>
      </c>
      <c r="E48" s="13">
        <v>8.2</v>
      </c>
      <c r="F48" s="14" t="s">
        <v>1227</v>
      </c>
      <c r="G48" s="14" t="s">
        <v>1234</v>
      </c>
      <c r="H48" s="13" t="s">
        <v>59</v>
      </c>
      <c r="I48" s="13" t="s">
        <v>51</v>
      </c>
      <c r="J48" s="13" t="s">
        <v>1244</v>
      </c>
      <c r="L48" s="13" t="s">
        <v>827</v>
      </c>
    </row>
    <row r="49" ht="22.5" customHeight="1">
      <c r="A49" s="12">
        <v>46160.9218352662</v>
      </c>
      <c r="B49" s="13" t="s">
        <v>1248</v>
      </c>
      <c r="C49" s="13" t="s">
        <v>1132</v>
      </c>
      <c r="D49" s="13">
        <v>8.240558484E9</v>
      </c>
      <c r="E49" s="13">
        <v>8.0</v>
      </c>
      <c r="F49" s="14" t="s">
        <v>1252</v>
      </c>
      <c r="G49" s="14" t="s">
        <v>1262</v>
      </c>
      <c r="H49" s="13" t="s">
        <v>59</v>
      </c>
      <c r="I49" s="13" t="s">
        <v>603</v>
      </c>
      <c r="K49" s="13" t="s">
        <v>1268</v>
      </c>
      <c r="L49" s="13" t="s">
        <v>1132</v>
      </c>
    </row>
    <row r="50" ht="22.5" customHeight="1">
      <c r="A50" s="12">
        <v>46160.93367711805</v>
      </c>
      <c r="B50" s="13" t="s">
        <v>1273</v>
      </c>
      <c r="C50" s="13" t="s">
        <v>1277</v>
      </c>
      <c r="D50" s="13">
        <v>8.219407196E9</v>
      </c>
      <c r="E50" s="13">
        <v>6.71</v>
      </c>
      <c r="F50" s="14" t="s">
        <v>1288</v>
      </c>
      <c r="G50" s="14" t="s">
        <v>1314</v>
      </c>
      <c r="H50" s="13" t="s">
        <v>59</v>
      </c>
      <c r="I50" s="13" t="s">
        <v>603</v>
      </c>
      <c r="K50" s="13" t="s">
        <v>1343</v>
      </c>
      <c r="L50" s="13" t="s">
        <v>1277</v>
      </c>
    </row>
    <row r="51" ht="22.5" customHeight="1">
      <c r="A51" s="12">
        <v>46160.94032554398</v>
      </c>
      <c r="B51" s="13" t="s">
        <v>643</v>
      </c>
      <c r="C51" s="13" t="s">
        <v>642</v>
      </c>
      <c r="D51" s="13">
        <v>9.791187785E9</v>
      </c>
      <c r="E51" s="13">
        <v>8.13</v>
      </c>
      <c r="F51" s="14" t="s">
        <v>1351</v>
      </c>
      <c r="G51" s="14" t="s">
        <v>1357</v>
      </c>
      <c r="H51" s="13" t="s">
        <v>49</v>
      </c>
      <c r="I51" s="13" t="s">
        <v>603</v>
      </c>
      <c r="K51" s="13" t="s">
        <v>1366</v>
      </c>
      <c r="L51" s="13" t="s">
        <v>642</v>
      </c>
    </row>
    <row r="52" ht="22.5" customHeight="1">
      <c r="A52" s="12">
        <v>46160.95310356481</v>
      </c>
      <c r="B52" s="13" t="s">
        <v>1372</v>
      </c>
      <c r="C52" s="13" t="s">
        <v>1189</v>
      </c>
      <c r="D52" s="13">
        <v>8.54006018E9</v>
      </c>
      <c r="E52" s="13">
        <v>6.03</v>
      </c>
      <c r="F52" s="14" t="s">
        <v>1381</v>
      </c>
      <c r="G52" s="14" t="s">
        <v>1390</v>
      </c>
      <c r="H52" s="13" t="s">
        <v>59</v>
      </c>
      <c r="I52" s="13" t="s">
        <v>603</v>
      </c>
      <c r="K52" s="13" t="s">
        <v>1401</v>
      </c>
      <c r="L52" s="13" t="s">
        <v>1403</v>
      </c>
    </row>
    <row r="53" ht="22.5" customHeight="1">
      <c r="A53" s="12">
        <v>46161.474153460644</v>
      </c>
      <c r="B53" s="13" t="s">
        <v>778</v>
      </c>
      <c r="C53" s="13" t="s">
        <v>421</v>
      </c>
      <c r="D53" s="13">
        <v>9.828251124E9</v>
      </c>
      <c r="E53" s="13">
        <v>7.23</v>
      </c>
      <c r="F53" s="14" t="s">
        <v>1412</v>
      </c>
      <c r="G53" s="14" t="s">
        <v>1425</v>
      </c>
      <c r="H53" s="13" t="s">
        <v>59</v>
      </c>
      <c r="I53" s="13" t="s">
        <v>603</v>
      </c>
      <c r="K53" s="13" t="s">
        <v>1434</v>
      </c>
      <c r="L53" s="13" t="s">
        <v>1438</v>
      </c>
    </row>
  </sheetData>
  <hyperlinks>
    <hyperlink r:id="rId2" ref="F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F21"/>
    <hyperlink r:id="rId40" ref="G21"/>
    <hyperlink r:id="rId41" ref="F22"/>
    <hyperlink r:id="rId42" ref="G22"/>
    <hyperlink r:id="rId43" ref="F23"/>
    <hyperlink r:id="rId44" ref="G23"/>
    <hyperlink r:id="rId45" ref="F24"/>
    <hyperlink r:id="rId46" ref="G24"/>
    <hyperlink r:id="rId47" ref="F25"/>
    <hyperlink r:id="rId48" ref="G25"/>
    <hyperlink r:id="rId49" ref="F26"/>
    <hyperlink r:id="rId50" ref="G26"/>
    <hyperlink r:id="rId51" ref="F27"/>
    <hyperlink r:id="rId52" ref="G27"/>
    <hyperlink r:id="rId53" ref="F28"/>
    <hyperlink r:id="rId54" ref="G28"/>
    <hyperlink r:id="rId55" ref="F29"/>
    <hyperlink r:id="rId56" ref="G29"/>
    <hyperlink r:id="rId57" ref="F30"/>
    <hyperlink r:id="rId58" ref="G30"/>
    <hyperlink r:id="rId59" ref="F31"/>
    <hyperlink r:id="rId60" ref="G31"/>
    <hyperlink r:id="rId61" ref="F32"/>
    <hyperlink r:id="rId62" ref="G32"/>
    <hyperlink r:id="rId63" ref="F33"/>
    <hyperlink r:id="rId64" ref="G33"/>
    <hyperlink r:id="rId65" ref="F34"/>
    <hyperlink r:id="rId66" ref="G34"/>
    <hyperlink r:id="rId67" ref="F35"/>
    <hyperlink r:id="rId68" ref="G35"/>
    <hyperlink r:id="rId69" ref="F36"/>
    <hyperlink r:id="rId70" ref="G36"/>
    <hyperlink r:id="rId71" ref="F37"/>
    <hyperlink r:id="rId72" ref="G37"/>
    <hyperlink r:id="rId73" ref="F38"/>
    <hyperlink r:id="rId74" ref="G38"/>
    <hyperlink r:id="rId75" ref="F39"/>
    <hyperlink r:id="rId76" ref="G39"/>
    <hyperlink r:id="rId77" ref="F40"/>
    <hyperlink r:id="rId78" ref="G40"/>
    <hyperlink r:id="rId79" ref="F41"/>
    <hyperlink r:id="rId80" ref="G41"/>
    <hyperlink r:id="rId81" ref="F42"/>
    <hyperlink r:id="rId82" ref="G42"/>
    <hyperlink r:id="rId83" ref="F43"/>
    <hyperlink r:id="rId84" ref="G43"/>
    <hyperlink r:id="rId85" ref="F44"/>
    <hyperlink r:id="rId86" ref="G44"/>
    <hyperlink r:id="rId87" ref="F45"/>
    <hyperlink r:id="rId88" ref="G45"/>
    <hyperlink r:id="rId89" ref="F46"/>
    <hyperlink r:id="rId90" ref="G46"/>
    <hyperlink r:id="rId91" ref="F47"/>
    <hyperlink r:id="rId92" ref="G47"/>
    <hyperlink r:id="rId93" ref="F48"/>
    <hyperlink r:id="rId94" ref="G48"/>
    <hyperlink r:id="rId95" ref="F49"/>
    <hyperlink r:id="rId96" ref="G49"/>
    <hyperlink r:id="rId97" ref="F50"/>
    <hyperlink r:id="rId98" ref="G50"/>
    <hyperlink r:id="rId99" ref="F51"/>
    <hyperlink r:id="rId100" ref="G51"/>
    <hyperlink r:id="rId101" ref="F52"/>
    <hyperlink r:id="rId102" ref="G52"/>
    <hyperlink r:id="rId103" ref="F53"/>
    <hyperlink r:id="rId104" ref="G53"/>
  </hyperlinks>
  <drawing r:id="rId105"/>
  <legacyDrawing r:id="rId106"/>
  <tableParts count="1">
    <tablePart r:id="rId10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9.88"/>
    <col customWidth="1" min="7" max="7" width="37.63"/>
    <col customWidth="1" min="8" max="9" width="18.88"/>
    <col customWidth="1" min="10" max="10" width="31.38"/>
    <col customWidth="1" min="11" max="11" width="31.75"/>
    <col customWidth="1" min="12" max="18" width="18.88"/>
  </cols>
  <sheetData>
    <row r="1" ht="22.5" customHeight="1">
      <c r="A1" s="2" t="s">
        <v>0</v>
      </c>
      <c r="B1" s="2" t="s">
        <v>3</v>
      </c>
      <c r="C1" s="2" t="s">
        <v>5</v>
      </c>
      <c r="D1" s="2" t="s">
        <v>7</v>
      </c>
      <c r="E1" s="2" t="s">
        <v>10</v>
      </c>
      <c r="F1" s="2" t="s">
        <v>9</v>
      </c>
      <c r="G1" s="2" t="s">
        <v>16</v>
      </c>
      <c r="H1" s="2" t="s">
        <v>17</v>
      </c>
      <c r="I1" s="2" t="s">
        <v>20</v>
      </c>
      <c r="J1" s="2" t="s">
        <v>13</v>
      </c>
      <c r="K1" s="2" t="s">
        <v>14</v>
      </c>
      <c r="L1" s="9" t="s">
        <v>23</v>
      </c>
    </row>
    <row r="2" ht="22.5" customHeight="1">
      <c r="A2" s="7">
        <v>46130.68603431713</v>
      </c>
      <c r="B2" s="8" t="s">
        <v>37</v>
      </c>
      <c r="C2" s="8" t="s">
        <v>39</v>
      </c>
      <c r="D2" s="8">
        <v>8.077448501E9</v>
      </c>
      <c r="E2" s="8">
        <v>7.6</v>
      </c>
      <c r="F2" s="10" t="s">
        <v>43</v>
      </c>
      <c r="G2" s="10" t="s">
        <v>53</v>
      </c>
      <c r="H2" s="8" t="s">
        <v>59</v>
      </c>
      <c r="I2" s="8" t="s">
        <v>51</v>
      </c>
      <c r="J2" s="8" t="s">
        <v>64</v>
      </c>
      <c r="K2" s="11"/>
      <c r="L2" s="8" t="s">
        <v>39</v>
      </c>
    </row>
    <row r="3" ht="22.5" customHeight="1">
      <c r="A3" s="12">
        <v>46131.83718418982</v>
      </c>
      <c r="B3" s="13" t="s">
        <v>74</v>
      </c>
      <c r="C3" s="13" t="s">
        <v>76</v>
      </c>
      <c r="D3" s="13">
        <v>9.142347554E9</v>
      </c>
      <c r="E3" s="13">
        <v>7.4</v>
      </c>
      <c r="F3" s="14" t="s">
        <v>79</v>
      </c>
      <c r="G3" s="14" t="s">
        <v>83</v>
      </c>
      <c r="H3" s="13" t="s">
        <v>59</v>
      </c>
      <c r="I3" s="13" t="s">
        <v>51</v>
      </c>
      <c r="J3" s="13" t="s">
        <v>91</v>
      </c>
      <c r="L3" s="13" t="s">
        <v>76</v>
      </c>
    </row>
    <row r="4" ht="22.5" customHeight="1">
      <c r="A4" s="12">
        <v>46131.840616030095</v>
      </c>
      <c r="B4" s="13" t="s">
        <v>63</v>
      </c>
      <c r="C4" s="13" t="s">
        <v>66</v>
      </c>
      <c r="D4" s="13">
        <v>9.570194524E9</v>
      </c>
      <c r="E4" s="13">
        <v>7.14</v>
      </c>
      <c r="F4" s="14" t="s">
        <v>101</v>
      </c>
      <c r="G4" s="14" t="s">
        <v>109</v>
      </c>
      <c r="H4" s="13" t="s">
        <v>59</v>
      </c>
      <c r="I4" s="13" t="s">
        <v>51</v>
      </c>
      <c r="J4" s="13" t="s">
        <v>116</v>
      </c>
      <c r="L4" s="13" t="s">
        <v>66</v>
      </c>
    </row>
    <row r="5" ht="22.5" customHeight="1">
      <c r="A5" s="12">
        <v>46131.84433305556</v>
      </c>
      <c r="B5" s="13" t="s">
        <v>62</v>
      </c>
      <c r="C5" s="13" t="s">
        <v>68</v>
      </c>
      <c r="D5" s="13">
        <v>9.350957047E9</v>
      </c>
      <c r="E5" s="13">
        <v>7.31</v>
      </c>
      <c r="F5" s="14" t="s">
        <v>123</v>
      </c>
      <c r="G5" s="14" t="s">
        <v>130</v>
      </c>
      <c r="H5" s="13" t="s">
        <v>59</v>
      </c>
      <c r="I5" s="13" t="s">
        <v>51</v>
      </c>
      <c r="J5" s="13" t="s">
        <v>140</v>
      </c>
      <c r="L5" s="13" t="s">
        <v>68</v>
      </c>
    </row>
    <row r="6" ht="22.5" customHeight="1">
      <c r="A6" s="12">
        <v>46131.84460991898</v>
      </c>
      <c r="B6" s="13" t="s">
        <v>146</v>
      </c>
      <c r="C6" s="13" t="s">
        <v>149</v>
      </c>
      <c r="D6" s="13">
        <v>8.28777025E9</v>
      </c>
      <c r="E6" s="13">
        <v>7.52</v>
      </c>
      <c r="F6" s="14" t="s">
        <v>153</v>
      </c>
      <c r="G6" s="14" t="s">
        <v>161</v>
      </c>
      <c r="H6" s="13" t="s">
        <v>59</v>
      </c>
      <c r="I6" s="13" t="s">
        <v>51</v>
      </c>
      <c r="J6" s="13" t="s">
        <v>171</v>
      </c>
      <c r="L6" s="13" t="s">
        <v>173</v>
      </c>
    </row>
    <row r="7" ht="22.5" customHeight="1">
      <c r="A7" s="12">
        <v>46131.84791730324</v>
      </c>
      <c r="B7" s="13" t="s">
        <v>177</v>
      </c>
      <c r="C7" s="13" t="s">
        <v>182</v>
      </c>
      <c r="D7" s="13">
        <v>9.877483716E9</v>
      </c>
      <c r="E7" s="13">
        <v>8.26</v>
      </c>
      <c r="F7" s="14" t="s">
        <v>188</v>
      </c>
      <c r="G7" s="14" t="s">
        <v>193</v>
      </c>
      <c r="H7" s="13" t="s">
        <v>59</v>
      </c>
      <c r="I7" s="13" t="s">
        <v>51</v>
      </c>
      <c r="J7" s="13" t="s">
        <v>203</v>
      </c>
      <c r="L7" s="13" t="s">
        <v>182</v>
      </c>
    </row>
    <row r="8" ht="22.5" customHeight="1">
      <c r="A8" s="12">
        <v>46131.84811856481</v>
      </c>
      <c r="B8" s="13" t="s">
        <v>210</v>
      </c>
      <c r="C8" s="13" t="s">
        <v>212</v>
      </c>
      <c r="D8" s="13">
        <v>8.54403245E9</v>
      </c>
      <c r="E8" s="13">
        <v>6.41</v>
      </c>
      <c r="F8" s="14" t="s">
        <v>216</v>
      </c>
      <c r="G8" s="14" t="s">
        <v>224</v>
      </c>
      <c r="H8" s="13" t="s">
        <v>59</v>
      </c>
      <c r="I8" s="13" t="s">
        <v>51</v>
      </c>
      <c r="J8" s="13" t="s">
        <v>233</v>
      </c>
      <c r="L8" s="13" t="s">
        <v>235</v>
      </c>
    </row>
    <row r="9" ht="22.5" customHeight="1">
      <c r="A9" s="12">
        <v>46131.853978541665</v>
      </c>
      <c r="B9" s="13" t="s">
        <v>238</v>
      </c>
      <c r="C9" s="13" t="s">
        <v>239</v>
      </c>
      <c r="D9" s="13">
        <v>9.026479584E9</v>
      </c>
      <c r="E9" s="13">
        <v>8.47</v>
      </c>
      <c r="F9" s="14" t="s">
        <v>243</v>
      </c>
      <c r="G9" s="14" t="s">
        <v>249</v>
      </c>
      <c r="H9" s="13" t="s">
        <v>49</v>
      </c>
      <c r="I9" s="13" t="s">
        <v>51</v>
      </c>
      <c r="J9" s="13" t="s">
        <v>258</v>
      </c>
      <c r="L9" s="13" t="s">
        <v>239</v>
      </c>
    </row>
    <row r="10" ht="22.5" customHeight="1">
      <c r="A10" s="12">
        <v>46131.85420822917</v>
      </c>
      <c r="B10" s="13" t="s">
        <v>265</v>
      </c>
      <c r="C10" s="13" t="s">
        <v>267</v>
      </c>
      <c r="D10" s="13">
        <v>8.340184575E9</v>
      </c>
      <c r="E10" s="13">
        <v>7.45</v>
      </c>
      <c r="F10" s="14" t="s">
        <v>270</v>
      </c>
      <c r="G10" s="14" t="s">
        <v>273</v>
      </c>
      <c r="H10" s="13" t="s">
        <v>59</v>
      </c>
      <c r="I10" s="13" t="s">
        <v>51</v>
      </c>
      <c r="J10" s="13" t="s">
        <v>279</v>
      </c>
      <c r="L10" s="13" t="s">
        <v>267</v>
      </c>
    </row>
    <row r="11" ht="22.5" customHeight="1">
      <c r="A11" s="12">
        <v>46131.85551513889</v>
      </c>
      <c r="B11" s="13" t="s">
        <v>282</v>
      </c>
      <c r="C11" s="13" t="s">
        <v>284</v>
      </c>
      <c r="D11" s="13">
        <v>9.460844955E9</v>
      </c>
      <c r="E11" s="13">
        <v>7.87</v>
      </c>
      <c r="F11" s="14" t="s">
        <v>288</v>
      </c>
      <c r="G11" s="14" t="s">
        <v>295</v>
      </c>
      <c r="H11" s="13" t="s">
        <v>59</v>
      </c>
      <c r="I11" s="13" t="s">
        <v>51</v>
      </c>
      <c r="J11" s="13" t="s">
        <v>305</v>
      </c>
      <c r="L11" s="13" t="s">
        <v>284</v>
      </c>
    </row>
    <row r="12" ht="22.5" customHeight="1">
      <c r="A12" s="12">
        <v>46131.869856296296</v>
      </c>
      <c r="B12" s="13" t="s">
        <v>19</v>
      </c>
      <c r="C12" s="13" t="s">
        <v>18</v>
      </c>
      <c r="D12" s="13">
        <v>8.882475437E9</v>
      </c>
      <c r="E12" s="13">
        <v>8.53</v>
      </c>
      <c r="F12" s="14" t="s">
        <v>312</v>
      </c>
      <c r="G12" s="14" t="s">
        <v>321</v>
      </c>
      <c r="H12" s="13" t="s">
        <v>59</v>
      </c>
      <c r="I12" s="13" t="s">
        <v>51</v>
      </c>
      <c r="J12" s="13" t="s">
        <v>327</v>
      </c>
      <c r="L12" s="13" t="s">
        <v>330</v>
      </c>
    </row>
    <row r="13" ht="22.5" customHeight="1">
      <c r="A13" s="12">
        <v>46131.899165208335</v>
      </c>
      <c r="B13" s="13" t="s">
        <v>335</v>
      </c>
      <c r="C13" s="13" t="s">
        <v>338</v>
      </c>
      <c r="D13" s="13">
        <v>9.134034085E9</v>
      </c>
      <c r="E13" s="13">
        <v>7.65</v>
      </c>
      <c r="F13" s="14" t="s">
        <v>342</v>
      </c>
      <c r="G13" s="14" t="s">
        <v>349</v>
      </c>
      <c r="H13" s="13" t="s">
        <v>49</v>
      </c>
      <c r="I13" s="13" t="s">
        <v>51</v>
      </c>
      <c r="J13" s="13" t="s">
        <v>363</v>
      </c>
      <c r="L13" s="13" t="s">
        <v>338</v>
      </c>
    </row>
    <row r="14" ht="22.5" customHeight="1">
      <c r="A14" s="12">
        <v>46131.90598642361</v>
      </c>
      <c r="B14" s="13" t="s">
        <v>367</v>
      </c>
      <c r="C14" s="13" t="s">
        <v>370</v>
      </c>
      <c r="D14" s="13">
        <v>9.356986148E9</v>
      </c>
      <c r="E14" s="13">
        <v>6.06</v>
      </c>
      <c r="F14" s="14" t="s">
        <v>375</v>
      </c>
      <c r="G14" s="14" t="s">
        <v>379</v>
      </c>
      <c r="H14" s="13" t="s">
        <v>59</v>
      </c>
      <c r="I14" s="13" t="s">
        <v>51</v>
      </c>
      <c r="J14" s="13" t="s">
        <v>388</v>
      </c>
      <c r="L14" s="13" t="s">
        <v>370</v>
      </c>
    </row>
    <row r="15" ht="22.5" customHeight="1">
      <c r="A15" s="12">
        <v>46131.91209380787</v>
      </c>
      <c r="B15" s="13" t="s">
        <v>397</v>
      </c>
      <c r="C15" s="13" t="s">
        <v>399</v>
      </c>
      <c r="D15" s="13">
        <v>7.080299171E9</v>
      </c>
      <c r="E15" s="13">
        <v>8.51</v>
      </c>
      <c r="F15" s="14" t="s">
        <v>404</v>
      </c>
      <c r="G15" s="14" t="s">
        <v>410</v>
      </c>
      <c r="H15" s="13" t="s">
        <v>59</v>
      </c>
      <c r="I15" s="13" t="s">
        <v>51</v>
      </c>
      <c r="J15" s="13" t="s">
        <v>419</v>
      </c>
      <c r="L15" s="13" t="s">
        <v>399</v>
      </c>
    </row>
    <row r="16" ht="22.5" customHeight="1">
      <c r="A16" s="12">
        <v>46131.9133384375</v>
      </c>
      <c r="B16" s="13" t="s">
        <v>422</v>
      </c>
      <c r="C16" s="13" t="s">
        <v>425</v>
      </c>
      <c r="D16" s="13">
        <v>9.140525531E9</v>
      </c>
      <c r="E16" s="13">
        <v>7.19</v>
      </c>
      <c r="F16" s="14" t="s">
        <v>428</v>
      </c>
      <c r="G16" s="14" t="s">
        <v>433</v>
      </c>
      <c r="H16" s="13" t="s">
        <v>49</v>
      </c>
      <c r="I16" s="13" t="s">
        <v>51</v>
      </c>
      <c r="J16" s="13" t="s">
        <v>441</v>
      </c>
      <c r="L16" s="13" t="s">
        <v>425</v>
      </c>
    </row>
    <row r="17" ht="22.5" customHeight="1">
      <c r="A17" s="12">
        <v>46131.934728148146</v>
      </c>
      <c r="B17" s="13" t="s">
        <v>447</v>
      </c>
      <c r="C17" s="13" t="s">
        <v>156</v>
      </c>
      <c r="D17" s="13">
        <v>7.001866804E9</v>
      </c>
      <c r="E17" s="13">
        <v>7.23</v>
      </c>
      <c r="F17" s="14" t="s">
        <v>450</v>
      </c>
      <c r="G17" s="14" t="s">
        <v>450</v>
      </c>
      <c r="H17" s="13" t="s">
        <v>59</v>
      </c>
      <c r="I17" s="13" t="s">
        <v>51</v>
      </c>
      <c r="J17" s="13" t="s">
        <v>459</v>
      </c>
      <c r="L17" s="13" t="s">
        <v>156</v>
      </c>
    </row>
    <row r="18" ht="22.5" customHeight="1">
      <c r="A18" s="12">
        <v>46131.947352303236</v>
      </c>
      <c r="B18" s="13" t="s">
        <v>465</v>
      </c>
      <c r="C18" s="13" t="s">
        <v>468</v>
      </c>
      <c r="D18" s="13">
        <v>7.388999447E9</v>
      </c>
      <c r="E18" s="13">
        <v>7.84</v>
      </c>
      <c r="F18" s="14" t="s">
        <v>474</v>
      </c>
      <c r="G18" s="14" t="s">
        <v>481</v>
      </c>
      <c r="H18" s="13" t="s">
        <v>59</v>
      </c>
      <c r="I18" s="13" t="s">
        <v>51</v>
      </c>
      <c r="J18" s="13" t="s">
        <v>490</v>
      </c>
      <c r="L18" s="13" t="s">
        <v>468</v>
      </c>
    </row>
    <row r="19" ht="22.5" customHeight="1">
      <c r="A19" s="12">
        <v>46131.97450655093</v>
      </c>
      <c r="B19" s="13" t="s">
        <v>495</v>
      </c>
      <c r="C19" s="13" t="s">
        <v>497</v>
      </c>
      <c r="D19" s="13">
        <v>9.049505376E9</v>
      </c>
      <c r="E19" s="13">
        <v>8.39</v>
      </c>
      <c r="F19" s="14" t="s">
        <v>501</v>
      </c>
      <c r="G19" s="14" t="s">
        <v>506</v>
      </c>
      <c r="H19" s="13" t="s">
        <v>49</v>
      </c>
      <c r="I19" s="13" t="s">
        <v>51</v>
      </c>
      <c r="J19" s="13" t="s">
        <v>513</v>
      </c>
      <c r="L19" s="13" t="s">
        <v>497</v>
      </c>
    </row>
    <row r="20" ht="22.5" customHeight="1">
      <c r="A20" s="12">
        <v>46132.0040440625</v>
      </c>
      <c r="B20" s="13" t="s">
        <v>67</v>
      </c>
      <c r="C20" s="13" t="s">
        <v>65</v>
      </c>
      <c r="D20" s="13">
        <v>7.081012288E9</v>
      </c>
      <c r="E20" s="13">
        <v>7.98</v>
      </c>
      <c r="F20" s="14" t="s">
        <v>518</v>
      </c>
      <c r="G20" s="14" t="s">
        <v>522</v>
      </c>
      <c r="H20" s="13" t="s">
        <v>59</v>
      </c>
      <c r="I20" s="13" t="s">
        <v>51</v>
      </c>
      <c r="J20" s="13" t="s">
        <v>526</v>
      </c>
      <c r="L20" s="13" t="s">
        <v>65</v>
      </c>
    </row>
    <row r="21" ht="22.5" customHeight="1">
      <c r="A21" s="12">
        <v>46132.21889081018</v>
      </c>
      <c r="B21" s="13" t="s">
        <v>529</v>
      </c>
      <c r="C21" s="13" t="s">
        <v>532</v>
      </c>
      <c r="D21" s="13">
        <v>6.291748061E9</v>
      </c>
      <c r="E21" s="13">
        <v>6.84</v>
      </c>
      <c r="F21" s="14" t="s">
        <v>537</v>
      </c>
      <c r="G21" s="14" t="s">
        <v>545</v>
      </c>
      <c r="H21" s="13" t="s">
        <v>59</v>
      </c>
      <c r="I21" s="13" t="s">
        <v>51</v>
      </c>
      <c r="J21" s="13" t="s">
        <v>552</v>
      </c>
      <c r="L21" s="13" t="s">
        <v>532</v>
      </c>
    </row>
    <row r="22" ht="22.5" customHeight="1">
      <c r="A22" s="12">
        <v>46132.47082520834</v>
      </c>
      <c r="B22" s="13" t="s">
        <v>557</v>
      </c>
      <c r="C22" s="13" t="s">
        <v>560</v>
      </c>
      <c r="D22" s="13">
        <v>8.237960551E9</v>
      </c>
      <c r="E22" s="13">
        <v>6.5</v>
      </c>
      <c r="F22" s="14" t="s">
        <v>569</v>
      </c>
      <c r="G22" s="14" t="s">
        <v>576</v>
      </c>
      <c r="H22" s="13" t="s">
        <v>59</v>
      </c>
      <c r="I22" s="13" t="s">
        <v>51</v>
      </c>
      <c r="J22" s="13" t="s">
        <v>585</v>
      </c>
      <c r="L22" s="13" t="s">
        <v>560</v>
      </c>
    </row>
    <row r="23" ht="22.5" customHeight="1">
      <c r="A23" s="12">
        <v>46132.48437099537</v>
      </c>
      <c r="B23" s="13" t="s">
        <v>593</v>
      </c>
      <c r="C23" s="13" t="s">
        <v>595</v>
      </c>
      <c r="D23" s="13">
        <v>7.978783934E9</v>
      </c>
      <c r="E23" s="13">
        <v>7.63</v>
      </c>
      <c r="F23" s="14" t="s">
        <v>600</v>
      </c>
      <c r="G23" s="14" t="s">
        <v>608</v>
      </c>
      <c r="H23" s="13" t="s">
        <v>59</v>
      </c>
      <c r="I23" s="13" t="s">
        <v>51</v>
      </c>
      <c r="J23" s="13" t="s">
        <v>616</v>
      </c>
      <c r="L23" s="13" t="s">
        <v>595</v>
      </c>
    </row>
    <row r="24" ht="22.5" customHeight="1">
      <c r="A24" s="12">
        <v>46139.93491927083</v>
      </c>
      <c r="B24" s="13" t="s">
        <v>621</v>
      </c>
      <c r="C24" s="13" t="s">
        <v>622</v>
      </c>
      <c r="D24" s="13">
        <v>8.368322631E9</v>
      </c>
      <c r="E24" s="13">
        <v>7.3</v>
      </c>
      <c r="F24" s="14" t="s">
        <v>625</v>
      </c>
      <c r="G24" s="14" t="s">
        <v>630</v>
      </c>
      <c r="H24" s="13" t="s">
        <v>59</v>
      </c>
      <c r="I24" s="13" t="s">
        <v>603</v>
      </c>
      <c r="K24" s="13" t="s">
        <v>639</v>
      </c>
      <c r="L24" s="13" t="s">
        <v>622</v>
      </c>
    </row>
    <row r="25" ht="22.5" customHeight="1">
      <c r="A25" s="12">
        <v>46139.95793481481</v>
      </c>
      <c r="B25" s="13" t="s">
        <v>586</v>
      </c>
      <c r="C25" s="13" t="s">
        <v>584</v>
      </c>
      <c r="D25" s="13">
        <v>8.989607974E9</v>
      </c>
      <c r="E25" s="13">
        <v>7.14</v>
      </c>
      <c r="F25" s="14" t="s">
        <v>651</v>
      </c>
      <c r="G25" s="14" t="s">
        <v>661</v>
      </c>
      <c r="H25" s="13" t="s">
        <v>59</v>
      </c>
      <c r="I25" s="13" t="s">
        <v>603</v>
      </c>
      <c r="K25" s="13" t="s">
        <v>664</v>
      </c>
      <c r="L25" s="13" t="s">
        <v>584</v>
      </c>
    </row>
    <row r="26" ht="22.5" customHeight="1">
      <c r="A26" s="12">
        <v>46141.46527872686</v>
      </c>
      <c r="B26" s="13" t="s">
        <v>318</v>
      </c>
      <c r="C26" s="13" t="s">
        <v>322</v>
      </c>
      <c r="D26" s="13">
        <v>6.367755955E9</v>
      </c>
      <c r="E26" s="13">
        <v>7.24</v>
      </c>
      <c r="F26" s="14" t="s">
        <v>324</v>
      </c>
      <c r="G26" s="14" t="s">
        <v>333</v>
      </c>
      <c r="H26" s="13" t="s">
        <v>59</v>
      </c>
      <c r="I26" s="13" t="s">
        <v>51</v>
      </c>
      <c r="J26" s="13" t="s">
        <v>682</v>
      </c>
      <c r="L26" s="13" t="s">
        <v>322</v>
      </c>
    </row>
    <row r="27" ht="22.5" customHeight="1">
      <c r="A27" s="12">
        <v>46141.47887847222</v>
      </c>
      <c r="B27" s="13" t="s">
        <v>687</v>
      </c>
      <c r="C27" s="13" t="s">
        <v>690</v>
      </c>
      <c r="D27" s="13">
        <v>8.277097271E9</v>
      </c>
      <c r="E27" s="13">
        <v>8.01</v>
      </c>
      <c r="F27" s="14" t="s">
        <v>694</v>
      </c>
      <c r="G27" s="14" t="s">
        <v>702</v>
      </c>
      <c r="H27" s="13" t="s">
        <v>49</v>
      </c>
      <c r="I27" s="13" t="s">
        <v>51</v>
      </c>
      <c r="J27" s="13" t="s">
        <v>711</v>
      </c>
      <c r="L27" s="13" t="s">
        <v>690</v>
      </c>
    </row>
    <row r="28" ht="22.5" customHeight="1">
      <c r="A28" s="12">
        <v>46142.61459149305</v>
      </c>
      <c r="B28" s="13" t="s">
        <v>715</v>
      </c>
      <c r="C28" s="13" t="s">
        <v>365</v>
      </c>
      <c r="D28" s="13">
        <v>9.365265655E9</v>
      </c>
      <c r="E28" s="13">
        <v>7.12</v>
      </c>
      <c r="F28" s="14" t="s">
        <v>720</v>
      </c>
      <c r="G28" s="14" t="s">
        <v>725</v>
      </c>
      <c r="H28" s="13" t="s">
        <v>59</v>
      </c>
      <c r="I28" s="13" t="s">
        <v>51</v>
      </c>
      <c r="J28" s="13" t="s">
        <v>737</v>
      </c>
      <c r="L28" s="13" t="s">
        <v>739</v>
      </c>
    </row>
    <row r="29" ht="22.5" customHeight="1">
      <c r="A29" s="12">
        <v>46142.619719953705</v>
      </c>
      <c r="B29" s="13" t="s">
        <v>743</v>
      </c>
      <c r="C29" s="13" t="s">
        <v>283</v>
      </c>
      <c r="D29" s="13">
        <v>8.484077935E9</v>
      </c>
      <c r="E29" s="13">
        <v>6.5</v>
      </c>
      <c r="F29" s="14" t="s">
        <v>750</v>
      </c>
      <c r="G29" s="14" t="s">
        <v>757</v>
      </c>
      <c r="H29" s="13" t="s">
        <v>59</v>
      </c>
      <c r="I29" s="13" t="s">
        <v>51</v>
      </c>
      <c r="J29" s="13" t="s">
        <v>763</v>
      </c>
      <c r="L29" s="13" t="s">
        <v>283</v>
      </c>
    </row>
    <row r="30" ht="22.5" customHeight="1">
      <c r="A30" s="12">
        <v>46142.64333652778</v>
      </c>
      <c r="B30" s="13" t="s">
        <v>381</v>
      </c>
      <c r="C30" s="13" t="s">
        <v>246</v>
      </c>
      <c r="D30" s="13">
        <v>8.017767311E9</v>
      </c>
      <c r="E30" s="13">
        <v>7.195</v>
      </c>
      <c r="F30" s="14" t="s">
        <v>251</v>
      </c>
      <c r="G30" s="14" t="s">
        <v>260</v>
      </c>
      <c r="H30" s="13" t="s">
        <v>59</v>
      </c>
      <c r="I30" s="13" t="s">
        <v>51</v>
      </c>
      <c r="J30" s="13" t="s">
        <v>784</v>
      </c>
      <c r="L30" s="13" t="s">
        <v>246</v>
      </c>
    </row>
    <row r="31" ht="22.5" customHeight="1">
      <c r="A31" s="12">
        <v>46142.737224236116</v>
      </c>
      <c r="B31" s="13" t="s">
        <v>791</v>
      </c>
      <c r="C31" s="13" t="s">
        <v>793</v>
      </c>
      <c r="D31" s="13">
        <v>6.005726422E9</v>
      </c>
      <c r="E31" s="13">
        <v>6.0</v>
      </c>
      <c r="F31" s="14" t="s">
        <v>797</v>
      </c>
      <c r="G31" s="14" t="s">
        <v>806</v>
      </c>
      <c r="H31" s="13" t="s">
        <v>59</v>
      </c>
      <c r="I31" s="13" t="s">
        <v>51</v>
      </c>
      <c r="J31" s="13" t="s">
        <v>816</v>
      </c>
      <c r="L31" s="13" t="s">
        <v>793</v>
      </c>
    </row>
    <row r="32" ht="22.5" customHeight="1">
      <c r="A32" s="12">
        <v>46142.78538621528</v>
      </c>
      <c r="B32" s="13" t="s">
        <v>819</v>
      </c>
      <c r="C32" s="13" t="s">
        <v>142</v>
      </c>
      <c r="D32" s="13">
        <v>7.667717756E9</v>
      </c>
      <c r="E32" s="13">
        <v>6.44</v>
      </c>
      <c r="F32" s="14" t="s">
        <v>148</v>
      </c>
      <c r="G32" s="14" t="s">
        <v>830</v>
      </c>
      <c r="H32" s="13" t="s">
        <v>59</v>
      </c>
      <c r="I32" s="13" t="s">
        <v>51</v>
      </c>
      <c r="J32" s="13" t="s">
        <v>834</v>
      </c>
      <c r="L32" s="13" t="s">
        <v>142</v>
      </c>
    </row>
    <row r="33" ht="22.5" customHeight="1">
      <c r="A33" s="12">
        <v>46142.79699966435</v>
      </c>
      <c r="B33" s="13" t="s">
        <v>837</v>
      </c>
      <c r="C33" s="13" t="s">
        <v>838</v>
      </c>
      <c r="D33" s="13">
        <v>9.508492656E9</v>
      </c>
      <c r="E33" s="13">
        <v>6.23</v>
      </c>
      <c r="F33" s="14" t="s">
        <v>843</v>
      </c>
      <c r="G33" s="14" t="s">
        <v>849</v>
      </c>
      <c r="H33" s="13" t="s">
        <v>59</v>
      </c>
      <c r="I33" s="13" t="s">
        <v>51</v>
      </c>
      <c r="J33" s="13" t="s">
        <v>859</v>
      </c>
      <c r="L33" s="13" t="s">
        <v>838</v>
      </c>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F21"/>
    <hyperlink r:id="rId40" ref="G21"/>
    <hyperlink r:id="rId41" ref="F22"/>
    <hyperlink r:id="rId42" ref="G22"/>
    <hyperlink r:id="rId43" ref="F23"/>
    <hyperlink r:id="rId44" ref="G23"/>
    <hyperlink r:id="rId45" ref="F24"/>
    <hyperlink r:id="rId46" ref="G24"/>
    <hyperlink r:id="rId47" ref="F25"/>
    <hyperlink r:id="rId48" ref="G25"/>
    <hyperlink r:id="rId49" ref="F26"/>
    <hyperlink r:id="rId50" ref="G26"/>
    <hyperlink r:id="rId51" ref="F27"/>
    <hyperlink r:id="rId52" ref="G27"/>
    <hyperlink r:id="rId53" ref="F28"/>
    <hyperlink r:id="rId54" ref="G28"/>
    <hyperlink r:id="rId55" ref="F29"/>
    <hyperlink r:id="rId56" ref="G29"/>
    <hyperlink r:id="rId57" ref="F30"/>
    <hyperlink r:id="rId58" ref="G30"/>
    <hyperlink r:id="rId59" ref="F31"/>
    <hyperlink r:id="rId60" ref="G31"/>
    <hyperlink r:id="rId61" ref="F32"/>
    <hyperlink r:id="rId62" ref="G32"/>
    <hyperlink r:id="rId63" ref="F33"/>
    <hyperlink r:id="rId64" ref="G33"/>
  </hyperlinks>
  <drawing r:id="rId65"/>
  <tableParts count="1">
    <tablePart r:id="rId6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9.88"/>
    <col customWidth="1" min="7" max="7" width="37.63"/>
    <col customWidth="1" min="8" max="9" width="18.88"/>
    <col customWidth="1" min="10" max="10" width="55.88"/>
    <col customWidth="1" min="11" max="11" width="31.75"/>
    <col customWidth="1" min="12" max="17" width="18.88"/>
  </cols>
  <sheetData>
    <row r="1" ht="22.5" customHeight="1">
      <c r="A1" s="2" t="s">
        <v>0</v>
      </c>
      <c r="B1" s="2" t="s">
        <v>3</v>
      </c>
      <c r="C1" s="2" t="s">
        <v>5</v>
      </c>
      <c r="D1" s="2" t="s">
        <v>7</v>
      </c>
      <c r="E1" s="2" t="s">
        <v>10</v>
      </c>
      <c r="F1" s="2" t="s">
        <v>9</v>
      </c>
      <c r="G1" s="2" t="s">
        <v>16</v>
      </c>
      <c r="H1" s="2" t="s">
        <v>17</v>
      </c>
      <c r="I1" s="2" t="s">
        <v>20</v>
      </c>
      <c r="J1" s="2" t="s">
        <v>13</v>
      </c>
      <c r="K1" s="2" t="s">
        <v>14</v>
      </c>
    </row>
    <row r="2" ht="22.5" customHeight="1">
      <c r="A2" s="7">
        <v>46100.64410193287</v>
      </c>
      <c r="B2" s="8" t="s">
        <v>63</v>
      </c>
      <c r="C2" s="8" t="s">
        <v>66</v>
      </c>
      <c r="D2" s="8">
        <v>9.570194524E9</v>
      </c>
      <c r="E2" s="8">
        <v>7.14</v>
      </c>
      <c r="F2" s="10" t="s">
        <v>73</v>
      </c>
      <c r="G2" s="10" t="s">
        <v>85</v>
      </c>
      <c r="H2" s="8" t="s">
        <v>59</v>
      </c>
      <c r="I2" s="8" t="s">
        <v>51</v>
      </c>
      <c r="J2" s="8" t="s">
        <v>93</v>
      </c>
      <c r="K2" s="11"/>
    </row>
    <row r="3" ht="22.5" customHeight="1">
      <c r="A3" s="12">
        <v>46100.645992060185</v>
      </c>
      <c r="B3" s="13" t="s">
        <v>98</v>
      </c>
      <c r="C3" s="13" t="s">
        <v>34</v>
      </c>
      <c r="D3" s="13">
        <v>8.885312229E9</v>
      </c>
      <c r="E3" s="13">
        <v>7.64</v>
      </c>
      <c r="F3" s="14" t="s">
        <v>106</v>
      </c>
      <c r="G3" s="14" t="s">
        <v>114</v>
      </c>
      <c r="H3" s="13" t="s">
        <v>59</v>
      </c>
      <c r="I3" s="13" t="s">
        <v>51</v>
      </c>
      <c r="J3" s="13" t="s">
        <v>122</v>
      </c>
    </row>
    <row r="4" ht="22.5" customHeight="1">
      <c r="A4" s="12">
        <v>46100.64697217593</v>
      </c>
      <c r="B4" s="13" t="s">
        <v>126</v>
      </c>
      <c r="C4" s="13" t="s">
        <v>128</v>
      </c>
      <c r="D4" s="13">
        <v>7.358161922E9</v>
      </c>
      <c r="E4" s="13">
        <v>8.07</v>
      </c>
      <c r="F4" s="14" t="s">
        <v>131</v>
      </c>
      <c r="G4" s="14" t="s">
        <v>141</v>
      </c>
      <c r="H4" s="13" t="s">
        <v>59</v>
      </c>
      <c r="I4" s="13" t="s">
        <v>51</v>
      </c>
      <c r="J4" s="13" t="s">
        <v>155</v>
      </c>
    </row>
    <row r="5" ht="22.5" customHeight="1">
      <c r="A5" s="12">
        <v>46100.648044733796</v>
      </c>
      <c r="B5" s="13" t="s">
        <v>27</v>
      </c>
      <c r="C5" s="13" t="s">
        <v>26</v>
      </c>
      <c r="D5" s="13">
        <v>9.361951624E9</v>
      </c>
      <c r="E5" s="13">
        <v>7.09</v>
      </c>
      <c r="F5" s="14" t="s">
        <v>166</v>
      </c>
      <c r="G5" s="14" t="s">
        <v>176</v>
      </c>
      <c r="H5" s="13" t="s">
        <v>59</v>
      </c>
      <c r="I5" s="13" t="s">
        <v>51</v>
      </c>
      <c r="J5" s="13" t="s">
        <v>189</v>
      </c>
    </row>
    <row r="6" ht="22.5" customHeight="1">
      <c r="A6" s="12">
        <v>46100.6481708912</v>
      </c>
      <c r="B6" s="13" t="s">
        <v>104</v>
      </c>
      <c r="C6" s="13" t="s">
        <v>108</v>
      </c>
      <c r="D6" s="13">
        <v>9.81374348E9</v>
      </c>
      <c r="E6" s="13">
        <v>7.95</v>
      </c>
      <c r="F6" s="14" t="s">
        <v>200</v>
      </c>
      <c r="G6" s="14" t="s">
        <v>208</v>
      </c>
      <c r="H6" s="13" t="s">
        <v>59</v>
      </c>
      <c r="I6" s="13" t="s">
        <v>51</v>
      </c>
      <c r="J6" s="13" t="s">
        <v>223</v>
      </c>
    </row>
    <row r="7" ht="22.5" customHeight="1">
      <c r="A7" s="12">
        <v>46100.65037028935</v>
      </c>
      <c r="B7" s="13" t="s">
        <v>227</v>
      </c>
      <c r="C7" s="13" t="s">
        <v>229</v>
      </c>
      <c r="D7" s="13">
        <v>8.309365976E9</v>
      </c>
      <c r="E7" s="13">
        <v>8.91</v>
      </c>
      <c r="F7" s="14" t="s">
        <v>234</v>
      </c>
      <c r="G7" s="14" t="s">
        <v>248</v>
      </c>
      <c r="H7" s="13" t="s">
        <v>59</v>
      </c>
      <c r="I7" s="13" t="s">
        <v>51</v>
      </c>
      <c r="J7" s="13" t="s">
        <v>262</v>
      </c>
    </row>
    <row r="8" ht="22.5" customHeight="1">
      <c r="A8" s="12">
        <v>46100.65278304398</v>
      </c>
      <c r="B8" s="13" t="s">
        <v>74</v>
      </c>
      <c r="C8" s="13" t="s">
        <v>76</v>
      </c>
      <c r="D8" s="13">
        <v>9.142347554E9</v>
      </c>
      <c r="E8" s="13">
        <v>7.3</v>
      </c>
      <c r="F8" s="14" t="s">
        <v>79</v>
      </c>
      <c r="G8" s="14" t="s">
        <v>83</v>
      </c>
      <c r="H8" s="13" t="s">
        <v>59</v>
      </c>
      <c r="I8" s="13" t="s">
        <v>51</v>
      </c>
      <c r="J8" s="13" t="s">
        <v>287</v>
      </c>
    </row>
    <row r="9" ht="22.5" customHeight="1">
      <c r="A9" s="12">
        <v>46100.653366122686</v>
      </c>
      <c r="B9" s="13" t="s">
        <v>291</v>
      </c>
      <c r="C9" s="13" t="s">
        <v>174</v>
      </c>
      <c r="D9" s="13">
        <v>7.320010123E9</v>
      </c>
      <c r="E9" s="13">
        <v>7.05</v>
      </c>
      <c r="F9" s="14" t="s">
        <v>297</v>
      </c>
      <c r="G9" s="14" t="s">
        <v>307</v>
      </c>
      <c r="H9" s="13" t="s">
        <v>59</v>
      </c>
      <c r="I9" s="13" t="s">
        <v>51</v>
      </c>
      <c r="J9" s="13" t="s">
        <v>315</v>
      </c>
    </row>
    <row r="10" ht="22.5" customHeight="1">
      <c r="A10" s="12">
        <v>46100.66407717593</v>
      </c>
      <c r="B10" s="13" t="s">
        <v>318</v>
      </c>
      <c r="C10" s="13" t="s">
        <v>322</v>
      </c>
      <c r="D10" s="13">
        <v>6.367755955E9</v>
      </c>
      <c r="E10" s="13">
        <v>7.24</v>
      </c>
      <c r="F10" s="14" t="s">
        <v>324</v>
      </c>
      <c r="G10" s="14" t="s">
        <v>333</v>
      </c>
      <c r="H10" s="13" t="s">
        <v>59</v>
      </c>
      <c r="I10" s="13" t="s">
        <v>51</v>
      </c>
      <c r="J10" s="13" t="s">
        <v>347</v>
      </c>
    </row>
    <row r="11" ht="22.5" customHeight="1">
      <c r="A11" s="12">
        <v>46100.674590243056</v>
      </c>
      <c r="B11" s="13" t="s">
        <v>352</v>
      </c>
      <c r="C11" s="13" t="s">
        <v>355</v>
      </c>
      <c r="D11" s="13">
        <v>6.394801207E9</v>
      </c>
      <c r="E11" s="13">
        <v>7.28</v>
      </c>
      <c r="F11" s="14" t="s">
        <v>359</v>
      </c>
      <c r="G11" s="14" t="s">
        <v>369</v>
      </c>
      <c r="H11" s="13" t="s">
        <v>59</v>
      </c>
      <c r="I11" s="13" t="s">
        <v>51</v>
      </c>
      <c r="J11" s="13" t="s">
        <v>377</v>
      </c>
    </row>
    <row r="12" ht="22.5" customHeight="1">
      <c r="A12" s="12">
        <v>46100.68929087963</v>
      </c>
      <c r="B12" s="13" t="s">
        <v>381</v>
      </c>
      <c r="C12" s="13" t="s">
        <v>246</v>
      </c>
      <c r="D12" s="13">
        <v>8.017767311E9</v>
      </c>
      <c r="E12" s="13">
        <v>6.64</v>
      </c>
      <c r="F12" s="14" t="s">
        <v>251</v>
      </c>
      <c r="G12" s="14" t="s">
        <v>260</v>
      </c>
      <c r="H12" s="13" t="s">
        <v>59</v>
      </c>
      <c r="I12" s="13" t="s">
        <v>51</v>
      </c>
      <c r="J12" s="13" t="s">
        <v>411</v>
      </c>
    </row>
    <row r="13" ht="22.5" customHeight="1">
      <c r="A13" s="12">
        <v>46100.70315778935</v>
      </c>
      <c r="B13" s="13" t="s">
        <v>115</v>
      </c>
      <c r="C13" s="13" t="s">
        <v>113</v>
      </c>
      <c r="D13" s="13">
        <v>9.999306403E9</v>
      </c>
      <c r="E13" s="13">
        <v>7.45</v>
      </c>
      <c r="F13" s="14" t="s">
        <v>429</v>
      </c>
      <c r="G13" s="14" t="s">
        <v>440</v>
      </c>
      <c r="H13" s="13" t="s">
        <v>59</v>
      </c>
      <c r="I13" s="13" t="s">
        <v>51</v>
      </c>
      <c r="J13" s="13" t="s">
        <v>461</v>
      </c>
    </row>
    <row r="14" ht="22.5" customHeight="1">
      <c r="A14" s="12">
        <v>46100.711155729165</v>
      </c>
      <c r="B14" s="13" t="s">
        <v>472</v>
      </c>
      <c r="C14" s="13" t="s">
        <v>476</v>
      </c>
      <c r="D14" s="13">
        <v>9.620042111E9</v>
      </c>
      <c r="E14" s="13">
        <v>7.55</v>
      </c>
      <c r="F14" s="14" t="s">
        <v>483</v>
      </c>
      <c r="G14" s="14" t="s">
        <v>496</v>
      </c>
      <c r="H14" s="13" t="s">
        <v>59</v>
      </c>
      <c r="I14" s="13" t="s">
        <v>51</v>
      </c>
      <c r="J14" s="13" t="s">
        <v>514</v>
      </c>
    </row>
    <row r="15" ht="22.5" customHeight="1">
      <c r="A15" s="12">
        <v>46100.74189496528</v>
      </c>
      <c r="B15" s="13" t="s">
        <v>516</v>
      </c>
      <c r="C15" s="13" t="s">
        <v>473</v>
      </c>
      <c r="D15" s="13">
        <v>6.30561488E9</v>
      </c>
      <c r="E15" s="13">
        <v>7.16</v>
      </c>
      <c r="F15" s="14" t="s">
        <v>523</v>
      </c>
      <c r="G15" s="14" t="s">
        <v>531</v>
      </c>
      <c r="H15" s="13" t="s">
        <v>59</v>
      </c>
      <c r="I15" s="13" t="s">
        <v>51</v>
      </c>
      <c r="J15" s="13" t="s">
        <v>541</v>
      </c>
    </row>
    <row r="16" ht="22.5" customHeight="1">
      <c r="A16" s="12">
        <v>46100.75733241898</v>
      </c>
      <c r="B16" s="13" t="s">
        <v>422</v>
      </c>
      <c r="C16" s="13" t="s">
        <v>425</v>
      </c>
      <c r="D16" s="13">
        <v>9.140525531E9</v>
      </c>
      <c r="E16" s="13">
        <v>7.19</v>
      </c>
      <c r="F16" s="14" t="s">
        <v>428</v>
      </c>
      <c r="G16" s="14" t="s">
        <v>433</v>
      </c>
      <c r="H16" s="13" t="s">
        <v>49</v>
      </c>
      <c r="I16" s="13" t="s">
        <v>51</v>
      </c>
      <c r="J16" s="13" t="s">
        <v>572</v>
      </c>
    </row>
    <row r="17" ht="22.5" customHeight="1">
      <c r="A17" s="12">
        <v>46106.66339313657</v>
      </c>
      <c r="B17" s="13" t="s">
        <v>453</v>
      </c>
      <c r="C17" s="13" t="s">
        <v>451</v>
      </c>
      <c r="D17" s="13">
        <v>9.974747348E9</v>
      </c>
      <c r="E17" s="13">
        <v>8.35</v>
      </c>
      <c r="F17" s="14" t="s">
        <v>580</v>
      </c>
      <c r="G17" s="14" t="s">
        <v>590</v>
      </c>
      <c r="H17" s="13" t="s">
        <v>59</v>
      </c>
      <c r="I17" s="13" t="s">
        <v>603</v>
      </c>
      <c r="K17" s="13" t="s">
        <v>605</v>
      </c>
    </row>
    <row r="18" ht="22.5" customHeight="1">
      <c r="A18" s="12">
        <v>46106.6665569676</v>
      </c>
      <c r="B18" s="13" t="s">
        <v>609</v>
      </c>
      <c r="C18" s="13" t="s">
        <v>611</v>
      </c>
      <c r="D18" s="13">
        <v>7.439629745E9</v>
      </c>
      <c r="E18" s="13">
        <v>6.87</v>
      </c>
      <c r="F18" s="14" t="s">
        <v>618</v>
      </c>
      <c r="G18" s="14" t="s">
        <v>631</v>
      </c>
      <c r="H18" s="13" t="s">
        <v>59</v>
      </c>
      <c r="I18" s="13" t="s">
        <v>603</v>
      </c>
      <c r="K18" s="13" t="s">
        <v>644</v>
      </c>
    </row>
    <row r="19" ht="22.5" customHeight="1">
      <c r="A19" s="12">
        <v>46106.69525040509</v>
      </c>
      <c r="B19" s="13" t="s">
        <v>650</v>
      </c>
      <c r="C19" s="13" t="s">
        <v>653</v>
      </c>
      <c r="D19" s="13">
        <v>9.546667831E9</v>
      </c>
      <c r="E19" s="13">
        <v>7.03</v>
      </c>
      <c r="F19" s="14" t="s">
        <v>658</v>
      </c>
      <c r="G19" s="14" t="s">
        <v>663</v>
      </c>
      <c r="H19" s="13" t="s">
        <v>59</v>
      </c>
      <c r="I19" s="13" t="s">
        <v>603</v>
      </c>
      <c r="K19" s="13" t="s">
        <v>671</v>
      </c>
    </row>
    <row r="20" ht="22.5" customHeight="1">
      <c r="A20" s="12">
        <v>46106.75173173611</v>
      </c>
      <c r="B20" s="13" t="s">
        <v>184</v>
      </c>
      <c r="C20" s="13" t="s">
        <v>183</v>
      </c>
      <c r="D20" s="13">
        <v>8.588067701E9</v>
      </c>
      <c r="E20" s="13">
        <v>6.73</v>
      </c>
      <c r="F20" s="14" t="s">
        <v>678</v>
      </c>
      <c r="G20" s="14" t="s">
        <v>689</v>
      </c>
      <c r="H20" s="13" t="s">
        <v>59</v>
      </c>
      <c r="I20" s="13" t="s">
        <v>603</v>
      </c>
      <c r="K20" s="13" t="s">
        <v>700</v>
      </c>
    </row>
    <row r="21" ht="22.5" customHeight="1">
      <c r="A21" s="12">
        <v>46106.77262645833</v>
      </c>
      <c r="B21" s="19" t="s">
        <v>704</v>
      </c>
      <c r="C21" s="13" t="s">
        <v>362</v>
      </c>
      <c r="D21" s="13">
        <v>8.486028178E9</v>
      </c>
      <c r="E21" s="13">
        <v>6.86</v>
      </c>
      <c r="F21" s="14" t="s">
        <v>710</v>
      </c>
      <c r="G21" s="14" t="s">
        <v>718</v>
      </c>
      <c r="H21" s="13" t="s">
        <v>59</v>
      </c>
      <c r="I21" s="13" t="s">
        <v>603</v>
      </c>
      <c r="K21" s="13" t="s">
        <v>733</v>
      </c>
    </row>
    <row r="22" ht="22.5" customHeight="1">
      <c r="A22" s="12">
        <v>46106.79389159722</v>
      </c>
      <c r="B22" s="13" t="s">
        <v>746</v>
      </c>
      <c r="C22" s="13" t="s">
        <v>546</v>
      </c>
      <c r="D22" s="13">
        <v>9.162809149E9</v>
      </c>
      <c r="E22" s="13">
        <v>8.57</v>
      </c>
      <c r="F22" s="14" t="s">
        <v>755</v>
      </c>
      <c r="G22" s="14" t="s">
        <v>765</v>
      </c>
      <c r="H22" s="13" t="s">
        <v>49</v>
      </c>
      <c r="I22" s="13" t="s">
        <v>603</v>
      </c>
      <c r="K22" s="13" t="s">
        <v>770</v>
      </c>
    </row>
    <row r="23" ht="22.5" customHeight="1">
      <c r="A23" s="12">
        <v>46106.79559685185</v>
      </c>
      <c r="B23" s="13" t="s">
        <v>778</v>
      </c>
      <c r="C23" s="13" t="s">
        <v>421</v>
      </c>
      <c r="D23" s="13">
        <v>9.828251124E9</v>
      </c>
      <c r="E23" s="13">
        <v>7.41</v>
      </c>
      <c r="F23" s="14" t="s">
        <v>788</v>
      </c>
      <c r="G23" s="14" t="s">
        <v>807</v>
      </c>
      <c r="H23" s="13" t="s">
        <v>59</v>
      </c>
      <c r="I23" s="13" t="s">
        <v>603</v>
      </c>
      <c r="K23" s="13" t="s">
        <v>823</v>
      </c>
    </row>
    <row r="24" ht="22.5" customHeight="1">
      <c r="A24" s="12">
        <v>46107.56585951389</v>
      </c>
      <c r="B24" s="13" t="s">
        <v>334</v>
      </c>
      <c r="C24" s="13" t="s">
        <v>337</v>
      </c>
      <c r="D24" s="13">
        <v>7.661838282E9</v>
      </c>
      <c r="E24" s="13">
        <v>8.4</v>
      </c>
      <c r="F24" s="14" t="s">
        <v>840</v>
      </c>
      <c r="G24" s="14" t="s">
        <v>361</v>
      </c>
      <c r="H24" s="13" t="s">
        <v>49</v>
      </c>
      <c r="I24" s="13" t="s">
        <v>51</v>
      </c>
      <c r="J24" s="13" t="s">
        <v>871</v>
      </c>
    </row>
    <row r="25" ht="22.5" customHeight="1">
      <c r="A25" s="12">
        <v>46107.5834584838</v>
      </c>
      <c r="B25" s="13" t="s">
        <v>557</v>
      </c>
      <c r="C25" s="13" t="s">
        <v>560</v>
      </c>
      <c r="D25" s="13">
        <v>8.237960551E9</v>
      </c>
      <c r="E25" s="13">
        <v>6.45</v>
      </c>
      <c r="F25" s="14" t="s">
        <v>884</v>
      </c>
      <c r="G25" s="14" t="s">
        <v>576</v>
      </c>
      <c r="H25" s="13" t="s">
        <v>59</v>
      </c>
      <c r="I25" s="13" t="s">
        <v>51</v>
      </c>
      <c r="J25" s="13" t="s">
        <v>903</v>
      </c>
    </row>
    <row r="26" ht="22.5" customHeight="1">
      <c r="A26" s="12">
        <v>46107.594069513885</v>
      </c>
      <c r="B26" s="13" t="s">
        <v>905</v>
      </c>
      <c r="C26" s="13" t="s">
        <v>907</v>
      </c>
      <c r="D26" s="13">
        <v>9.826229443E9</v>
      </c>
      <c r="E26" s="13">
        <v>7.61</v>
      </c>
      <c r="F26" s="14" t="s">
        <v>911</v>
      </c>
      <c r="G26" s="14" t="s">
        <v>920</v>
      </c>
      <c r="H26" s="13" t="s">
        <v>49</v>
      </c>
      <c r="I26" s="13" t="s">
        <v>51</v>
      </c>
      <c r="J26" s="13" t="s">
        <v>939</v>
      </c>
    </row>
    <row r="27" ht="22.5" customHeight="1">
      <c r="A27" s="12">
        <v>46107.60291402778</v>
      </c>
      <c r="B27" s="13" t="s">
        <v>775</v>
      </c>
      <c r="C27" s="13" t="s">
        <v>774</v>
      </c>
      <c r="D27" s="13">
        <v>7.26297273E9</v>
      </c>
      <c r="E27" s="13">
        <v>6.9</v>
      </c>
      <c r="F27" s="14" t="s">
        <v>950</v>
      </c>
      <c r="G27" s="14" t="s">
        <v>950</v>
      </c>
      <c r="H27" s="13" t="s">
        <v>59</v>
      </c>
      <c r="I27" s="13" t="s">
        <v>51</v>
      </c>
      <c r="J27" s="13" t="s">
        <v>959</v>
      </c>
    </row>
    <row r="28" ht="22.5" customHeight="1">
      <c r="A28" s="12">
        <v>46107.603269618055</v>
      </c>
      <c r="B28" s="13" t="s">
        <v>966</v>
      </c>
      <c r="C28" s="13" t="s">
        <v>969</v>
      </c>
      <c r="D28" s="13">
        <v>8.700524258E9</v>
      </c>
      <c r="E28" s="13">
        <v>8.06</v>
      </c>
      <c r="F28" s="14" t="s">
        <v>978</v>
      </c>
      <c r="G28" s="14" t="s">
        <v>989</v>
      </c>
      <c r="H28" s="13" t="s">
        <v>59</v>
      </c>
      <c r="I28" s="13" t="s">
        <v>51</v>
      </c>
      <c r="J28" s="13" t="s">
        <v>1000</v>
      </c>
    </row>
    <row r="29" ht="22.5" customHeight="1">
      <c r="A29" s="12">
        <v>46107.605036458335</v>
      </c>
      <c r="B29" s="13" t="s">
        <v>1004</v>
      </c>
      <c r="C29" s="13" t="s">
        <v>99</v>
      </c>
      <c r="D29" s="13">
        <v>8.690625704E9</v>
      </c>
      <c r="E29" s="13">
        <v>8.05</v>
      </c>
      <c r="F29" s="14" t="s">
        <v>1012</v>
      </c>
      <c r="G29" s="14" t="s">
        <v>951</v>
      </c>
      <c r="H29" s="13" t="s">
        <v>59</v>
      </c>
      <c r="I29" s="13" t="s">
        <v>51</v>
      </c>
      <c r="J29" s="13" t="s">
        <v>1032</v>
      </c>
    </row>
    <row r="30" ht="22.5" customHeight="1">
      <c r="A30" s="12">
        <v>46107.60555278935</v>
      </c>
      <c r="B30" s="13" t="s">
        <v>62</v>
      </c>
      <c r="C30" s="13" t="s">
        <v>68</v>
      </c>
      <c r="D30" s="13">
        <v>9.350957047E9</v>
      </c>
      <c r="E30" s="13">
        <v>7.31</v>
      </c>
      <c r="F30" s="14" t="s">
        <v>1045</v>
      </c>
      <c r="G30" s="14" t="s">
        <v>130</v>
      </c>
      <c r="H30" s="13" t="s">
        <v>59</v>
      </c>
      <c r="I30" s="13" t="s">
        <v>51</v>
      </c>
      <c r="J30" s="13" t="s">
        <v>1064</v>
      </c>
    </row>
    <row r="31" ht="22.5" customHeight="1">
      <c r="A31" s="12">
        <v>46107.60560944444</v>
      </c>
      <c r="B31" s="13" t="s">
        <v>210</v>
      </c>
      <c r="C31" s="13" t="s">
        <v>212</v>
      </c>
      <c r="D31" s="13">
        <v>8.54403245E9</v>
      </c>
      <c r="E31" s="13">
        <v>6.41</v>
      </c>
      <c r="F31" s="14" t="s">
        <v>1070</v>
      </c>
      <c r="G31" s="14" t="s">
        <v>224</v>
      </c>
      <c r="H31" s="13" t="s">
        <v>59</v>
      </c>
      <c r="I31" s="13" t="s">
        <v>51</v>
      </c>
      <c r="J31" s="13" t="s">
        <v>1082</v>
      </c>
    </row>
    <row r="32" ht="22.5" customHeight="1">
      <c r="A32" s="12">
        <v>46107.60829521991</v>
      </c>
      <c r="B32" s="13" t="s">
        <v>1084</v>
      </c>
      <c r="C32" s="13" t="s">
        <v>1087</v>
      </c>
      <c r="D32" s="13">
        <v>6.383130781E9</v>
      </c>
      <c r="E32" s="13">
        <v>8.18</v>
      </c>
      <c r="F32" s="14" t="s">
        <v>1091</v>
      </c>
      <c r="G32" s="14" t="s">
        <v>1098</v>
      </c>
      <c r="H32" s="13" t="s">
        <v>59</v>
      </c>
      <c r="I32" s="13" t="s">
        <v>51</v>
      </c>
      <c r="J32" s="13" t="s">
        <v>1104</v>
      </c>
    </row>
    <row r="33" ht="22.5" customHeight="1">
      <c r="A33" s="12">
        <v>46107.60952694445</v>
      </c>
      <c r="B33" s="13" t="s">
        <v>144</v>
      </c>
      <c r="C33" s="13" t="s">
        <v>143</v>
      </c>
      <c r="D33" s="13">
        <v>9.306019147E9</v>
      </c>
      <c r="E33" s="13">
        <v>7.79</v>
      </c>
      <c r="F33" s="14" t="s">
        <v>1116</v>
      </c>
      <c r="G33" s="14" t="s">
        <v>1126</v>
      </c>
      <c r="H33" s="13" t="s">
        <v>49</v>
      </c>
      <c r="I33" s="13" t="s">
        <v>51</v>
      </c>
      <c r="J33" s="13" t="s">
        <v>1135</v>
      </c>
    </row>
    <row r="34" ht="22.5" customHeight="1">
      <c r="A34" s="12">
        <v>46107.61165748842</v>
      </c>
      <c r="B34" s="13" t="s">
        <v>1138</v>
      </c>
      <c r="C34" s="13" t="s">
        <v>893</v>
      </c>
      <c r="D34" s="13">
        <v>9.953757794E9</v>
      </c>
      <c r="E34" s="13">
        <v>8.86</v>
      </c>
      <c r="F34" s="14" t="s">
        <v>1144</v>
      </c>
      <c r="G34" s="14" t="s">
        <v>1150</v>
      </c>
      <c r="H34" s="13" t="s">
        <v>49</v>
      </c>
      <c r="I34" s="13" t="s">
        <v>51</v>
      </c>
      <c r="J34" s="13" t="s">
        <v>1157</v>
      </c>
    </row>
    <row r="35" ht="22.5" customHeight="1">
      <c r="A35" s="12">
        <v>46107.613690983795</v>
      </c>
      <c r="B35" s="13" t="s">
        <v>19</v>
      </c>
      <c r="C35" s="13" t="s">
        <v>18</v>
      </c>
      <c r="D35" s="13">
        <v>8.882475437E9</v>
      </c>
      <c r="E35" s="13">
        <v>8.53</v>
      </c>
      <c r="F35" s="14" t="s">
        <v>1163</v>
      </c>
      <c r="G35" s="14" t="s">
        <v>321</v>
      </c>
      <c r="H35" s="13" t="s">
        <v>59</v>
      </c>
      <c r="I35" s="13" t="s">
        <v>51</v>
      </c>
      <c r="J35" s="13" t="s">
        <v>1175</v>
      </c>
    </row>
    <row r="36" ht="22.5" customHeight="1">
      <c r="A36" s="12">
        <v>46107.61732118056</v>
      </c>
      <c r="B36" s="13" t="s">
        <v>1179</v>
      </c>
      <c r="C36" s="13" t="s">
        <v>564</v>
      </c>
      <c r="D36" s="13">
        <v>7.760092091E9</v>
      </c>
      <c r="E36" s="13">
        <v>7.81</v>
      </c>
      <c r="F36" s="14" t="s">
        <v>1183</v>
      </c>
      <c r="G36" s="14" t="s">
        <v>1192</v>
      </c>
      <c r="H36" s="13" t="s">
        <v>59</v>
      </c>
      <c r="I36" s="13" t="s">
        <v>51</v>
      </c>
      <c r="J36" s="13" t="s">
        <v>1209</v>
      </c>
    </row>
    <row r="37" ht="22.5" customHeight="1">
      <c r="A37" s="12">
        <v>46107.62205659722</v>
      </c>
      <c r="B37" s="13" t="s">
        <v>1075</v>
      </c>
      <c r="C37" s="13" t="s">
        <v>1074</v>
      </c>
      <c r="D37" s="13">
        <v>9.970013662E9</v>
      </c>
      <c r="E37" s="13">
        <v>8.47</v>
      </c>
      <c r="F37" s="14" t="s">
        <v>1225</v>
      </c>
      <c r="G37" s="14" t="s">
        <v>1241</v>
      </c>
      <c r="H37" s="13" t="s">
        <v>59</v>
      </c>
      <c r="I37" s="13" t="s">
        <v>51</v>
      </c>
      <c r="J37" s="13" t="s">
        <v>1251</v>
      </c>
    </row>
    <row r="38" ht="22.5" customHeight="1">
      <c r="A38" s="12">
        <v>46107.62618820602</v>
      </c>
      <c r="B38" s="13" t="s">
        <v>1253</v>
      </c>
      <c r="C38" s="13" t="s">
        <v>373</v>
      </c>
      <c r="D38" s="13">
        <v>9.820298457E9</v>
      </c>
      <c r="E38" s="13">
        <v>8.48</v>
      </c>
      <c r="F38" s="14" t="s">
        <v>1259</v>
      </c>
      <c r="G38" s="14" t="s">
        <v>1265</v>
      </c>
      <c r="H38" s="13" t="s">
        <v>49</v>
      </c>
      <c r="I38" s="13" t="s">
        <v>51</v>
      </c>
      <c r="J38" s="13" t="s">
        <v>1279</v>
      </c>
    </row>
    <row r="39" ht="22.5" customHeight="1">
      <c r="A39" s="12">
        <v>46107.626676712964</v>
      </c>
      <c r="B39" s="13" t="s">
        <v>1282</v>
      </c>
      <c r="C39" s="13" t="s">
        <v>142</v>
      </c>
      <c r="D39" s="13">
        <v>7.667717756E9</v>
      </c>
      <c r="E39" s="13">
        <v>6.44</v>
      </c>
      <c r="F39" s="14" t="s">
        <v>1287</v>
      </c>
      <c r="G39" s="14" t="s">
        <v>1287</v>
      </c>
      <c r="H39" s="13" t="s">
        <v>59</v>
      </c>
      <c r="I39" s="13" t="s">
        <v>51</v>
      </c>
      <c r="J39" s="13" t="s">
        <v>1303</v>
      </c>
    </row>
    <row r="40" ht="22.5" customHeight="1">
      <c r="A40" s="12">
        <v>46107.630909189815</v>
      </c>
      <c r="B40" s="13" t="s">
        <v>61</v>
      </c>
      <c r="C40" s="13" t="s">
        <v>60</v>
      </c>
      <c r="D40" s="13">
        <v>9.309276204E9</v>
      </c>
      <c r="E40" s="13">
        <v>6.64</v>
      </c>
      <c r="F40" s="14" t="s">
        <v>1309</v>
      </c>
      <c r="G40" s="14" t="s">
        <v>1316</v>
      </c>
      <c r="H40" s="13" t="s">
        <v>49</v>
      </c>
      <c r="I40" s="13" t="s">
        <v>51</v>
      </c>
      <c r="J40" s="13" t="s">
        <v>1324</v>
      </c>
    </row>
    <row r="41" ht="22.5" customHeight="1">
      <c r="A41" s="12">
        <v>46107.641325439814</v>
      </c>
      <c r="B41" s="13" t="s">
        <v>856</v>
      </c>
      <c r="C41" s="13" t="s">
        <v>855</v>
      </c>
      <c r="D41" s="13">
        <v>7.79816868E9</v>
      </c>
      <c r="E41" s="13">
        <v>9.02</v>
      </c>
      <c r="F41" s="14" t="s">
        <v>1331</v>
      </c>
      <c r="G41" s="14" t="s">
        <v>1338</v>
      </c>
      <c r="H41" s="13" t="s">
        <v>59</v>
      </c>
      <c r="I41" s="13" t="s">
        <v>51</v>
      </c>
      <c r="J41" s="13" t="s">
        <v>1348</v>
      </c>
    </row>
    <row r="42" ht="22.5" customHeight="1">
      <c r="A42" s="12">
        <v>46107.64466160879</v>
      </c>
      <c r="B42" s="13" t="s">
        <v>1353</v>
      </c>
      <c r="C42" s="13" t="s">
        <v>1294</v>
      </c>
      <c r="D42" s="13">
        <v>9.312247292E9</v>
      </c>
      <c r="E42" s="13">
        <v>7.89</v>
      </c>
      <c r="F42" s="14" t="s">
        <v>1362</v>
      </c>
      <c r="G42" s="14" t="s">
        <v>1375</v>
      </c>
      <c r="H42" s="13" t="s">
        <v>49</v>
      </c>
      <c r="I42" s="13" t="s">
        <v>51</v>
      </c>
      <c r="J42" s="13" t="s">
        <v>1387</v>
      </c>
    </row>
    <row r="43" ht="22.5" customHeight="1">
      <c r="A43" s="12">
        <v>46107.648909571755</v>
      </c>
      <c r="B43" s="13" t="s">
        <v>1391</v>
      </c>
      <c r="C43" s="13" t="s">
        <v>1266</v>
      </c>
      <c r="D43" s="13">
        <v>9.052636607E9</v>
      </c>
      <c r="E43" s="13">
        <v>7.52</v>
      </c>
      <c r="F43" s="14" t="s">
        <v>1400</v>
      </c>
      <c r="G43" s="14" t="s">
        <v>1407</v>
      </c>
      <c r="H43" s="13" t="s">
        <v>49</v>
      </c>
      <c r="I43" s="13" t="s">
        <v>51</v>
      </c>
      <c r="J43" s="13" t="s">
        <v>1415</v>
      </c>
    </row>
    <row r="44" ht="22.5" customHeight="1">
      <c r="A44" s="12">
        <v>46107.65513289352</v>
      </c>
      <c r="B44" s="13" t="s">
        <v>1419</v>
      </c>
      <c r="C44" s="13" t="s">
        <v>211</v>
      </c>
      <c r="D44" s="13">
        <v>6.381288446E9</v>
      </c>
      <c r="E44" s="13">
        <v>6.94</v>
      </c>
      <c r="F44" s="14" t="s">
        <v>1427</v>
      </c>
      <c r="G44" s="14" t="s">
        <v>1433</v>
      </c>
      <c r="H44" s="13" t="s">
        <v>59</v>
      </c>
      <c r="I44" s="13" t="s">
        <v>51</v>
      </c>
      <c r="J44" s="13" t="s">
        <v>1446</v>
      </c>
    </row>
    <row r="45" ht="22.5" customHeight="1">
      <c r="A45" s="12">
        <v>46107.658304502314</v>
      </c>
      <c r="B45" s="13" t="s">
        <v>623</v>
      </c>
      <c r="C45" s="13" t="s">
        <v>620</v>
      </c>
      <c r="D45" s="13">
        <v>9.631908675E9</v>
      </c>
      <c r="E45" s="13">
        <v>9.11</v>
      </c>
      <c r="F45" s="14" t="s">
        <v>1454</v>
      </c>
      <c r="G45" s="14" t="s">
        <v>1456</v>
      </c>
      <c r="H45" s="13" t="s">
        <v>59</v>
      </c>
      <c r="I45" s="13" t="s">
        <v>603</v>
      </c>
      <c r="K45" s="13" t="s">
        <v>1458</v>
      </c>
    </row>
    <row r="46" ht="22.5" customHeight="1">
      <c r="A46" s="12">
        <v>46107.66827675926</v>
      </c>
      <c r="B46" s="13" t="s">
        <v>1460</v>
      </c>
      <c r="C46" s="13" t="s">
        <v>87</v>
      </c>
      <c r="D46" s="13">
        <v>7.903766709E9</v>
      </c>
      <c r="E46" s="13">
        <v>8.1</v>
      </c>
      <c r="F46" s="14" t="s">
        <v>1462</v>
      </c>
      <c r="G46" s="14" t="s">
        <v>1465</v>
      </c>
      <c r="H46" s="13" t="s">
        <v>59</v>
      </c>
      <c r="I46" s="13" t="s">
        <v>51</v>
      </c>
      <c r="J46" s="13" t="s">
        <v>1471</v>
      </c>
    </row>
    <row r="47" ht="22.5" customHeight="1">
      <c r="A47" s="12">
        <v>46107.67899623842</v>
      </c>
      <c r="B47" s="13" t="s">
        <v>1474</v>
      </c>
      <c r="C47" s="13" t="s">
        <v>1181</v>
      </c>
      <c r="D47" s="13">
        <v>9.380320085E9</v>
      </c>
      <c r="E47" s="13">
        <v>6.4</v>
      </c>
      <c r="F47" s="14" t="s">
        <v>1477</v>
      </c>
      <c r="G47" s="14" t="s">
        <v>1480</v>
      </c>
      <c r="H47" s="13" t="s">
        <v>49</v>
      </c>
      <c r="I47" s="13" t="s">
        <v>51</v>
      </c>
      <c r="J47" s="13" t="s">
        <v>1483</v>
      </c>
    </row>
    <row r="48" ht="22.5" customHeight="1">
      <c r="A48" s="12">
        <v>46107.679000081014</v>
      </c>
      <c r="B48" s="13" t="s">
        <v>952</v>
      </c>
      <c r="C48" s="13" t="s">
        <v>949</v>
      </c>
      <c r="D48" s="13">
        <v>8.697001351E9</v>
      </c>
      <c r="E48" s="13">
        <v>8.35</v>
      </c>
      <c r="F48" s="14" t="s">
        <v>1151</v>
      </c>
      <c r="G48" s="14" t="s">
        <v>1159</v>
      </c>
      <c r="H48" s="13" t="s">
        <v>59</v>
      </c>
      <c r="I48" s="13" t="s">
        <v>603</v>
      </c>
      <c r="K48" s="13" t="s">
        <v>1493</v>
      </c>
    </row>
    <row r="49" ht="22.5" customHeight="1">
      <c r="A49" s="12">
        <v>46107.68394815973</v>
      </c>
      <c r="B49" s="13" t="s">
        <v>1496</v>
      </c>
      <c r="C49" s="32" t="s">
        <v>508</v>
      </c>
      <c r="D49" s="13">
        <v>8.870129519E9</v>
      </c>
      <c r="E49" s="13">
        <v>7.12</v>
      </c>
      <c r="F49" s="14" t="s">
        <v>1499</v>
      </c>
      <c r="G49" s="14" t="s">
        <v>1212</v>
      </c>
      <c r="H49" s="13" t="s">
        <v>59</v>
      </c>
      <c r="I49" s="13" t="s">
        <v>603</v>
      </c>
      <c r="K49" s="13" t="s">
        <v>1504</v>
      </c>
    </row>
    <row r="50" ht="22.5" customHeight="1">
      <c r="A50" s="12">
        <v>46107.71865847222</v>
      </c>
      <c r="B50" s="13" t="s">
        <v>341</v>
      </c>
      <c r="C50" s="13" t="s">
        <v>340</v>
      </c>
      <c r="D50" s="13">
        <v>6.30633076E9</v>
      </c>
      <c r="E50" s="13">
        <v>8.37</v>
      </c>
      <c r="F50" s="14" t="s">
        <v>1512</v>
      </c>
      <c r="G50" s="14" t="s">
        <v>1515</v>
      </c>
      <c r="H50" s="13" t="s">
        <v>59</v>
      </c>
      <c r="I50" s="13" t="s">
        <v>603</v>
      </c>
      <c r="K50" s="13" t="s">
        <v>1519</v>
      </c>
    </row>
    <row r="51" ht="22.5" customHeight="1">
      <c r="A51" s="12">
        <v>46107.72682490741</v>
      </c>
      <c r="B51" s="13" t="s">
        <v>344</v>
      </c>
      <c r="C51" s="32" t="s">
        <v>343</v>
      </c>
      <c r="D51" s="13">
        <v>9.449421763E9</v>
      </c>
      <c r="E51" s="13">
        <v>7.31</v>
      </c>
      <c r="F51" s="14" t="s">
        <v>1522</v>
      </c>
      <c r="G51" s="14" t="s">
        <v>1526</v>
      </c>
      <c r="H51" s="13" t="s">
        <v>59</v>
      </c>
      <c r="I51" s="13" t="s">
        <v>603</v>
      </c>
      <c r="K51" s="13" t="s">
        <v>1530</v>
      </c>
    </row>
    <row r="52" ht="22.5" customHeight="1">
      <c r="A52" s="12">
        <v>46107.76137383102</v>
      </c>
      <c r="B52" s="13" t="s">
        <v>107</v>
      </c>
      <c r="C52" s="13" t="s">
        <v>105</v>
      </c>
      <c r="D52" s="13">
        <v>8.903942489E9</v>
      </c>
      <c r="E52" s="13">
        <v>8.16</v>
      </c>
      <c r="F52" s="14" t="s">
        <v>1533</v>
      </c>
      <c r="G52" s="14" t="s">
        <v>1535</v>
      </c>
      <c r="H52" s="13" t="s">
        <v>59</v>
      </c>
      <c r="I52" s="13" t="s">
        <v>51</v>
      </c>
      <c r="J52" s="13" t="s">
        <v>1539</v>
      </c>
    </row>
    <row r="53" ht="22.5" customHeight="1">
      <c r="A53" s="12">
        <v>46107.823128749995</v>
      </c>
      <c r="B53" s="13" t="s">
        <v>1541</v>
      </c>
      <c r="C53" s="13" t="s">
        <v>299</v>
      </c>
      <c r="D53" s="13">
        <v>6.355865854E9</v>
      </c>
      <c r="E53" s="13">
        <v>7.59</v>
      </c>
      <c r="F53" s="14" t="s">
        <v>1544</v>
      </c>
      <c r="G53" s="14" t="s">
        <v>1547</v>
      </c>
      <c r="H53" s="13" t="s">
        <v>59</v>
      </c>
      <c r="I53" s="13" t="s">
        <v>51</v>
      </c>
      <c r="J53" s="13" t="s">
        <v>1552</v>
      </c>
    </row>
    <row r="54" ht="22.5" customHeight="1">
      <c r="A54" s="12">
        <v>46107.85855888889</v>
      </c>
      <c r="B54" s="13" t="s">
        <v>1554</v>
      </c>
      <c r="C54" s="13" t="s">
        <v>156</v>
      </c>
      <c r="D54" s="13">
        <v>7.001866804E9</v>
      </c>
      <c r="E54" s="13">
        <v>7.27</v>
      </c>
      <c r="F54" s="14" t="s">
        <v>450</v>
      </c>
      <c r="G54" s="14" t="s">
        <v>1562</v>
      </c>
      <c r="H54" s="13" t="s">
        <v>59</v>
      </c>
      <c r="I54" s="13" t="s">
        <v>51</v>
      </c>
      <c r="J54" s="13" t="s">
        <v>1567</v>
      </c>
    </row>
    <row r="55" ht="22.5" customHeight="1">
      <c r="A55" s="12">
        <v>46107.893852141206</v>
      </c>
      <c r="B55" s="13" t="s">
        <v>254</v>
      </c>
      <c r="C55" s="13" t="s">
        <v>253</v>
      </c>
      <c r="D55" s="13">
        <v>8.778331142E9</v>
      </c>
      <c r="E55" s="13">
        <v>7.1</v>
      </c>
      <c r="F55" s="14" t="s">
        <v>1570</v>
      </c>
      <c r="G55" s="14" t="s">
        <v>1574</v>
      </c>
      <c r="H55" s="13" t="s">
        <v>59</v>
      </c>
      <c r="I55" s="13" t="s">
        <v>603</v>
      </c>
      <c r="K55" s="13" t="s">
        <v>1578</v>
      </c>
    </row>
    <row r="56" ht="22.5" customHeight="1">
      <c r="A56" s="12">
        <v>46108.936706875</v>
      </c>
      <c r="B56" s="13" t="s">
        <v>685</v>
      </c>
      <c r="C56" s="13" t="s">
        <v>683</v>
      </c>
      <c r="D56" s="13">
        <v>6.265540991E9</v>
      </c>
      <c r="E56" s="13">
        <v>8.3</v>
      </c>
      <c r="F56" s="14" t="s">
        <v>1584</v>
      </c>
      <c r="G56" s="14" t="s">
        <v>1590</v>
      </c>
      <c r="H56" s="13" t="s">
        <v>59</v>
      </c>
      <c r="I56" s="13" t="s">
        <v>51</v>
      </c>
      <c r="J56" s="13" t="s">
        <v>1594</v>
      </c>
    </row>
    <row r="57" ht="22.5" customHeight="1">
      <c r="A57" s="12">
        <v>46108.94298962963</v>
      </c>
      <c r="B57" s="13" t="s">
        <v>1595</v>
      </c>
      <c r="C57" s="13" t="s">
        <v>414</v>
      </c>
      <c r="D57" s="13">
        <v>9.899487414E9</v>
      </c>
      <c r="E57" s="13">
        <v>7.75</v>
      </c>
      <c r="F57" s="14" t="s">
        <v>1599</v>
      </c>
      <c r="G57" s="14" t="s">
        <v>1604</v>
      </c>
      <c r="H57" s="13" t="s">
        <v>59</v>
      </c>
      <c r="I57" s="13" t="s">
        <v>51</v>
      </c>
      <c r="J57" s="13" t="s">
        <v>1608</v>
      </c>
    </row>
    <row r="58" ht="22.5" customHeight="1">
      <c r="A58" s="12">
        <v>46108.95154516204</v>
      </c>
      <c r="B58" s="13" t="s">
        <v>146</v>
      </c>
      <c r="C58" s="13" t="s">
        <v>149</v>
      </c>
      <c r="D58" s="13">
        <v>8.28777025E9</v>
      </c>
      <c r="E58" s="13">
        <v>7.52</v>
      </c>
      <c r="F58" s="14" t="s">
        <v>1613</v>
      </c>
      <c r="G58" s="14" t="s">
        <v>1616</v>
      </c>
      <c r="H58" s="13" t="s">
        <v>59</v>
      </c>
      <c r="I58" s="13" t="s">
        <v>51</v>
      </c>
      <c r="J58" s="13" t="s">
        <v>1620</v>
      </c>
    </row>
    <row r="59" ht="22.5" customHeight="1">
      <c r="A59" s="12">
        <v>46108.96541599537</v>
      </c>
      <c r="B59" s="13" t="s">
        <v>657</v>
      </c>
      <c r="C59" s="13" t="s">
        <v>656</v>
      </c>
      <c r="D59" s="13">
        <v>9.466553655E9</v>
      </c>
      <c r="E59" s="13">
        <v>6.7</v>
      </c>
      <c r="F59" s="14" t="s">
        <v>1626</v>
      </c>
      <c r="G59" s="14" t="s">
        <v>1629</v>
      </c>
      <c r="H59" s="13" t="s">
        <v>59</v>
      </c>
      <c r="I59" s="13" t="s">
        <v>51</v>
      </c>
      <c r="J59" s="13" t="s">
        <v>1632</v>
      </c>
    </row>
    <row r="60" ht="22.5" customHeight="1">
      <c r="A60" s="12">
        <v>46108.999450625</v>
      </c>
      <c r="B60" s="13" t="s">
        <v>90</v>
      </c>
      <c r="C60" s="13" t="s">
        <v>89</v>
      </c>
      <c r="D60" s="13">
        <v>7.888734447E9</v>
      </c>
      <c r="E60" s="13">
        <v>7.27</v>
      </c>
      <c r="F60" s="14" t="s">
        <v>1636</v>
      </c>
      <c r="G60" s="14" t="s">
        <v>1639</v>
      </c>
      <c r="H60" s="13" t="s">
        <v>59</v>
      </c>
      <c r="I60" s="13" t="s">
        <v>51</v>
      </c>
      <c r="J60" s="13" t="s">
        <v>1642</v>
      </c>
    </row>
    <row r="61" ht="22.5" customHeight="1">
      <c r="A61" s="12">
        <v>46109.31782362268</v>
      </c>
      <c r="B61" s="13" t="s">
        <v>517</v>
      </c>
      <c r="C61" s="13" t="s">
        <v>512</v>
      </c>
      <c r="D61" s="13">
        <v>8.073125787E9</v>
      </c>
      <c r="E61" s="13">
        <v>8.38</v>
      </c>
      <c r="F61" s="14" t="s">
        <v>1647</v>
      </c>
      <c r="G61" s="14" t="s">
        <v>1184</v>
      </c>
      <c r="H61" s="13" t="s">
        <v>59</v>
      </c>
      <c r="I61" s="13" t="s">
        <v>51</v>
      </c>
      <c r="J61" s="13" t="s">
        <v>1658</v>
      </c>
    </row>
    <row r="62" ht="22.5" customHeight="1">
      <c r="A62" s="12">
        <v>46109.649707557866</v>
      </c>
      <c r="B62" s="13" t="s">
        <v>1659</v>
      </c>
      <c r="C62" s="13" t="s">
        <v>793</v>
      </c>
      <c r="D62" s="13">
        <v>6.005726422E9</v>
      </c>
      <c r="E62" s="13">
        <v>6.22</v>
      </c>
      <c r="F62" s="14" t="s">
        <v>1660</v>
      </c>
      <c r="G62" s="14" t="s">
        <v>1666</v>
      </c>
      <c r="H62" s="13" t="s">
        <v>59</v>
      </c>
      <c r="I62" s="13" t="s">
        <v>51</v>
      </c>
      <c r="J62" s="13" t="s">
        <v>1672</v>
      </c>
    </row>
    <row r="63" ht="22.5" customHeight="1">
      <c r="A63" s="12">
        <v>46109.741464872684</v>
      </c>
      <c r="B63" s="13" t="s">
        <v>1607</v>
      </c>
      <c r="C63" s="13" t="s">
        <v>468</v>
      </c>
      <c r="D63" s="13">
        <v>7.388999447E9</v>
      </c>
      <c r="E63" s="13">
        <v>7.84</v>
      </c>
      <c r="F63" s="14" t="s">
        <v>474</v>
      </c>
      <c r="G63" s="14" t="s">
        <v>481</v>
      </c>
      <c r="H63" s="13" t="s">
        <v>59</v>
      </c>
      <c r="I63" s="13" t="s">
        <v>51</v>
      </c>
      <c r="J63" s="13" t="s">
        <v>939</v>
      </c>
    </row>
    <row r="64" ht="22.5" customHeight="1">
      <c r="A64" s="12">
        <v>46109.766612708336</v>
      </c>
      <c r="B64" s="13" t="s">
        <v>1101</v>
      </c>
      <c r="C64" s="13" t="s">
        <v>1100</v>
      </c>
      <c r="D64" s="13">
        <v>7.988576592E9</v>
      </c>
      <c r="E64" s="13">
        <v>7.12</v>
      </c>
      <c r="F64" s="14" t="s">
        <v>1686</v>
      </c>
      <c r="G64" s="14" t="s">
        <v>1581</v>
      </c>
      <c r="H64" s="13" t="s">
        <v>59</v>
      </c>
      <c r="I64" s="13" t="s">
        <v>51</v>
      </c>
      <c r="J64" s="13" t="s">
        <v>903</v>
      </c>
    </row>
    <row r="65" ht="22.5" customHeight="1">
      <c r="A65" s="12">
        <v>46111.52148962963</v>
      </c>
      <c r="B65" s="13" t="s">
        <v>228</v>
      </c>
      <c r="C65" s="13" t="s">
        <v>226</v>
      </c>
      <c r="D65" s="13">
        <v>7.394073922E9</v>
      </c>
      <c r="E65" s="13">
        <v>8.29</v>
      </c>
      <c r="F65" s="14" t="s">
        <v>1697</v>
      </c>
      <c r="G65" s="14" t="s">
        <v>1697</v>
      </c>
      <c r="H65" s="13" t="s">
        <v>59</v>
      </c>
      <c r="I65" s="13" t="s">
        <v>51</v>
      </c>
      <c r="J65" s="13" t="s">
        <v>1702</v>
      </c>
    </row>
    <row r="66" ht="22.5" customHeight="1">
      <c r="A66" s="12">
        <v>46111.52457434028</v>
      </c>
      <c r="B66" s="13" t="s">
        <v>58</v>
      </c>
      <c r="C66" s="13" t="s">
        <v>57</v>
      </c>
      <c r="D66" s="13">
        <v>8.421513773E9</v>
      </c>
      <c r="E66" s="13">
        <v>6.8</v>
      </c>
      <c r="F66" s="14" t="s">
        <v>1708</v>
      </c>
      <c r="G66" s="14" t="s">
        <v>1712</v>
      </c>
      <c r="H66" s="13" t="s">
        <v>59</v>
      </c>
      <c r="I66" s="13" t="s">
        <v>51</v>
      </c>
      <c r="J66" s="13" t="s">
        <v>1718</v>
      </c>
    </row>
    <row r="67" ht="22.5" customHeight="1">
      <c r="A67" s="12">
        <v>46111.547804629634</v>
      </c>
      <c r="B67" s="13" t="s">
        <v>1190</v>
      </c>
      <c r="C67" s="13" t="s">
        <v>1189</v>
      </c>
      <c r="D67" s="13">
        <v>8.54006018E9</v>
      </c>
      <c r="E67" s="13">
        <v>5.9</v>
      </c>
      <c r="F67" s="14" t="s">
        <v>1721</v>
      </c>
      <c r="G67" s="14" t="s">
        <v>1390</v>
      </c>
      <c r="H67" s="13" t="s">
        <v>59</v>
      </c>
      <c r="I67" s="13" t="s">
        <v>603</v>
      </c>
      <c r="K67" s="13" t="s">
        <v>1726</v>
      </c>
    </row>
    <row r="68" ht="22.5" customHeight="1">
      <c r="A68" s="12">
        <v>46111.57036640046</v>
      </c>
      <c r="B68" s="13" t="s">
        <v>290</v>
      </c>
      <c r="C68" s="13" t="s">
        <v>289</v>
      </c>
      <c r="D68" s="13">
        <v>9.403374532E9</v>
      </c>
      <c r="E68" s="13">
        <v>7.58</v>
      </c>
      <c r="F68" s="14" t="s">
        <v>1733</v>
      </c>
      <c r="G68" s="14" t="s">
        <v>1737</v>
      </c>
      <c r="H68" s="13" t="s">
        <v>49</v>
      </c>
      <c r="I68" s="13" t="s">
        <v>51</v>
      </c>
      <c r="J68" s="13" t="s">
        <v>1739</v>
      </c>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F21"/>
    <hyperlink r:id="rId40" ref="G21"/>
    <hyperlink r:id="rId41" ref="F22"/>
    <hyperlink r:id="rId42" ref="G22"/>
    <hyperlink r:id="rId43" ref="F23"/>
    <hyperlink r:id="rId44" ref="G23"/>
    <hyperlink r:id="rId45" ref="F24"/>
    <hyperlink r:id="rId46" ref="G24"/>
    <hyperlink r:id="rId47" ref="F25"/>
    <hyperlink r:id="rId48" ref="G25"/>
    <hyperlink r:id="rId49" ref="F26"/>
    <hyperlink r:id="rId50" ref="G26"/>
    <hyperlink r:id="rId51" ref="F27"/>
    <hyperlink r:id="rId52" ref="G27"/>
    <hyperlink r:id="rId53" ref="F28"/>
    <hyperlink r:id="rId54" ref="G28"/>
    <hyperlink r:id="rId55" ref="F29"/>
    <hyperlink r:id="rId56" ref="G29"/>
    <hyperlink r:id="rId57" ref="F30"/>
    <hyperlink r:id="rId58" ref="G30"/>
    <hyperlink r:id="rId59" ref="F31"/>
    <hyperlink r:id="rId60" ref="G31"/>
    <hyperlink r:id="rId61" ref="F32"/>
    <hyperlink r:id="rId62" ref="G32"/>
    <hyperlink r:id="rId63" ref="F33"/>
    <hyperlink r:id="rId64" ref="G33"/>
    <hyperlink r:id="rId65" ref="F34"/>
    <hyperlink r:id="rId66" ref="G34"/>
    <hyperlink r:id="rId67" ref="F35"/>
    <hyperlink r:id="rId68" ref="G35"/>
    <hyperlink r:id="rId69" ref="F36"/>
    <hyperlink r:id="rId70" ref="G36"/>
    <hyperlink r:id="rId71" ref="F37"/>
    <hyperlink r:id="rId72" ref="G37"/>
    <hyperlink r:id="rId73" ref="F38"/>
    <hyperlink r:id="rId74" ref="G38"/>
    <hyperlink r:id="rId75" ref="F39"/>
    <hyperlink r:id="rId76" ref="G39"/>
    <hyperlink r:id="rId77" ref="F40"/>
    <hyperlink r:id="rId78" ref="G40"/>
    <hyperlink r:id="rId79" ref="F41"/>
    <hyperlink r:id="rId80" ref="G41"/>
    <hyperlink r:id="rId81" ref="F42"/>
    <hyperlink r:id="rId82" ref="G42"/>
    <hyperlink r:id="rId83" ref="F43"/>
    <hyperlink r:id="rId84" ref="G43"/>
    <hyperlink r:id="rId85" ref="F44"/>
    <hyperlink r:id="rId86" ref="G44"/>
    <hyperlink r:id="rId87" ref="F45"/>
    <hyperlink r:id="rId88" ref="G45"/>
    <hyperlink r:id="rId89" ref="F46"/>
    <hyperlink r:id="rId90" ref="G46"/>
    <hyperlink r:id="rId91" ref="F47"/>
    <hyperlink r:id="rId92" ref="G47"/>
    <hyperlink r:id="rId93" ref="F48"/>
    <hyperlink r:id="rId94" ref="G48"/>
    <hyperlink r:id="rId95" ref="F49"/>
    <hyperlink r:id="rId96" ref="G49"/>
    <hyperlink r:id="rId97" ref="F50"/>
    <hyperlink r:id="rId98" ref="G50"/>
    <hyperlink r:id="rId99" ref="F51"/>
    <hyperlink r:id="rId100" ref="G51"/>
    <hyperlink r:id="rId101" ref="F52"/>
    <hyperlink r:id="rId102" ref="G52"/>
    <hyperlink r:id="rId103" ref="F53"/>
    <hyperlink r:id="rId104" ref="G53"/>
    <hyperlink r:id="rId105" ref="F54"/>
    <hyperlink r:id="rId106" ref="G54"/>
    <hyperlink r:id="rId107" ref="F55"/>
    <hyperlink r:id="rId108" ref="G55"/>
    <hyperlink r:id="rId109" ref="F56"/>
    <hyperlink r:id="rId110" ref="G56"/>
    <hyperlink r:id="rId111" ref="F57"/>
    <hyperlink r:id="rId112" ref="G57"/>
    <hyperlink r:id="rId113" ref="F58"/>
    <hyperlink r:id="rId114" ref="G58"/>
    <hyperlink r:id="rId115" ref="F59"/>
    <hyperlink r:id="rId116" ref="G59"/>
    <hyperlink r:id="rId117" ref="F60"/>
    <hyperlink r:id="rId118" ref="G60"/>
    <hyperlink r:id="rId119" ref="F61"/>
    <hyperlink r:id="rId120" ref="G61"/>
    <hyperlink r:id="rId121" ref="F62"/>
    <hyperlink r:id="rId122" ref="G62"/>
    <hyperlink r:id="rId123" ref="F63"/>
    <hyperlink r:id="rId124" ref="G63"/>
    <hyperlink r:id="rId125" ref="F64"/>
    <hyperlink r:id="rId126" ref="G64"/>
    <hyperlink r:id="rId127" ref="F65"/>
    <hyperlink r:id="rId128" ref="G65"/>
    <hyperlink r:id="rId129" ref="F66"/>
    <hyperlink r:id="rId130" ref="G66"/>
    <hyperlink r:id="rId131" ref="F67"/>
    <hyperlink r:id="rId132" ref="G67"/>
    <hyperlink r:id="rId133" ref="F68"/>
    <hyperlink r:id="rId134" ref="G68"/>
  </hyperlinks>
  <drawing r:id="rId135"/>
  <tableParts count="1">
    <tablePart r:id="rId13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9.88"/>
    <col customWidth="1" min="7" max="7" width="37.63"/>
    <col customWidth="1" min="8" max="8" width="18.88"/>
    <col customWidth="1" min="9" max="9" width="31.38"/>
    <col customWidth="1" min="10" max="10" width="31.75"/>
    <col customWidth="1" min="11" max="17" width="18.88"/>
  </cols>
  <sheetData>
    <row r="1" ht="22.5" customHeight="1">
      <c r="A1" s="2" t="s">
        <v>0</v>
      </c>
      <c r="B1" s="2" t="s">
        <v>3</v>
      </c>
      <c r="C1" s="2" t="s">
        <v>5</v>
      </c>
      <c r="D1" s="2" t="s">
        <v>7</v>
      </c>
      <c r="E1" s="2" t="s">
        <v>10</v>
      </c>
      <c r="F1" s="2" t="s">
        <v>9</v>
      </c>
      <c r="G1" s="2" t="s">
        <v>16</v>
      </c>
      <c r="H1" s="2" t="s">
        <v>20</v>
      </c>
      <c r="I1" s="2" t="s">
        <v>13</v>
      </c>
      <c r="J1" s="2" t="s">
        <v>14</v>
      </c>
      <c r="K1" s="9" t="s">
        <v>17</v>
      </c>
    </row>
    <row r="2" ht="22.5" customHeight="1">
      <c r="A2" s="7">
        <v>46099.54650326389</v>
      </c>
      <c r="B2" s="8" t="s">
        <v>917</v>
      </c>
      <c r="C2" s="8" t="s">
        <v>551</v>
      </c>
      <c r="D2" s="8">
        <v>7.897049891E9</v>
      </c>
      <c r="E2" s="8">
        <v>6.91</v>
      </c>
      <c r="F2" s="10" t="s">
        <v>924</v>
      </c>
      <c r="G2" s="10" t="s">
        <v>931</v>
      </c>
      <c r="H2" s="8" t="s">
        <v>51</v>
      </c>
      <c r="I2" s="8" t="s">
        <v>941</v>
      </c>
      <c r="J2" s="11"/>
      <c r="K2" s="11"/>
    </row>
    <row r="3" ht="22.5" customHeight="1">
      <c r="A3" s="12">
        <v>46099.554352534724</v>
      </c>
      <c r="B3" s="13" t="s">
        <v>100</v>
      </c>
      <c r="C3" s="13" t="s">
        <v>99</v>
      </c>
      <c r="D3" s="13">
        <v>8.690625704E9</v>
      </c>
      <c r="E3" s="13">
        <v>8.05</v>
      </c>
      <c r="F3" s="14" t="s">
        <v>947</v>
      </c>
      <c r="G3" s="14" t="s">
        <v>951</v>
      </c>
      <c r="H3" s="13" t="s">
        <v>51</v>
      </c>
      <c r="I3" s="13" t="s">
        <v>953</v>
      </c>
    </row>
    <row r="4" ht="22.5" customHeight="1">
      <c r="A4" s="12">
        <v>46099.555732002314</v>
      </c>
      <c r="B4" s="13" t="s">
        <v>146</v>
      </c>
      <c r="C4" s="13" t="s">
        <v>149</v>
      </c>
      <c r="D4" s="13">
        <v>8.28777025E9</v>
      </c>
      <c r="E4" s="13">
        <v>7.52</v>
      </c>
      <c r="F4" s="14" t="s">
        <v>153</v>
      </c>
      <c r="G4" s="14" t="s">
        <v>161</v>
      </c>
      <c r="H4" s="13" t="s">
        <v>51</v>
      </c>
      <c r="I4" s="13" t="s">
        <v>971</v>
      </c>
    </row>
    <row r="5" ht="22.5" customHeight="1">
      <c r="A5" s="12">
        <v>46099.55948913195</v>
      </c>
      <c r="B5" s="13" t="s">
        <v>443</v>
      </c>
      <c r="C5" s="13" t="s">
        <v>442</v>
      </c>
      <c r="D5" s="13">
        <v>7.076245448E9</v>
      </c>
      <c r="E5" s="13">
        <v>8.18</v>
      </c>
      <c r="F5" s="14" t="s">
        <v>982</v>
      </c>
      <c r="G5" s="14" t="s">
        <v>992</v>
      </c>
      <c r="H5" s="13" t="s">
        <v>603</v>
      </c>
      <c r="J5" s="13" t="s">
        <v>1001</v>
      </c>
      <c r="K5" s="20"/>
    </row>
    <row r="6" ht="22.5" customHeight="1">
      <c r="A6" s="12">
        <v>46099.56455289352</v>
      </c>
      <c r="B6" s="13" t="s">
        <v>1010</v>
      </c>
      <c r="C6" s="13" t="s">
        <v>150</v>
      </c>
      <c r="D6" s="13">
        <v>8.085511663E9</v>
      </c>
      <c r="E6" s="13">
        <v>6.94</v>
      </c>
      <c r="F6" s="14" t="s">
        <v>1018</v>
      </c>
      <c r="G6" s="14" t="s">
        <v>1026</v>
      </c>
      <c r="H6" s="13" t="s">
        <v>51</v>
      </c>
      <c r="I6" s="13" t="s">
        <v>1034</v>
      </c>
    </row>
    <row r="7" ht="22.5" customHeight="1">
      <c r="A7" s="12">
        <v>46099.56505535879</v>
      </c>
      <c r="B7" s="13" t="s">
        <v>366</v>
      </c>
      <c r="C7" s="13" t="s">
        <v>365</v>
      </c>
      <c r="D7" s="13">
        <v>9.365265655E9</v>
      </c>
      <c r="E7" s="13">
        <v>7.12</v>
      </c>
      <c r="F7" s="14" t="s">
        <v>1041</v>
      </c>
      <c r="G7" s="14" t="s">
        <v>725</v>
      </c>
      <c r="H7" s="13" t="s">
        <v>51</v>
      </c>
      <c r="I7" s="13" t="s">
        <v>1059</v>
      </c>
    </row>
    <row r="8" ht="22.5" customHeight="1">
      <c r="A8" s="12">
        <v>46099.56894618056</v>
      </c>
      <c r="B8" s="13" t="s">
        <v>747</v>
      </c>
      <c r="C8" s="13" t="s">
        <v>745</v>
      </c>
      <c r="D8" s="13">
        <v>7.338315216E9</v>
      </c>
      <c r="E8" s="13">
        <v>9.01</v>
      </c>
      <c r="F8" s="14" t="s">
        <v>1071</v>
      </c>
      <c r="G8" s="14" t="s">
        <v>1077</v>
      </c>
      <c r="H8" s="13" t="s">
        <v>603</v>
      </c>
      <c r="J8" s="13" t="s">
        <v>1089</v>
      </c>
      <c r="K8" s="20"/>
    </row>
    <row r="9" ht="22.5" customHeight="1">
      <c r="A9" s="12">
        <v>46099.57519821759</v>
      </c>
      <c r="B9" s="13" t="s">
        <v>1093</v>
      </c>
      <c r="C9" s="13" t="s">
        <v>240</v>
      </c>
      <c r="D9" s="13">
        <v>9.121181429E9</v>
      </c>
      <c r="E9" s="13">
        <v>7.35</v>
      </c>
      <c r="F9" s="14" t="s">
        <v>1099</v>
      </c>
      <c r="G9" s="14" t="s">
        <v>1103</v>
      </c>
      <c r="H9" s="13" t="s">
        <v>603</v>
      </c>
      <c r="J9" s="13" t="s">
        <v>1109</v>
      </c>
      <c r="K9" s="20"/>
    </row>
    <row r="10" ht="22.5" customHeight="1">
      <c r="A10" s="12">
        <v>46099.58095996528</v>
      </c>
      <c r="B10" s="13" t="s">
        <v>794</v>
      </c>
      <c r="C10" s="13" t="s">
        <v>792</v>
      </c>
      <c r="D10" s="13">
        <v>9.119292553E9</v>
      </c>
      <c r="E10" s="13">
        <v>6.9</v>
      </c>
      <c r="F10" s="14" t="s">
        <v>1129</v>
      </c>
      <c r="G10" s="14" t="s">
        <v>1136</v>
      </c>
      <c r="H10" s="13" t="s">
        <v>51</v>
      </c>
      <c r="I10" s="13" t="s">
        <v>1147</v>
      </c>
    </row>
    <row r="11" ht="22.5" customHeight="1">
      <c r="A11" s="12">
        <v>46099.58669350695</v>
      </c>
      <c r="B11" s="13" t="s">
        <v>202</v>
      </c>
      <c r="C11" s="13" t="s">
        <v>201</v>
      </c>
      <c r="D11" s="13">
        <v>8.950474501E9</v>
      </c>
      <c r="E11" s="13">
        <v>7.55</v>
      </c>
      <c r="F11" s="14" t="s">
        <v>1162</v>
      </c>
      <c r="G11" s="14" t="s">
        <v>1167</v>
      </c>
      <c r="H11" s="13" t="s">
        <v>51</v>
      </c>
      <c r="I11" s="13" t="s">
        <v>1178</v>
      </c>
    </row>
    <row r="12" ht="22.5" customHeight="1">
      <c r="A12" s="12">
        <v>46099.59094195602</v>
      </c>
      <c r="B12" s="13" t="s">
        <v>177</v>
      </c>
      <c r="C12" s="13" t="s">
        <v>182</v>
      </c>
      <c r="D12" s="13">
        <v>9.877483716E9</v>
      </c>
      <c r="E12" s="13">
        <v>8.26</v>
      </c>
      <c r="F12" s="14" t="s">
        <v>1191</v>
      </c>
      <c r="G12" s="14" t="s">
        <v>193</v>
      </c>
      <c r="H12" s="13" t="s">
        <v>51</v>
      </c>
      <c r="I12" s="13" t="s">
        <v>1217</v>
      </c>
    </row>
    <row r="13" ht="22.5" customHeight="1">
      <c r="A13" s="12">
        <v>46099.6468527199</v>
      </c>
      <c r="B13" s="13" t="s">
        <v>1173</v>
      </c>
      <c r="C13" s="13" t="s">
        <v>1172</v>
      </c>
      <c r="D13" s="13">
        <v>7.905521531E9</v>
      </c>
      <c r="E13" s="13">
        <v>8.34</v>
      </c>
      <c r="F13" s="14" t="s">
        <v>1229</v>
      </c>
      <c r="G13" s="14" t="s">
        <v>1242</v>
      </c>
      <c r="H13" s="13" t="s">
        <v>51</v>
      </c>
      <c r="I13" s="13" t="s">
        <v>1255</v>
      </c>
    </row>
    <row r="14" ht="22.5" customHeight="1">
      <c r="A14" s="12">
        <v>46099.66835712963</v>
      </c>
      <c r="B14" s="13" t="s">
        <v>1260</v>
      </c>
      <c r="C14" s="13" t="s">
        <v>284</v>
      </c>
      <c r="D14" s="13">
        <v>9.460844955E9</v>
      </c>
      <c r="E14" s="13">
        <v>7.87</v>
      </c>
      <c r="F14" s="14" t="s">
        <v>288</v>
      </c>
      <c r="G14" s="14" t="s">
        <v>295</v>
      </c>
      <c r="H14" s="13" t="s">
        <v>51</v>
      </c>
      <c r="I14" s="13" t="s">
        <v>1301</v>
      </c>
    </row>
    <row r="15" ht="22.5" customHeight="1">
      <c r="A15" s="12">
        <v>46099.88532037037</v>
      </c>
      <c r="B15" s="13" t="s">
        <v>1306</v>
      </c>
      <c r="C15" s="13" t="s">
        <v>524</v>
      </c>
      <c r="D15" s="13">
        <v>9.71751023E9</v>
      </c>
      <c r="E15" s="13">
        <v>7.54</v>
      </c>
      <c r="F15" s="14" t="s">
        <v>1315</v>
      </c>
      <c r="G15" s="14" t="s">
        <v>1326</v>
      </c>
      <c r="H15" s="13" t="s">
        <v>603</v>
      </c>
      <c r="J15" s="13" t="s">
        <v>1337</v>
      </c>
      <c r="K15" s="20"/>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s>
  <drawing r:id="rId29"/>
  <tableParts count="1">
    <tablePart r:id="rId3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9.88"/>
    <col customWidth="1" min="7" max="7" width="37.63"/>
    <col customWidth="1" min="8" max="8" width="20.63"/>
    <col customWidth="1" min="9" max="12" width="37.63"/>
    <col customWidth="1" min="13" max="18" width="18.88"/>
  </cols>
  <sheetData>
    <row r="1" ht="22.5" customHeight="1">
      <c r="A1" s="2" t="s">
        <v>0</v>
      </c>
      <c r="B1" s="2" t="s">
        <v>3</v>
      </c>
      <c r="C1" s="2" t="s">
        <v>5</v>
      </c>
      <c r="D1" s="2" t="s">
        <v>7</v>
      </c>
      <c r="E1" s="2" t="s">
        <v>10</v>
      </c>
      <c r="F1" s="2" t="s">
        <v>9</v>
      </c>
      <c r="G1" s="2" t="s">
        <v>16</v>
      </c>
      <c r="H1" s="2" t="s">
        <v>20</v>
      </c>
      <c r="I1" s="2" t="s">
        <v>1416</v>
      </c>
      <c r="J1" s="2" t="s">
        <v>1417</v>
      </c>
      <c r="K1" s="2" t="s">
        <v>1420</v>
      </c>
      <c r="L1" s="2" t="s">
        <v>1422</v>
      </c>
    </row>
    <row r="2" ht="22.5" customHeight="1">
      <c r="A2" s="7">
        <v>46076.645938368056</v>
      </c>
      <c r="B2" s="8" t="s">
        <v>890</v>
      </c>
      <c r="C2" s="8" t="s">
        <v>889</v>
      </c>
      <c r="D2" s="8">
        <v>9.896797618E9</v>
      </c>
      <c r="E2" s="8">
        <v>7.84</v>
      </c>
      <c r="F2" s="10" t="s">
        <v>1435</v>
      </c>
      <c r="G2" s="10" t="s">
        <v>1442</v>
      </c>
      <c r="H2" s="8" t="s">
        <v>1448</v>
      </c>
      <c r="I2" s="8" t="s">
        <v>1450</v>
      </c>
      <c r="J2" s="11"/>
      <c r="K2" s="11"/>
      <c r="L2" s="11"/>
    </row>
    <row r="3" ht="22.5" customHeight="1">
      <c r="A3" s="12">
        <v>46076.652323726856</v>
      </c>
      <c r="B3" s="13" t="s">
        <v>742</v>
      </c>
      <c r="C3" s="13" t="s">
        <v>741</v>
      </c>
      <c r="D3" s="13">
        <v>6.377423582E9</v>
      </c>
      <c r="E3" s="13">
        <v>7.79</v>
      </c>
      <c r="F3" s="14" t="s">
        <v>1455</v>
      </c>
      <c r="G3" s="14" t="s">
        <v>1457</v>
      </c>
      <c r="H3" s="13" t="s">
        <v>1448</v>
      </c>
      <c r="I3" s="13" t="s">
        <v>1459</v>
      </c>
    </row>
    <row r="4" ht="22.5" customHeight="1">
      <c r="A4" s="12">
        <v>46076.65778903935</v>
      </c>
      <c r="B4" s="13" t="s">
        <v>1461</v>
      </c>
      <c r="C4" s="13" t="s">
        <v>1115</v>
      </c>
      <c r="D4" s="13">
        <v>9.999482864E9</v>
      </c>
      <c r="E4" s="13">
        <v>8.02</v>
      </c>
      <c r="F4" s="14" t="s">
        <v>1463</v>
      </c>
      <c r="G4" s="14" t="s">
        <v>1464</v>
      </c>
      <c r="H4" s="13" t="s">
        <v>1448</v>
      </c>
      <c r="I4" s="13" t="s">
        <v>1467</v>
      </c>
    </row>
    <row r="5" ht="22.5" customHeight="1">
      <c r="A5" s="12">
        <v>46076.66311584491</v>
      </c>
      <c r="B5" s="13" t="s">
        <v>1468</v>
      </c>
      <c r="C5" s="13" t="s">
        <v>957</v>
      </c>
      <c r="D5" s="13">
        <v>9.629958443E9</v>
      </c>
      <c r="E5" s="13">
        <v>6.91</v>
      </c>
      <c r="F5" s="14" t="s">
        <v>1470</v>
      </c>
      <c r="G5" s="14" t="s">
        <v>1473</v>
      </c>
      <c r="H5" s="13" t="s">
        <v>1448</v>
      </c>
      <c r="I5" s="13" t="s">
        <v>1476</v>
      </c>
    </row>
    <row r="6" ht="22.5" customHeight="1">
      <c r="A6" s="12">
        <v>46076.67025040509</v>
      </c>
      <c r="B6" s="13" t="s">
        <v>851</v>
      </c>
      <c r="C6" s="13" t="s">
        <v>850</v>
      </c>
      <c r="D6" s="13">
        <v>8.431003061E9</v>
      </c>
      <c r="E6" s="13">
        <v>7.11</v>
      </c>
      <c r="F6" s="14" t="s">
        <v>1479</v>
      </c>
      <c r="G6" s="14" t="s">
        <v>1482</v>
      </c>
      <c r="H6" s="13" t="s">
        <v>1485</v>
      </c>
      <c r="J6" s="13" t="s">
        <v>1486</v>
      </c>
    </row>
    <row r="7" ht="22.5" customHeight="1">
      <c r="A7" s="12">
        <v>46077.4020609375</v>
      </c>
      <c r="B7" s="13" t="s">
        <v>1488</v>
      </c>
      <c r="C7" s="13" t="s">
        <v>24</v>
      </c>
      <c r="D7" s="13">
        <v>9.636039611E9</v>
      </c>
      <c r="E7" s="13">
        <v>7.45</v>
      </c>
      <c r="F7" s="14" t="s">
        <v>1489</v>
      </c>
      <c r="G7" s="14" t="s">
        <v>1490</v>
      </c>
      <c r="H7" s="13" t="s">
        <v>1448</v>
      </c>
      <c r="I7" s="13" t="s">
        <v>1492</v>
      </c>
    </row>
    <row r="8" ht="22.5" customHeight="1">
      <c r="A8" s="12">
        <v>46082.863574375</v>
      </c>
      <c r="B8" s="13" t="s">
        <v>717</v>
      </c>
      <c r="C8" s="13" t="s">
        <v>716</v>
      </c>
      <c r="D8" s="13">
        <v>7.321969871E9</v>
      </c>
      <c r="E8" s="13">
        <v>7.3</v>
      </c>
      <c r="F8" s="14" t="s">
        <v>1494</v>
      </c>
      <c r="G8" s="14" t="s">
        <v>1497</v>
      </c>
      <c r="H8" s="13" t="s">
        <v>1448</v>
      </c>
      <c r="I8" s="13" t="s">
        <v>1500</v>
      </c>
    </row>
    <row r="9" ht="22.5" customHeight="1">
      <c r="A9" s="12">
        <v>46082.863635925925</v>
      </c>
      <c r="B9" s="13" t="s">
        <v>489</v>
      </c>
      <c r="C9" s="13" t="s">
        <v>487</v>
      </c>
      <c r="D9" s="13">
        <v>8.527657733E9</v>
      </c>
      <c r="E9" s="13">
        <v>8.9</v>
      </c>
      <c r="F9" s="14" t="s">
        <v>1502</v>
      </c>
      <c r="G9" s="14" t="s">
        <v>1505</v>
      </c>
      <c r="H9" s="13" t="s">
        <v>1448</v>
      </c>
      <c r="I9" s="13" t="s">
        <v>1507</v>
      </c>
    </row>
    <row r="10" ht="22.5" customHeight="1">
      <c r="A10" s="12">
        <v>46082.871286469905</v>
      </c>
      <c r="B10" s="13" t="s">
        <v>1508</v>
      </c>
      <c r="C10" s="13" t="s">
        <v>1030</v>
      </c>
      <c r="D10" s="13">
        <v>7.904645891E9</v>
      </c>
      <c r="E10" s="13">
        <v>6.4</v>
      </c>
      <c r="F10" s="14" t="s">
        <v>1510</v>
      </c>
      <c r="G10" s="14" t="s">
        <v>1514</v>
      </c>
      <c r="H10" s="13" t="s">
        <v>1485</v>
      </c>
      <c r="J10" s="13" t="s">
        <v>1517</v>
      </c>
    </row>
    <row r="11" ht="22.5" customHeight="1">
      <c r="A11" s="12">
        <v>46080.69340087963</v>
      </c>
      <c r="B11" s="13" t="s">
        <v>1518</v>
      </c>
      <c r="C11" s="13" t="s">
        <v>1008</v>
      </c>
      <c r="D11" s="13">
        <v>9.585058822E9</v>
      </c>
      <c r="E11" s="13">
        <v>6.49</v>
      </c>
      <c r="F11" s="14" t="s">
        <v>1521</v>
      </c>
      <c r="G11" s="14" t="s">
        <v>1524</v>
      </c>
      <c r="H11" s="13" t="s">
        <v>1527</v>
      </c>
      <c r="K11" s="13" t="s">
        <v>1528</v>
      </c>
    </row>
    <row r="12" ht="22.5" customHeight="1">
      <c r="A12" s="12">
        <v>46082.86371207176</v>
      </c>
      <c r="B12" s="13" t="s">
        <v>783</v>
      </c>
      <c r="C12" s="13" t="s">
        <v>782</v>
      </c>
      <c r="D12" s="13">
        <v>9.014215334E9</v>
      </c>
      <c r="E12" s="13">
        <v>7.28</v>
      </c>
      <c r="F12" s="14" t="s">
        <v>848</v>
      </c>
      <c r="G12" s="14" t="s">
        <v>854</v>
      </c>
      <c r="H12" s="13" t="s">
        <v>1485</v>
      </c>
      <c r="J12" s="13" t="s">
        <v>1537</v>
      </c>
    </row>
    <row r="13" ht="22.5" customHeight="1">
      <c r="A13" s="12">
        <v>46080.721034016206</v>
      </c>
      <c r="B13" s="13" t="s">
        <v>1097</v>
      </c>
      <c r="C13" s="13" t="s">
        <v>1095</v>
      </c>
      <c r="D13" s="13">
        <v>9.798724149E9</v>
      </c>
      <c r="E13" s="13">
        <v>7.22</v>
      </c>
      <c r="F13" s="14" t="s">
        <v>1543</v>
      </c>
      <c r="G13" s="14" t="s">
        <v>1545</v>
      </c>
      <c r="H13" s="13" t="s">
        <v>1527</v>
      </c>
      <c r="K13" s="13" t="s">
        <v>1549</v>
      </c>
    </row>
    <row r="14" ht="22.5" customHeight="1">
      <c r="A14" s="12">
        <v>46080.96863005787</v>
      </c>
      <c r="B14" s="13" t="s">
        <v>486</v>
      </c>
      <c r="C14" s="13" t="s">
        <v>485</v>
      </c>
      <c r="D14" s="13">
        <v>7.017129138E9</v>
      </c>
      <c r="E14" s="13">
        <v>6.88</v>
      </c>
      <c r="F14" s="14" t="s">
        <v>1553</v>
      </c>
      <c r="G14" s="14" t="s">
        <v>1557</v>
      </c>
      <c r="H14" s="13" t="s">
        <v>1527</v>
      </c>
      <c r="K14" s="13" t="s">
        <v>1561</v>
      </c>
    </row>
    <row r="15" ht="22.5" customHeight="1">
      <c r="A15" s="12">
        <v>46081.41034870371</v>
      </c>
      <c r="B15" s="13" t="s">
        <v>371</v>
      </c>
      <c r="C15" s="13" t="s">
        <v>368</v>
      </c>
      <c r="D15" s="13">
        <v>9.929586989E9</v>
      </c>
      <c r="E15" s="13">
        <v>7.19</v>
      </c>
      <c r="F15" s="14" t="s">
        <v>1566</v>
      </c>
      <c r="G15" s="14" t="s">
        <v>1569</v>
      </c>
      <c r="H15" s="13" t="s">
        <v>1527</v>
      </c>
      <c r="K15" s="13" t="s">
        <v>1572</v>
      </c>
    </row>
    <row r="16" ht="22.5" customHeight="1">
      <c r="A16" s="12">
        <v>46081.496505821764</v>
      </c>
      <c r="B16" s="13" t="s">
        <v>962</v>
      </c>
      <c r="C16" s="13" t="s">
        <v>961</v>
      </c>
      <c r="D16" s="13">
        <v>7.903410884E9</v>
      </c>
      <c r="E16" s="13">
        <v>8.43</v>
      </c>
      <c r="F16" s="14" t="s">
        <v>1576</v>
      </c>
      <c r="G16" s="14" t="s">
        <v>1579</v>
      </c>
      <c r="H16" s="13" t="s">
        <v>1527</v>
      </c>
      <c r="K16" s="13" t="s">
        <v>1582</v>
      </c>
    </row>
    <row r="17" ht="22.5" customHeight="1">
      <c r="A17" s="12">
        <v>46081.6424012037</v>
      </c>
      <c r="B17" s="13" t="s">
        <v>1586</v>
      </c>
      <c r="C17" s="13" t="s">
        <v>120</v>
      </c>
      <c r="D17" s="13">
        <v>8.810475697E9</v>
      </c>
      <c r="E17" s="13">
        <v>6.96</v>
      </c>
      <c r="F17" s="14" t="s">
        <v>1588</v>
      </c>
      <c r="G17" s="14" t="s">
        <v>1592</v>
      </c>
      <c r="H17" s="13" t="s">
        <v>1527</v>
      </c>
      <c r="K17" s="13" t="s">
        <v>1596</v>
      </c>
    </row>
    <row r="18" ht="22.5" customHeight="1">
      <c r="A18" s="12">
        <v>46082.86558770834</v>
      </c>
      <c r="B18" s="13" t="s">
        <v>115</v>
      </c>
      <c r="C18" s="13" t="s">
        <v>113</v>
      </c>
      <c r="D18" s="13">
        <v>9.999306403E9</v>
      </c>
      <c r="E18" s="13">
        <v>7.45</v>
      </c>
      <c r="F18" s="34" t="s">
        <v>1602</v>
      </c>
      <c r="G18" s="34" t="s">
        <v>440</v>
      </c>
      <c r="H18" s="13" t="s">
        <v>1448</v>
      </c>
      <c r="I18" s="13" t="s">
        <v>1609</v>
      </c>
    </row>
    <row r="19" ht="22.5" customHeight="1">
      <c r="A19" s="12">
        <v>46082.890467812496</v>
      </c>
      <c r="B19" s="13" t="s">
        <v>1610</v>
      </c>
      <c r="C19" s="13" t="s">
        <v>296</v>
      </c>
      <c r="D19" s="13">
        <v>9.789083613E9</v>
      </c>
      <c r="E19" s="13">
        <v>7.33</v>
      </c>
      <c r="F19" s="14" t="s">
        <v>1612</v>
      </c>
      <c r="G19" s="14" t="s">
        <v>1615</v>
      </c>
      <c r="H19" s="13" t="s">
        <v>1448</v>
      </c>
      <c r="I19" s="13" t="s">
        <v>1619</v>
      </c>
    </row>
    <row r="20" ht="22.5" customHeight="1">
      <c r="A20" s="12">
        <v>46082.88943708333</v>
      </c>
      <c r="B20" s="13" t="s">
        <v>932</v>
      </c>
      <c r="C20" s="13" t="s">
        <v>930</v>
      </c>
      <c r="D20" s="13">
        <v>7.814669526E9</v>
      </c>
      <c r="E20" s="13">
        <v>7.5</v>
      </c>
      <c r="F20" s="14" t="s">
        <v>1622</v>
      </c>
      <c r="G20" s="14" t="s">
        <v>1622</v>
      </c>
      <c r="H20" s="13" t="s">
        <v>1448</v>
      </c>
      <c r="I20" s="13" t="s">
        <v>1624</v>
      </c>
    </row>
    <row r="21" ht="22.5" customHeight="1">
      <c r="A21" s="12">
        <v>46082.859423773145</v>
      </c>
      <c r="B21" s="13" t="s">
        <v>693</v>
      </c>
      <c r="C21" s="13" t="s">
        <v>692</v>
      </c>
      <c r="D21" s="13">
        <v>8.986862305E9</v>
      </c>
      <c r="E21" s="13">
        <v>8.38</v>
      </c>
      <c r="F21" s="14" t="s">
        <v>1627</v>
      </c>
      <c r="G21" s="14" t="s">
        <v>1630</v>
      </c>
      <c r="H21" s="13" t="s">
        <v>1448</v>
      </c>
      <c r="I21" s="13" t="s">
        <v>1634</v>
      </c>
    </row>
    <row r="22" ht="22.5" customHeight="1">
      <c r="A22" s="12">
        <v>46082.971711481485</v>
      </c>
      <c r="B22" s="13" t="s">
        <v>1635</v>
      </c>
      <c r="C22" s="13" t="s">
        <v>466</v>
      </c>
      <c r="D22" s="13">
        <v>9.90881799E9</v>
      </c>
      <c r="E22" s="13">
        <v>7.33</v>
      </c>
      <c r="F22" s="14" t="s">
        <v>1638</v>
      </c>
      <c r="G22" s="14" t="s">
        <v>1641</v>
      </c>
      <c r="H22" s="13" t="s">
        <v>1448</v>
      </c>
      <c r="I22" s="13" t="s">
        <v>1644</v>
      </c>
    </row>
    <row r="23" ht="22.5" customHeight="1">
      <c r="A23" s="12">
        <v>46082.86624152778</v>
      </c>
      <c r="B23" s="13" t="s">
        <v>1645</v>
      </c>
      <c r="C23" s="13" t="s">
        <v>217</v>
      </c>
      <c r="D23" s="13">
        <v>7.67724257E9</v>
      </c>
      <c r="E23" s="13">
        <v>8.84</v>
      </c>
      <c r="F23" s="34" t="s">
        <v>1646</v>
      </c>
      <c r="G23" s="34" t="s">
        <v>1648</v>
      </c>
      <c r="H23" s="13" t="s">
        <v>1448</v>
      </c>
      <c r="I23" s="13" t="s">
        <v>1650</v>
      </c>
    </row>
    <row r="24" ht="22.5" customHeight="1">
      <c r="A24" s="12">
        <v>46082.88522752315</v>
      </c>
      <c r="B24" s="13" t="s">
        <v>1651</v>
      </c>
      <c r="C24" s="13" t="s">
        <v>1370</v>
      </c>
      <c r="D24" s="13">
        <v>8.220200524E9</v>
      </c>
      <c r="E24" s="13">
        <v>7.6</v>
      </c>
      <c r="F24" s="14" t="s">
        <v>1653</v>
      </c>
      <c r="G24" s="13" t="s">
        <v>1655</v>
      </c>
      <c r="H24" s="13" t="s">
        <v>1448</v>
      </c>
      <c r="I24" s="13" t="s">
        <v>1656</v>
      </c>
    </row>
    <row r="25" ht="22.5" customHeight="1">
      <c r="A25" s="12">
        <v>46082.870986249996</v>
      </c>
      <c r="B25" s="13" t="s">
        <v>265</v>
      </c>
      <c r="C25" s="13" t="s">
        <v>267</v>
      </c>
      <c r="D25" s="13">
        <v>8.340184575E9</v>
      </c>
      <c r="E25" s="13">
        <v>7.44</v>
      </c>
      <c r="F25" s="14" t="s">
        <v>270</v>
      </c>
      <c r="G25" s="14" t="s">
        <v>273</v>
      </c>
      <c r="H25" s="13" t="s">
        <v>1448</v>
      </c>
      <c r="I25" s="13" t="s">
        <v>1661</v>
      </c>
    </row>
    <row r="26" ht="22.5" customHeight="1">
      <c r="A26" s="12">
        <v>46082.87104572917</v>
      </c>
      <c r="B26" s="13" t="s">
        <v>1168</v>
      </c>
      <c r="C26" s="13" t="s">
        <v>1166</v>
      </c>
      <c r="D26" s="13">
        <v>8.870180403E9</v>
      </c>
      <c r="E26" s="13">
        <v>7.31</v>
      </c>
      <c r="F26" s="14" t="s">
        <v>1665</v>
      </c>
      <c r="G26" s="14" t="s">
        <v>1668</v>
      </c>
      <c r="H26" s="13" t="s">
        <v>1448</v>
      </c>
      <c r="I26" s="13" t="s">
        <v>1670</v>
      </c>
    </row>
    <row r="27" ht="22.5" customHeight="1">
      <c r="A27" s="12">
        <v>46082.8770209375</v>
      </c>
      <c r="B27" s="13" t="s">
        <v>1671</v>
      </c>
      <c r="C27" s="13" t="s">
        <v>1341</v>
      </c>
      <c r="D27" s="13">
        <v>8.210519038E9</v>
      </c>
      <c r="E27" s="13">
        <v>7.15</v>
      </c>
      <c r="F27" s="14" t="s">
        <v>1673</v>
      </c>
      <c r="G27" s="14" t="s">
        <v>1675</v>
      </c>
      <c r="H27" s="13" t="s">
        <v>1485</v>
      </c>
      <c r="J27" s="13" t="s">
        <v>1677</v>
      </c>
    </row>
    <row r="28" ht="22.5" customHeight="1">
      <c r="A28" s="12">
        <v>46082.88402321759</v>
      </c>
      <c r="B28" s="13" t="s">
        <v>1678</v>
      </c>
      <c r="C28" s="13" t="s">
        <v>1024</v>
      </c>
      <c r="D28" s="13">
        <v>7.871464155E9</v>
      </c>
      <c r="E28" s="13">
        <v>6.92</v>
      </c>
      <c r="F28" s="14" t="s">
        <v>1680</v>
      </c>
      <c r="G28" s="14" t="s">
        <v>1682</v>
      </c>
      <c r="H28" s="13" t="s">
        <v>1448</v>
      </c>
      <c r="I28" s="13" t="s">
        <v>1684</v>
      </c>
    </row>
    <row r="29" ht="22.5" customHeight="1">
      <c r="A29" s="12">
        <v>46082.89983613426</v>
      </c>
      <c r="B29" s="13" t="s">
        <v>215</v>
      </c>
      <c r="C29" s="13" t="s">
        <v>214</v>
      </c>
      <c r="D29" s="13">
        <v>7.823011687E9</v>
      </c>
      <c r="E29" s="13">
        <v>6.84</v>
      </c>
      <c r="F29" s="14" t="s">
        <v>1687</v>
      </c>
      <c r="G29" s="14" t="s">
        <v>1689</v>
      </c>
      <c r="H29" s="13" t="s">
        <v>1448</v>
      </c>
      <c r="I29" s="13" t="s">
        <v>1693</v>
      </c>
    </row>
    <row r="30" ht="22.5" customHeight="1">
      <c r="A30" s="12">
        <v>46082.88538731482</v>
      </c>
      <c r="B30" s="13" t="s">
        <v>238</v>
      </c>
      <c r="C30" s="13" t="s">
        <v>239</v>
      </c>
      <c r="D30" s="13">
        <v>9.026479584E9</v>
      </c>
      <c r="E30" s="13">
        <v>8.47</v>
      </c>
      <c r="F30" s="14" t="s">
        <v>1696</v>
      </c>
      <c r="G30" s="14" t="s">
        <v>1698</v>
      </c>
      <c r="H30" s="13" t="s">
        <v>1485</v>
      </c>
      <c r="J30" s="13" t="s">
        <v>1703</v>
      </c>
    </row>
    <row r="31" ht="22.5" customHeight="1">
      <c r="A31" s="12">
        <v>46082.886144930555</v>
      </c>
      <c r="B31" s="13" t="s">
        <v>1704</v>
      </c>
      <c r="C31" s="13" t="s">
        <v>672</v>
      </c>
      <c r="D31" s="13">
        <v>7.013603684E9</v>
      </c>
      <c r="E31" s="13">
        <v>7.77</v>
      </c>
      <c r="F31" s="14" t="s">
        <v>1706</v>
      </c>
      <c r="G31" s="14" t="s">
        <v>1706</v>
      </c>
      <c r="H31" s="13" t="s">
        <v>1448</v>
      </c>
      <c r="I31" s="13" t="s">
        <v>1710</v>
      </c>
    </row>
    <row r="32" ht="22.5" customHeight="1">
      <c r="A32" s="12">
        <v>46082.85446765047</v>
      </c>
      <c r="B32" s="13" t="s">
        <v>1711</v>
      </c>
      <c r="C32" s="13" t="s">
        <v>66</v>
      </c>
      <c r="D32" s="13">
        <v>9.570194524E9</v>
      </c>
      <c r="E32" s="13">
        <v>7.14</v>
      </c>
      <c r="F32" s="14" t="s">
        <v>1715</v>
      </c>
      <c r="G32" s="14" t="s">
        <v>85</v>
      </c>
      <c r="H32" s="13" t="s">
        <v>1448</v>
      </c>
      <c r="I32" s="13" t="s">
        <v>1720</v>
      </c>
    </row>
    <row r="33" ht="22.5" customHeight="1">
      <c r="A33" s="12">
        <v>46082.85562421296</v>
      </c>
      <c r="B33" s="13" t="s">
        <v>74</v>
      </c>
      <c r="C33" s="13" t="s">
        <v>76</v>
      </c>
      <c r="D33" s="13">
        <v>9.142347554E9</v>
      </c>
      <c r="E33" s="13">
        <v>7.26</v>
      </c>
      <c r="F33" s="14" t="s">
        <v>79</v>
      </c>
      <c r="G33" s="14" t="s">
        <v>83</v>
      </c>
      <c r="H33" s="13" t="s">
        <v>1448</v>
      </c>
      <c r="I33" s="13" t="s">
        <v>1731</v>
      </c>
    </row>
    <row r="34" ht="22.5" customHeight="1">
      <c r="A34" s="12">
        <v>46082.82248967593</v>
      </c>
      <c r="B34" s="13" t="s">
        <v>1732</v>
      </c>
      <c r="C34" s="13" t="s">
        <v>385</v>
      </c>
      <c r="D34" s="13">
        <v>9.911251919E9</v>
      </c>
      <c r="E34" s="13">
        <v>8.24</v>
      </c>
      <c r="F34" s="14" t="s">
        <v>1734</v>
      </c>
      <c r="G34" s="14" t="s">
        <v>1736</v>
      </c>
      <c r="H34" s="13" t="s">
        <v>1448</v>
      </c>
      <c r="I34" s="13" t="s">
        <v>1738</v>
      </c>
    </row>
    <row r="35" ht="22.5" customHeight="1">
      <c r="A35" s="12">
        <v>46082.94685620371</v>
      </c>
      <c r="B35" s="13" t="s">
        <v>563</v>
      </c>
      <c r="C35" s="13" t="s">
        <v>567</v>
      </c>
      <c r="D35" s="13">
        <v>8.158815626E9</v>
      </c>
      <c r="E35" s="13">
        <v>9.23</v>
      </c>
      <c r="F35" s="14" t="s">
        <v>573</v>
      </c>
      <c r="G35" s="14" t="s">
        <v>579</v>
      </c>
      <c r="H35" s="13" t="s">
        <v>1448</v>
      </c>
      <c r="I35" s="13" t="s">
        <v>1742</v>
      </c>
    </row>
    <row r="36" ht="22.5" customHeight="1">
      <c r="A36" s="12">
        <v>46082.936792824075</v>
      </c>
      <c r="B36" s="13" t="s">
        <v>67</v>
      </c>
      <c r="C36" s="13" t="s">
        <v>65</v>
      </c>
      <c r="D36" s="13">
        <v>7.081012288E9</v>
      </c>
      <c r="E36" s="13">
        <v>7.98</v>
      </c>
      <c r="F36" s="14" t="s">
        <v>1744</v>
      </c>
      <c r="G36" s="14" t="s">
        <v>1749</v>
      </c>
      <c r="H36" s="13" t="s">
        <v>1448</v>
      </c>
      <c r="I36" s="13" t="s">
        <v>1759</v>
      </c>
    </row>
    <row r="37" ht="22.5" customHeight="1">
      <c r="A37" s="12">
        <v>46082.92485925926</v>
      </c>
      <c r="B37" s="13" t="s">
        <v>118</v>
      </c>
      <c r="C37" s="13" t="s">
        <v>117</v>
      </c>
      <c r="D37" s="13">
        <v>8.982915656E9</v>
      </c>
      <c r="E37" s="13">
        <v>6.75</v>
      </c>
      <c r="F37" s="14" t="s">
        <v>1773</v>
      </c>
      <c r="G37" s="14" t="s">
        <v>1786</v>
      </c>
      <c r="H37" s="13" t="s">
        <v>1448</v>
      </c>
      <c r="I37" s="13" t="s">
        <v>1789</v>
      </c>
    </row>
    <row r="38" ht="22.5" customHeight="1">
      <c r="A38" s="12">
        <v>46082.86437373843</v>
      </c>
      <c r="B38" s="13" t="s">
        <v>1607</v>
      </c>
      <c r="C38" s="13" t="s">
        <v>468</v>
      </c>
      <c r="D38" s="13">
        <v>7.388999447E9</v>
      </c>
      <c r="E38" s="13">
        <v>7.84</v>
      </c>
      <c r="F38" s="14" t="s">
        <v>474</v>
      </c>
      <c r="G38" s="14" t="s">
        <v>481</v>
      </c>
      <c r="H38" s="13" t="s">
        <v>1448</v>
      </c>
      <c r="I38" s="13" t="s">
        <v>1792</v>
      </c>
    </row>
    <row r="39" ht="22.5" customHeight="1">
      <c r="A39" s="12">
        <v>46083.412491828705</v>
      </c>
      <c r="B39" s="13" t="s">
        <v>1794</v>
      </c>
      <c r="C39" s="13" t="s">
        <v>792</v>
      </c>
      <c r="D39" s="13">
        <v>9.119292553E9</v>
      </c>
      <c r="E39" s="13">
        <v>6.9</v>
      </c>
      <c r="F39" s="14" t="s">
        <v>1798</v>
      </c>
      <c r="G39" s="14" t="s">
        <v>1805</v>
      </c>
      <c r="H39" s="13" t="s">
        <v>1448</v>
      </c>
      <c r="I39" s="13" t="s">
        <v>1813</v>
      </c>
    </row>
    <row r="40" ht="22.5" customHeight="1">
      <c r="A40" s="12">
        <v>46083.37495362268</v>
      </c>
      <c r="B40" s="13" t="s">
        <v>1440</v>
      </c>
      <c r="C40" s="13" t="s">
        <v>1439</v>
      </c>
      <c r="D40" s="13">
        <v>8.376890957E9</v>
      </c>
      <c r="E40" s="13">
        <v>7.45</v>
      </c>
      <c r="F40" s="14" t="s">
        <v>1814</v>
      </c>
      <c r="G40" s="14" t="s">
        <v>1815</v>
      </c>
      <c r="H40" s="13" t="s">
        <v>1485</v>
      </c>
      <c r="J40" s="13" t="s">
        <v>1818</v>
      </c>
    </row>
    <row r="41" ht="22.5" customHeight="1">
      <c r="A41" s="12">
        <v>46083.403337372685</v>
      </c>
      <c r="B41" s="13" t="s">
        <v>853</v>
      </c>
      <c r="C41" s="13" t="s">
        <v>852</v>
      </c>
      <c r="D41" s="13">
        <v>7.493012173E9</v>
      </c>
      <c r="E41" s="13">
        <v>8.84</v>
      </c>
      <c r="F41" s="14" t="s">
        <v>1819</v>
      </c>
      <c r="G41" s="14" t="s">
        <v>1821</v>
      </c>
      <c r="H41" s="13" t="s">
        <v>1485</v>
      </c>
      <c r="J41" s="13" t="s">
        <v>1823</v>
      </c>
    </row>
    <row r="42" ht="22.5" customHeight="1">
      <c r="A42" s="12">
        <v>46083.411820625</v>
      </c>
      <c r="B42" s="13" t="s">
        <v>1017</v>
      </c>
      <c r="C42" s="13" t="s">
        <v>1016</v>
      </c>
      <c r="D42" s="13">
        <v>8.529569118E9</v>
      </c>
      <c r="E42" s="13">
        <v>8.6</v>
      </c>
      <c r="F42" s="14" t="s">
        <v>1827</v>
      </c>
      <c r="G42" s="14" t="s">
        <v>1832</v>
      </c>
      <c r="H42" s="13" t="s">
        <v>1448</v>
      </c>
      <c r="I42" s="13" t="s">
        <v>1834</v>
      </c>
    </row>
    <row r="43" ht="22.5" customHeight="1">
      <c r="A43" s="12">
        <v>46083.2770447338</v>
      </c>
      <c r="B43" s="13" t="s">
        <v>339</v>
      </c>
      <c r="C43" s="13" t="s">
        <v>336</v>
      </c>
      <c r="D43" s="13">
        <v>8.902170105E9</v>
      </c>
      <c r="E43" s="13">
        <v>8.9</v>
      </c>
      <c r="F43" s="14" t="s">
        <v>1838</v>
      </c>
      <c r="G43" s="14" t="s">
        <v>1841</v>
      </c>
      <c r="H43" s="13" t="s">
        <v>1448</v>
      </c>
      <c r="I43" s="13" t="s">
        <v>1846</v>
      </c>
    </row>
    <row r="44" ht="22.5" customHeight="1">
      <c r="A44" s="12">
        <v>46083.440509189815</v>
      </c>
      <c r="B44" s="13" t="s">
        <v>138</v>
      </c>
      <c r="C44" s="13" t="s">
        <v>137</v>
      </c>
      <c r="D44" s="13">
        <v>9.671881556E9</v>
      </c>
      <c r="E44" s="13">
        <v>7.51</v>
      </c>
      <c r="F44" s="14" t="s">
        <v>1850</v>
      </c>
      <c r="G44" s="14" t="s">
        <v>1854</v>
      </c>
      <c r="H44" s="13" t="s">
        <v>1527</v>
      </c>
      <c r="K44" s="13" t="s">
        <v>1857</v>
      </c>
    </row>
  </sheetData>
  <hyperlinks>
    <hyperlink r:id="rId2" ref="F2"/>
    <hyperlink r:id="rId3" ref="G2"/>
    <hyperlink r:id="rId4" ref="F3"/>
    <hyperlink r:id="rId5" ref="G3"/>
    <hyperlink r:id="rId6" ref="F4"/>
    <hyperlink r:id="rId7" ref="G4"/>
    <hyperlink r:id="rId8" ref="F5"/>
    <hyperlink r:id="rId9" ref="G5"/>
    <hyperlink r:id="rId10" ref="F6"/>
    <hyperlink r:id="rId11" ref="G6"/>
    <hyperlink r:id="rId12" ref="F7"/>
    <hyperlink r:id="rId13" ref="G7"/>
    <hyperlink r:id="rId14" ref="F8"/>
    <hyperlink r:id="rId15" ref="G8"/>
    <hyperlink r:id="rId16" ref="F9"/>
    <hyperlink r:id="rId17" ref="G9"/>
    <hyperlink r:id="rId18" ref="F10"/>
    <hyperlink r:id="rId19" ref="G10"/>
    <hyperlink r:id="rId20" ref="F11"/>
    <hyperlink r:id="rId21" ref="G11"/>
    <hyperlink r:id="rId22" ref="F12"/>
    <hyperlink r:id="rId23" ref="G12"/>
    <hyperlink r:id="rId24" ref="F13"/>
    <hyperlink r:id="rId25" ref="G13"/>
    <hyperlink r:id="rId26" ref="F14"/>
    <hyperlink r:id="rId27" ref="G14"/>
    <hyperlink r:id="rId28" ref="F15"/>
    <hyperlink r:id="rId29" ref="G15"/>
    <hyperlink r:id="rId30" ref="F16"/>
    <hyperlink r:id="rId31" ref="G16"/>
    <hyperlink r:id="rId32" ref="F17"/>
    <hyperlink r:id="rId33" ref="G17"/>
    <hyperlink r:id="rId34" ref="F18"/>
    <hyperlink r:id="rId35" ref="G18"/>
    <hyperlink r:id="rId36" ref="F19"/>
    <hyperlink r:id="rId37" ref="G19"/>
    <hyperlink r:id="rId38" ref="F20"/>
    <hyperlink r:id="rId39" ref="G20"/>
    <hyperlink r:id="rId40" ref="F21"/>
    <hyperlink r:id="rId41" ref="G21"/>
    <hyperlink r:id="rId42" ref="F22"/>
    <hyperlink r:id="rId43" ref="G22"/>
    <hyperlink r:id="rId44" ref="F23"/>
    <hyperlink r:id="rId45" ref="G23"/>
    <hyperlink r:id="rId46" ref="F24"/>
    <hyperlink r:id="rId47" ref="F25"/>
    <hyperlink r:id="rId48" ref="G25"/>
    <hyperlink r:id="rId49" ref="F26"/>
    <hyperlink r:id="rId50" ref="G26"/>
    <hyperlink r:id="rId51" ref="F27"/>
    <hyperlink r:id="rId52" ref="G27"/>
    <hyperlink r:id="rId53" ref="F28"/>
    <hyperlink r:id="rId54" ref="G28"/>
    <hyperlink r:id="rId55" ref="F29"/>
    <hyperlink r:id="rId56" ref="G29"/>
    <hyperlink r:id="rId57" ref="F30"/>
    <hyperlink r:id="rId58" ref="G30"/>
    <hyperlink r:id="rId59" ref="F31"/>
    <hyperlink r:id="rId60" ref="G31"/>
    <hyperlink r:id="rId61" ref="F32"/>
    <hyperlink r:id="rId62" ref="G32"/>
    <hyperlink r:id="rId63" ref="F33"/>
    <hyperlink r:id="rId64" ref="G33"/>
    <hyperlink r:id="rId65" ref="F34"/>
    <hyperlink r:id="rId66" ref="G34"/>
    <hyperlink r:id="rId67" ref="F35"/>
    <hyperlink r:id="rId68" ref="G35"/>
    <hyperlink r:id="rId69" ref="F36"/>
    <hyperlink r:id="rId70" ref="G36"/>
    <hyperlink r:id="rId71" ref="F37"/>
    <hyperlink r:id="rId72" ref="G37"/>
    <hyperlink r:id="rId73" ref="F38"/>
    <hyperlink r:id="rId74" ref="G38"/>
    <hyperlink r:id="rId75" ref="F39"/>
    <hyperlink r:id="rId76" ref="G39"/>
    <hyperlink r:id="rId77" ref="F40"/>
    <hyperlink r:id="rId78" ref="G40"/>
    <hyperlink r:id="rId79" ref="F41"/>
    <hyperlink r:id="rId80" ref="G41"/>
    <hyperlink r:id="rId81" ref="F42"/>
    <hyperlink r:id="rId82" ref="G42"/>
    <hyperlink r:id="rId83" ref="F43"/>
    <hyperlink r:id="rId84" ref="G43"/>
    <hyperlink r:id="rId85" ref="F44"/>
    <hyperlink r:id="rId86" ref="G44"/>
  </hyperlinks>
  <drawing r:id="rId87"/>
  <legacyDrawing r:id="rId88"/>
  <tableParts count="1">
    <tablePart r:id="rId90"/>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9.88"/>
    <col customWidth="1" min="7" max="7" width="37.63"/>
    <col customWidth="1" min="8" max="8" width="18.88"/>
    <col customWidth="1" min="9" max="9" width="49.25"/>
    <col customWidth="1" min="10" max="12" width="37.63"/>
    <col customWidth="1" min="13" max="18" width="18.88"/>
  </cols>
  <sheetData>
    <row r="1" ht="22.5" customHeight="1">
      <c r="A1" s="2" t="s">
        <v>0</v>
      </c>
      <c r="B1" s="2" t="s">
        <v>3</v>
      </c>
      <c r="C1" s="2" t="s">
        <v>5</v>
      </c>
      <c r="D1" s="2" t="s">
        <v>7</v>
      </c>
      <c r="E1" s="2" t="s">
        <v>10</v>
      </c>
      <c r="F1" s="2" t="s">
        <v>9</v>
      </c>
      <c r="G1" s="2" t="s">
        <v>16</v>
      </c>
      <c r="H1" s="2" t="s">
        <v>20</v>
      </c>
      <c r="I1" s="2" t="s">
        <v>13</v>
      </c>
      <c r="J1" s="2" t="s">
        <v>1417</v>
      </c>
      <c r="K1" s="2" t="s">
        <v>14</v>
      </c>
      <c r="L1" s="2" t="s">
        <v>1422</v>
      </c>
    </row>
    <row r="2" ht="22.5" customHeight="1">
      <c r="A2" s="7">
        <v>46086.76293694445</v>
      </c>
      <c r="B2" s="8" t="s">
        <v>42</v>
      </c>
      <c r="C2" s="8" t="s">
        <v>41</v>
      </c>
      <c r="D2" s="8">
        <v>7.65803469E9</v>
      </c>
      <c r="E2" s="8">
        <v>9.21</v>
      </c>
      <c r="F2" s="10" t="s">
        <v>1466</v>
      </c>
      <c r="G2" s="10" t="s">
        <v>1469</v>
      </c>
      <c r="H2" s="8" t="s">
        <v>1448</v>
      </c>
      <c r="I2" s="8" t="s">
        <v>1472</v>
      </c>
      <c r="J2" s="11"/>
      <c r="K2" s="11"/>
      <c r="L2" s="11"/>
    </row>
    <row r="3" ht="22.5" customHeight="1">
      <c r="A3" s="12">
        <v>46086.768919305556</v>
      </c>
      <c r="B3" s="13" t="s">
        <v>1475</v>
      </c>
      <c r="C3" s="13" t="s">
        <v>77</v>
      </c>
      <c r="D3" s="13">
        <v>9.014161179E9</v>
      </c>
      <c r="E3" s="13">
        <v>6.52</v>
      </c>
      <c r="F3" s="14" t="s">
        <v>1478</v>
      </c>
      <c r="G3" s="14" t="s">
        <v>1481</v>
      </c>
      <c r="H3" s="13" t="s">
        <v>1448</v>
      </c>
      <c r="I3" s="13" t="s">
        <v>1484</v>
      </c>
    </row>
    <row r="4" ht="22.5" customHeight="1">
      <c r="A4" s="12">
        <v>46086.773651041665</v>
      </c>
      <c r="B4" s="13" t="s">
        <v>202</v>
      </c>
      <c r="C4" s="13" t="s">
        <v>201</v>
      </c>
      <c r="D4" s="13">
        <v>8.950474501E9</v>
      </c>
      <c r="E4" s="13">
        <v>7.55</v>
      </c>
      <c r="F4" s="14" t="s">
        <v>1487</v>
      </c>
      <c r="G4" s="14" t="s">
        <v>1167</v>
      </c>
      <c r="H4" s="13" t="s">
        <v>1448</v>
      </c>
      <c r="I4" s="13" t="s">
        <v>1491</v>
      </c>
    </row>
    <row r="5" ht="22.5" customHeight="1">
      <c r="A5" s="12">
        <v>46086.784759270835</v>
      </c>
      <c r="B5" s="13" t="s">
        <v>40</v>
      </c>
      <c r="C5" s="13" t="s">
        <v>38</v>
      </c>
      <c r="D5" s="13">
        <v>9.28496916E9</v>
      </c>
      <c r="E5" s="13">
        <v>9.9</v>
      </c>
      <c r="F5" s="14" t="s">
        <v>1495</v>
      </c>
      <c r="G5" s="14" t="s">
        <v>1498</v>
      </c>
      <c r="H5" s="13" t="s">
        <v>1448</v>
      </c>
      <c r="I5" s="13" t="s">
        <v>1501</v>
      </c>
    </row>
    <row r="6" ht="22.5" customHeight="1">
      <c r="A6" s="12">
        <v>46086.80178342592</v>
      </c>
      <c r="B6" s="13" t="s">
        <v>1171</v>
      </c>
      <c r="C6" s="13" t="s">
        <v>1170</v>
      </c>
      <c r="D6" s="13">
        <v>9.998021306E9</v>
      </c>
      <c r="E6" s="13">
        <v>7.88</v>
      </c>
      <c r="F6" s="14" t="s">
        <v>1503</v>
      </c>
      <c r="G6" s="14" t="s">
        <v>1506</v>
      </c>
      <c r="H6" s="13" t="s">
        <v>1448</v>
      </c>
      <c r="I6" s="13" t="s">
        <v>1509</v>
      </c>
    </row>
    <row r="7" ht="22.5" customHeight="1">
      <c r="A7" s="12">
        <v>46086.957643622685</v>
      </c>
      <c r="B7" s="13" t="s">
        <v>1511</v>
      </c>
      <c r="C7" s="13" t="s">
        <v>1164</v>
      </c>
      <c r="D7" s="13">
        <v>7.275040865E9</v>
      </c>
      <c r="E7" s="13">
        <v>7.63</v>
      </c>
      <c r="F7" s="14" t="s">
        <v>1513</v>
      </c>
      <c r="G7" s="14" t="s">
        <v>1516</v>
      </c>
      <c r="H7" s="13" t="s">
        <v>1485</v>
      </c>
      <c r="J7" s="13" t="s">
        <v>1520</v>
      </c>
    </row>
    <row r="8" ht="22.5" customHeight="1">
      <c r="A8" s="12">
        <v>46087.370139652776</v>
      </c>
      <c r="B8" s="13" t="s">
        <v>133</v>
      </c>
      <c r="C8" s="13" t="s">
        <v>132</v>
      </c>
      <c r="D8" s="13">
        <v>6.353619807E9</v>
      </c>
      <c r="E8" s="13">
        <v>7.93</v>
      </c>
      <c r="F8" s="14" t="s">
        <v>1523</v>
      </c>
      <c r="G8" s="14" t="s">
        <v>1525</v>
      </c>
      <c r="H8" s="13" t="s">
        <v>1485</v>
      </c>
      <c r="J8" s="13" t="s">
        <v>1529</v>
      </c>
    </row>
    <row r="9" ht="22.5" customHeight="1">
      <c r="A9" s="12">
        <v>46089.762586111116</v>
      </c>
      <c r="B9" s="13" t="s">
        <v>81</v>
      </c>
      <c r="C9" s="13" t="s">
        <v>80</v>
      </c>
      <c r="D9" s="13">
        <v>7.303916723E9</v>
      </c>
      <c r="E9" s="13">
        <v>7.22</v>
      </c>
      <c r="F9" s="14" t="s">
        <v>1531</v>
      </c>
      <c r="G9" s="14" t="s">
        <v>1532</v>
      </c>
      <c r="H9" s="13" t="s">
        <v>1448</v>
      </c>
      <c r="I9" s="13" t="s">
        <v>1534</v>
      </c>
    </row>
    <row r="10" ht="22.5" customHeight="1">
      <c r="A10" s="12">
        <v>46089.76473180555</v>
      </c>
      <c r="B10" s="13" t="s">
        <v>1536</v>
      </c>
      <c r="C10" s="13" t="s">
        <v>21</v>
      </c>
      <c r="D10" s="13">
        <v>9.166972279E9</v>
      </c>
      <c r="E10" s="13">
        <v>7.09</v>
      </c>
      <c r="F10" s="14" t="s">
        <v>1538</v>
      </c>
      <c r="G10" s="14" t="s">
        <v>1540</v>
      </c>
      <c r="H10" s="13" t="s">
        <v>1448</v>
      </c>
      <c r="I10" s="13" t="s">
        <v>1542</v>
      </c>
    </row>
    <row r="11" ht="22.5" customHeight="1">
      <c r="A11" s="12">
        <v>46089.79248459491</v>
      </c>
      <c r="B11" s="13" t="s">
        <v>1093</v>
      </c>
      <c r="C11" s="13" t="s">
        <v>240</v>
      </c>
      <c r="D11" s="13">
        <v>9.121181429E9</v>
      </c>
      <c r="E11" s="13">
        <v>7.35</v>
      </c>
      <c r="F11" s="14" t="s">
        <v>1099</v>
      </c>
      <c r="G11" s="14" t="s">
        <v>1103</v>
      </c>
      <c r="H11" s="13" t="s">
        <v>1527</v>
      </c>
      <c r="K11" s="13" t="s">
        <v>1546</v>
      </c>
    </row>
    <row r="12" ht="22.5" customHeight="1">
      <c r="A12" s="12">
        <v>46089.79271346064</v>
      </c>
      <c r="B12" s="13" t="s">
        <v>529</v>
      </c>
      <c r="C12" s="13" t="s">
        <v>532</v>
      </c>
      <c r="D12" s="13">
        <v>6.291748061E9</v>
      </c>
      <c r="E12" s="13">
        <v>6.84</v>
      </c>
      <c r="F12" s="14" t="s">
        <v>1548</v>
      </c>
      <c r="G12" s="14" t="s">
        <v>1550</v>
      </c>
      <c r="H12" s="13" t="s">
        <v>1448</v>
      </c>
      <c r="I12" s="13" t="s">
        <v>1551</v>
      </c>
    </row>
    <row r="13" ht="22.5" customHeight="1">
      <c r="A13" s="12">
        <v>46089.794589930556</v>
      </c>
      <c r="B13" s="13" t="s">
        <v>977</v>
      </c>
      <c r="C13" s="13" t="s">
        <v>975</v>
      </c>
      <c r="D13" s="13">
        <v>9.004993795E9</v>
      </c>
      <c r="E13" s="13">
        <v>6.9</v>
      </c>
      <c r="F13" s="14" t="s">
        <v>1555</v>
      </c>
      <c r="G13" s="14" t="s">
        <v>1556</v>
      </c>
      <c r="H13" s="13" t="s">
        <v>1448</v>
      </c>
      <c r="I13" s="13" t="s">
        <v>1558</v>
      </c>
    </row>
    <row r="14" ht="22.5" customHeight="1">
      <c r="A14" s="12">
        <v>46089.81111376158</v>
      </c>
      <c r="B14" s="13" t="s">
        <v>1559</v>
      </c>
      <c r="C14" s="13" t="s">
        <v>26</v>
      </c>
      <c r="D14" s="13">
        <v>9.361951524E9</v>
      </c>
      <c r="E14" s="13">
        <v>7.08</v>
      </c>
      <c r="F14" s="14" t="s">
        <v>1560</v>
      </c>
      <c r="G14" s="14" t="s">
        <v>1563</v>
      </c>
      <c r="H14" s="13" t="s">
        <v>1448</v>
      </c>
      <c r="I14" s="13" t="s">
        <v>1564</v>
      </c>
    </row>
    <row r="15" ht="22.5" customHeight="1">
      <c r="A15" s="12">
        <v>46089.8641042824</v>
      </c>
      <c r="B15" s="13" t="s">
        <v>1565</v>
      </c>
      <c r="C15" s="13" t="s">
        <v>211</v>
      </c>
      <c r="D15" s="13">
        <v>6.381288446E9</v>
      </c>
      <c r="E15" s="13">
        <v>6.94</v>
      </c>
      <c r="F15" s="14" t="s">
        <v>1568</v>
      </c>
      <c r="G15" s="14" t="s">
        <v>1433</v>
      </c>
      <c r="H15" s="13" t="s">
        <v>1448</v>
      </c>
      <c r="I15" s="13" t="s">
        <v>1571</v>
      </c>
    </row>
    <row r="16" ht="22.5" customHeight="1">
      <c r="A16" s="12">
        <v>46089.870708518516</v>
      </c>
      <c r="B16" s="13" t="s">
        <v>237</v>
      </c>
      <c r="C16" s="13" t="s">
        <v>236</v>
      </c>
      <c r="D16" s="13">
        <v>7.668251698E9</v>
      </c>
      <c r="E16" s="13">
        <v>8.57</v>
      </c>
      <c r="F16" s="14" t="s">
        <v>1573</v>
      </c>
      <c r="G16" s="14" t="s">
        <v>1575</v>
      </c>
      <c r="H16" s="13" t="s">
        <v>1448</v>
      </c>
      <c r="I16" s="13" t="s">
        <v>1577</v>
      </c>
    </row>
    <row r="17" ht="22.5" customHeight="1">
      <c r="A17" s="12">
        <v>46089.88812695602</v>
      </c>
      <c r="B17" s="13" t="s">
        <v>1101</v>
      </c>
      <c r="C17" s="13" t="s">
        <v>1100</v>
      </c>
      <c r="D17" s="13">
        <v>7.988576592E9</v>
      </c>
      <c r="E17" s="13">
        <v>7.12</v>
      </c>
      <c r="F17" s="14" t="s">
        <v>1580</v>
      </c>
      <c r="G17" s="14" t="s">
        <v>1581</v>
      </c>
      <c r="H17" s="13" t="s">
        <v>1448</v>
      </c>
      <c r="I17" s="13" t="s">
        <v>1583</v>
      </c>
    </row>
    <row r="18" ht="22.5" customHeight="1">
      <c r="A18" s="12">
        <v>46089.91711814815</v>
      </c>
      <c r="B18" s="13" t="s">
        <v>1585</v>
      </c>
      <c r="C18" s="13" t="s">
        <v>646</v>
      </c>
      <c r="D18" s="13">
        <v>6.383640754E9</v>
      </c>
      <c r="E18" s="13">
        <v>7.24</v>
      </c>
      <c r="F18" s="14" t="s">
        <v>1587</v>
      </c>
      <c r="G18" s="14" t="s">
        <v>1589</v>
      </c>
      <c r="H18" s="13" t="s">
        <v>1448</v>
      </c>
      <c r="I18" s="13" t="s">
        <v>1591</v>
      </c>
    </row>
    <row r="19" ht="22.5" customHeight="1">
      <c r="A19" s="12">
        <v>46089.9320381713</v>
      </c>
      <c r="B19" s="13" t="s">
        <v>1010</v>
      </c>
      <c r="C19" s="13" t="s">
        <v>150</v>
      </c>
      <c r="D19" s="13">
        <v>8.085511663E9</v>
      </c>
      <c r="E19" s="13">
        <v>6.94</v>
      </c>
      <c r="F19" s="14" t="s">
        <v>1593</v>
      </c>
      <c r="G19" s="14" t="s">
        <v>1026</v>
      </c>
      <c r="H19" s="13" t="s">
        <v>1448</v>
      </c>
      <c r="I19" s="13" t="s">
        <v>1597</v>
      </c>
    </row>
    <row r="20" ht="22.5" customHeight="1">
      <c r="A20" s="12">
        <v>46090.531963657406</v>
      </c>
      <c r="B20" s="13" t="s">
        <v>1598</v>
      </c>
      <c r="C20" s="13" t="s">
        <v>592</v>
      </c>
      <c r="D20" s="13">
        <v>8.275340199E9</v>
      </c>
      <c r="E20" s="13">
        <v>7.5</v>
      </c>
      <c r="F20" s="13" t="s">
        <v>1600</v>
      </c>
      <c r="G20" s="13" t="s">
        <v>1600</v>
      </c>
      <c r="H20" s="13" t="s">
        <v>1448</v>
      </c>
      <c r="I20" s="13" t="s">
        <v>1601</v>
      </c>
    </row>
    <row r="21" ht="22.5" customHeight="1">
      <c r="A21" s="12">
        <v>46090.53197636574</v>
      </c>
      <c r="B21" s="13" t="s">
        <v>528</v>
      </c>
      <c r="C21" s="13" t="s">
        <v>527</v>
      </c>
      <c r="D21" s="13">
        <v>8.319347881E9</v>
      </c>
      <c r="E21" s="13">
        <v>8.59</v>
      </c>
      <c r="F21" s="14" t="s">
        <v>1603</v>
      </c>
      <c r="G21" s="14" t="s">
        <v>1605</v>
      </c>
      <c r="H21" s="13" t="s">
        <v>1448</v>
      </c>
      <c r="I21" s="13" t="s">
        <v>1606</v>
      </c>
    </row>
    <row r="22" ht="22.5" customHeight="1">
      <c r="A22" s="12">
        <v>46090.53827868056</v>
      </c>
      <c r="B22" s="13" t="s">
        <v>1607</v>
      </c>
      <c r="C22" s="13" t="s">
        <v>468</v>
      </c>
      <c r="D22" s="13">
        <v>7.388999447E9</v>
      </c>
      <c r="E22" s="13">
        <v>7.84</v>
      </c>
      <c r="F22" s="14" t="s">
        <v>474</v>
      </c>
      <c r="G22" s="14" t="s">
        <v>481</v>
      </c>
      <c r="H22" s="13" t="s">
        <v>1448</v>
      </c>
      <c r="I22" s="13" t="s">
        <v>1611</v>
      </c>
    </row>
    <row r="23" ht="22.5" customHeight="1">
      <c r="A23" s="12">
        <v>46090.54231091435</v>
      </c>
      <c r="B23" s="13" t="s">
        <v>836</v>
      </c>
      <c r="C23" s="13" t="s">
        <v>835</v>
      </c>
      <c r="D23" s="13">
        <v>7.834823856E9</v>
      </c>
      <c r="E23" s="13">
        <v>7.87</v>
      </c>
      <c r="F23" s="14" t="s">
        <v>1614</v>
      </c>
      <c r="G23" s="14" t="s">
        <v>1617</v>
      </c>
      <c r="H23" s="13" t="s">
        <v>1448</v>
      </c>
      <c r="I23" s="13" t="s">
        <v>1618</v>
      </c>
    </row>
    <row r="24" ht="22.5" customHeight="1">
      <c r="A24" s="12">
        <v>46090.57529783565</v>
      </c>
      <c r="B24" s="13" t="s">
        <v>1306</v>
      </c>
      <c r="C24" s="13" t="s">
        <v>524</v>
      </c>
      <c r="D24" s="13">
        <v>9.71751023E9</v>
      </c>
      <c r="E24" s="13">
        <v>7.54</v>
      </c>
      <c r="F24" s="14" t="s">
        <v>1621</v>
      </c>
      <c r="G24" s="14" t="s">
        <v>1623</v>
      </c>
      <c r="H24" s="13" t="s">
        <v>1527</v>
      </c>
      <c r="K24" s="13" t="s">
        <v>1625</v>
      </c>
    </row>
    <row r="25" ht="22.5" customHeight="1">
      <c r="A25" s="12">
        <v>46090.6365939699</v>
      </c>
      <c r="B25" s="13" t="s">
        <v>1586</v>
      </c>
      <c r="C25" s="13" t="s">
        <v>120</v>
      </c>
      <c r="D25" s="13">
        <v>8.810475697E9</v>
      </c>
      <c r="E25" s="13">
        <v>6.96</v>
      </c>
      <c r="F25" s="14" t="s">
        <v>1628</v>
      </c>
      <c r="G25" s="14" t="s">
        <v>1631</v>
      </c>
      <c r="H25" s="13" t="s">
        <v>1527</v>
      </c>
      <c r="K25" s="13" t="s">
        <v>1633</v>
      </c>
    </row>
    <row r="26" ht="22.5" customHeight="1">
      <c r="A26" s="12">
        <v>46090.64841483797</v>
      </c>
      <c r="B26" s="13" t="s">
        <v>175</v>
      </c>
      <c r="C26" s="13" t="s">
        <v>174</v>
      </c>
      <c r="D26" s="13">
        <v>7.320010123E9</v>
      </c>
      <c r="E26" s="13">
        <v>7.05</v>
      </c>
      <c r="F26" s="14" t="s">
        <v>1637</v>
      </c>
      <c r="G26" s="14" t="s">
        <v>1640</v>
      </c>
      <c r="H26" s="13" t="s">
        <v>1448</v>
      </c>
      <c r="I26" s="13" t="s">
        <v>1643</v>
      </c>
    </row>
    <row r="27" ht="22.5" customHeight="1">
      <c r="A27" s="12">
        <v>46090.65286377315</v>
      </c>
      <c r="B27" s="13" t="s">
        <v>37</v>
      </c>
      <c r="C27" s="13" t="s">
        <v>39</v>
      </c>
      <c r="D27" s="13">
        <v>8.077448501E9</v>
      </c>
      <c r="E27" s="13">
        <v>7.6</v>
      </c>
      <c r="F27" s="14" t="s">
        <v>43</v>
      </c>
      <c r="G27" s="14" t="s">
        <v>53</v>
      </c>
      <c r="H27" s="13" t="s">
        <v>1448</v>
      </c>
      <c r="I27" s="13" t="s">
        <v>1649</v>
      </c>
    </row>
    <row r="28" ht="22.5" customHeight="1">
      <c r="A28" s="12">
        <v>46090.65557378472</v>
      </c>
      <c r="B28" s="13" t="s">
        <v>544</v>
      </c>
      <c r="C28" s="13" t="s">
        <v>542</v>
      </c>
      <c r="D28" s="13">
        <v>9.677171909E9</v>
      </c>
      <c r="E28" s="13">
        <v>7.93</v>
      </c>
      <c r="F28" s="14" t="s">
        <v>1652</v>
      </c>
      <c r="G28" s="14" t="s">
        <v>1654</v>
      </c>
      <c r="H28" s="13" t="s">
        <v>1448</v>
      </c>
      <c r="I28" s="13" t="s">
        <v>1657</v>
      </c>
    </row>
    <row r="29" ht="22.5" customHeight="1">
      <c r="A29" s="12">
        <v>46090.67550622685</v>
      </c>
      <c r="B29" s="13" t="s">
        <v>650</v>
      </c>
      <c r="C29" s="13" t="s">
        <v>653</v>
      </c>
      <c r="D29" s="13">
        <v>9.546667831E9</v>
      </c>
      <c r="E29" s="13">
        <v>7.03</v>
      </c>
      <c r="F29" s="14" t="s">
        <v>658</v>
      </c>
      <c r="G29" s="14" t="s">
        <v>663</v>
      </c>
      <c r="H29" s="13" t="s">
        <v>1527</v>
      </c>
      <c r="K29" s="13" t="s">
        <v>1662</v>
      </c>
    </row>
    <row r="30" ht="22.5" customHeight="1">
      <c r="A30" s="12">
        <v>46090.718999687495</v>
      </c>
      <c r="B30" s="13" t="s">
        <v>1663</v>
      </c>
      <c r="C30" s="13" t="s">
        <v>283</v>
      </c>
      <c r="D30" s="13">
        <v>8.484077935E9</v>
      </c>
      <c r="E30" s="13">
        <v>6.5</v>
      </c>
      <c r="F30" s="14" t="s">
        <v>1664</v>
      </c>
      <c r="G30" s="14" t="s">
        <v>1667</v>
      </c>
      <c r="H30" s="13" t="s">
        <v>1448</v>
      </c>
      <c r="I30" s="13" t="s">
        <v>1669</v>
      </c>
    </row>
    <row r="31" ht="22.5" customHeight="1">
      <c r="A31" s="12">
        <v>46090.725030127316</v>
      </c>
      <c r="B31" s="13" t="s">
        <v>455</v>
      </c>
      <c r="C31" s="13" t="s">
        <v>454</v>
      </c>
      <c r="D31" s="13">
        <v>9.89046244E9</v>
      </c>
      <c r="E31" s="13">
        <v>8.87</v>
      </c>
      <c r="F31" s="14" t="s">
        <v>1674</v>
      </c>
      <c r="G31" s="14" t="s">
        <v>1676</v>
      </c>
      <c r="H31" s="13" t="s">
        <v>1448</v>
      </c>
      <c r="I31" s="13" t="s">
        <v>1679</v>
      </c>
    </row>
    <row r="32" ht="22.5" customHeight="1">
      <c r="A32" s="12">
        <v>46090.72857273148</v>
      </c>
      <c r="B32" s="13" t="s">
        <v>1681</v>
      </c>
      <c r="C32" s="13" t="s">
        <v>1246</v>
      </c>
      <c r="D32" s="13">
        <v>9.988511591E9</v>
      </c>
      <c r="E32" s="13">
        <v>8.96</v>
      </c>
      <c r="F32" s="14" t="s">
        <v>1683</v>
      </c>
      <c r="G32" s="14" t="s">
        <v>1685</v>
      </c>
      <c r="H32" s="13" t="s">
        <v>1527</v>
      </c>
      <c r="K32" s="13" t="s">
        <v>1688</v>
      </c>
    </row>
    <row r="33" ht="22.5" customHeight="1">
      <c r="A33" s="12">
        <v>46090.770453923615</v>
      </c>
      <c r="B33" s="13" t="s">
        <v>367</v>
      </c>
      <c r="C33" s="13" t="s">
        <v>370</v>
      </c>
      <c r="D33" s="13">
        <v>9.356986148E9</v>
      </c>
      <c r="E33" s="13">
        <v>6.06</v>
      </c>
      <c r="F33" s="14" t="s">
        <v>1690</v>
      </c>
      <c r="G33" s="14" t="s">
        <v>1692</v>
      </c>
      <c r="H33" s="13" t="s">
        <v>1448</v>
      </c>
      <c r="I33" s="13" t="s">
        <v>1695</v>
      </c>
    </row>
    <row r="34" ht="22.5" customHeight="1">
      <c r="A34" s="12">
        <v>46090.836527754625</v>
      </c>
      <c r="B34" s="13" t="s">
        <v>254</v>
      </c>
      <c r="C34" s="13" t="s">
        <v>253</v>
      </c>
      <c r="D34" s="13">
        <v>8.778331142E9</v>
      </c>
      <c r="E34" s="13">
        <v>7.1</v>
      </c>
      <c r="F34" s="14" t="s">
        <v>1699</v>
      </c>
      <c r="G34" s="14" t="s">
        <v>1701</v>
      </c>
      <c r="H34" s="13" t="s">
        <v>1527</v>
      </c>
      <c r="K34" s="13" t="s">
        <v>1707</v>
      </c>
    </row>
    <row r="35" ht="22.5" customHeight="1">
      <c r="A35" s="12">
        <v>46091.59686961806</v>
      </c>
      <c r="B35" s="13" t="s">
        <v>94</v>
      </c>
      <c r="C35" s="13" t="s">
        <v>92</v>
      </c>
      <c r="D35" s="13">
        <v>9.652610345E9</v>
      </c>
      <c r="E35" s="13">
        <v>8.56</v>
      </c>
      <c r="F35" s="14" t="s">
        <v>1709</v>
      </c>
      <c r="G35" s="14" t="s">
        <v>1714</v>
      </c>
      <c r="H35" s="13" t="s">
        <v>1527</v>
      </c>
      <c r="K35" s="13" t="s">
        <v>1717</v>
      </c>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1"/>
    <hyperlink r:id="rId38" ref="G21"/>
    <hyperlink r:id="rId39" ref="F22"/>
    <hyperlink r:id="rId40" ref="G22"/>
    <hyperlink r:id="rId41" ref="F23"/>
    <hyperlink r:id="rId42" ref="G23"/>
    <hyperlink r:id="rId43" ref="F24"/>
    <hyperlink r:id="rId44" ref="G24"/>
    <hyperlink r:id="rId45" ref="F25"/>
    <hyperlink r:id="rId46" ref="G25"/>
    <hyperlink r:id="rId47" ref="F26"/>
    <hyperlink r:id="rId48" ref="G26"/>
    <hyperlink r:id="rId49" ref="F27"/>
    <hyperlink r:id="rId50" ref="G27"/>
    <hyperlink r:id="rId51" ref="F28"/>
    <hyperlink r:id="rId52" ref="G28"/>
    <hyperlink r:id="rId53" ref="F29"/>
    <hyperlink r:id="rId54" ref="G29"/>
    <hyperlink r:id="rId55" ref="F30"/>
    <hyperlink r:id="rId56" ref="G30"/>
    <hyperlink r:id="rId57" ref="F31"/>
    <hyperlink r:id="rId58" ref="G31"/>
    <hyperlink r:id="rId59" ref="F32"/>
    <hyperlink r:id="rId60" ref="G32"/>
    <hyperlink r:id="rId61" ref="F33"/>
    <hyperlink r:id="rId62" ref="G33"/>
    <hyperlink r:id="rId63" ref="F34"/>
    <hyperlink r:id="rId64" ref="G34"/>
    <hyperlink r:id="rId65" ref="F35"/>
    <hyperlink r:id="rId66" ref="G35"/>
  </hyperlinks>
  <drawing r:id="rId67"/>
  <tableParts count="1">
    <tablePart r:id="rId6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9.88"/>
    <col customWidth="1" min="7" max="7" width="37.63"/>
    <col customWidth="1" min="8" max="8" width="20.63"/>
    <col customWidth="1" min="9" max="9" width="66.75"/>
    <col customWidth="1" min="10" max="10" width="37.63"/>
    <col customWidth="1" min="11" max="11" width="60.88"/>
    <col customWidth="1" min="12" max="12" width="37.63"/>
    <col customWidth="1" min="13" max="18" width="18.88"/>
  </cols>
  <sheetData>
    <row r="1" ht="22.5" customHeight="1">
      <c r="A1" s="2" t="s">
        <v>0</v>
      </c>
      <c r="B1" s="2" t="s">
        <v>3</v>
      </c>
      <c r="C1" s="2" t="s">
        <v>5</v>
      </c>
      <c r="D1" s="2" t="s">
        <v>7</v>
      </c>
      <c r="E1" s="2" t="s">
        <v>10</v>
      </c>
      <c r="F1" s="2" t="s">
        <v>9</v>
      </c>
      <c r="G1" s="2" t="s">
        <v>16</v>
      </c>
      <c r="H1" s="2" t="s">
        <v>20</v>
      </c>
      <c r="I1" s="2" t="s">
        <v>1416</v>
      </c>
      <c r="J1" s="2" t="s">
        <v>1417</v>
      </c>
      <c r="K1" s="2" t="s">
        <v>1420</v>
      </c>
      <c r="L1" s="2" t="s">
        <v>1422</v>
      </c>
    </row>
    <row r="2" ht="22.5" customHeight="1">
      <c r="A2" s="12">
        <v>46044.59535038195</v>
      </c>
      <c r="B2" s="13" t="s">
        <v>919</v>
      </c>
      <c r="C2" s="13" t="s">
        <v>918</v>
      </c>
      <c r="D2" s="13">
        <v>8.126397737E9</v>
      </c>
      <c r="E2" s="13">
        <v>7.84</v>
      </c>
      <c r="F2" s="14" t="s">
        <v>1691</v>
      </c>
      <c r="G2" s="14" t="s">
        <v>1694</v>
      </c>
      <c r="H2" s="13" t="s">
        <v>1448</v>
      </c>
      <c r="I2" s="13" t="s">
        <v>1700</v>
      </c>
    </row>
    <row r="3" ht="22.5" customHeight="1">
      <c r="A3" s="12">
        <v>46053.34270180555</v>
      </c>
      <c r="B3" s="13" t="s">
        <v>717</v>
      </c>
      <c r="C3" s="13" t="s">
        <v>716</v>
      </c>
      <c r="D3" s="13">
        <v>7.321969871E9</v>
      </c>
      <c r="E3" s="13">
        <v>7.3</v>
      </c>
      <c r="F3" s="14" t="s">
        <v>1705</v>
      </c>
      <c r="G3" s="14" t="s">
        <v>1497</v>
      </c>
      <c r="H3" s="13" t="s">
        <v>1448</v>
      </c>
      <c r="I3" s="13" t="s">
        <v>1713</v>
      </c>
    </row>
    <row r="4" ht="22.5" customHeight="1">
      <c r="A4" s="12">
        <v>46044.54241753472</v>
      </c>
      <c r="B4" s="13" t="s">
        <v>1716</v>
      </c>
      <c r="C4" s="13" t="s">
        <v>789</v>
      </c>
      <c r="D4" s="13">
        <v>7.895657554E9</v>
      </c>
      <c r="E4" s="13">
        <v>7.73</v>
      </c>
      <c r="F4" s="14" t="s">
        <v>1719</v>
      </c>
      <c r="G4" s="14" t="s">
        <v>1722</v>
      </c>
      <c r="H4" s="13" t="s">
        <v>1527</v>
      </c>
      <c r="K4" s="13" t="s">
        <v>1728</v>
      </c>
    </row>
    <row r="5" ht="22.5" customHeight="1">
      <c r="A5" s="12">
        <v>46049.890617094905</v>
      </c>
      <c r="B5" s="13" t="s">
        <v>1678</v>
      </c>
      <c r="C5" s="13" t="s">
        <v>1024</v>
      </c>
      <c r="D5" s="13">
        <v>7.871464155E9</v>
      </c>
      <c r="E5" s="13">
        <v>6.92</v>
      </c>
      <c r="F5" s="14" t="s">
        <v>1735</v>
      </c>
      <c r="G5" s="14" t="s">
        <v>1682</v>
      </c>
      <c r="H5" s="13" t="s">
        <v>1448</v>
      </c>
      <c r="I5" s="13" t="s">
        <v>1740</v>
      </c>
    </row>
    <row r="6" ht="22.5" customHeight="1">
      <c r="A6" s="12">
        <v>46044.528281527775</v>
      </c>
      <c r="B6" s="13" t="s">
        <v>1033</v>
      </c>
      <c r="C6" s="13" t="s">
        <v>322</v>
      </c>
      <c r="D6" s="13">
        <v>6.367755955E9</v>
      </c>
      <c r="E6" s="13">
        <v>7.17</v>
      </c>
      <c r="F6" s="14" t="s">
        <v>1741</v>
      </c>
      <c r="G6" s="14" t="s">
        <v>1743</v>
      </c>
      <c r="H6" s="13" t="s">
        <v>1448</v>
      </c>
      <c r="I6" s="13" t="s">
        <v>1751</v>
      </c>
    </row>
    <row r="7" ht="22.5" customHeight="1">
      <c r="A7" s="12">
        <v>46049.94796553241</v>
      </c>
      <c r="B7" s="13" t="s">
        <v>669</v>
      </c>
      <c r="C7" s="13" t="s">
        <v>668</v>
      </c>
      <c r="D7" s="13">
        <v>9.452085459E9</v>
      </c>
      <c r="E7" s="13">
        <v>8.02</v>
      </c>
      <c r="F7" s="14" t="s">
        <v>1763</v>
      </c>
      <c r="G7" s="14" t="s">
        <v>1763</v>
      </c>
      <c r="H7" s="13" t="s">
        <v>1485</v>
      </c>
      <c r="J7" s="13" t="s">
        <v>1779</v>
      </c>
    </row>
    <row r="8" ht="22.5" customHeight="1">
      <c r="A8" s="12">
        <v>46044.52994317129</v>
      </c>
      <c r="B8" s="13" t="s">
        <v>1461</v>
      </c>
      <c r="C8" s="13" t="s">
        <v>1115</v>
      </c>
      <c r="D8" s="13">
        <v>9.999482864E9</v>
      </c>
      <c r="E8" s="13">
        <v>8.02</v>
      </c>
      <c r="F8" s="14" t="s">
        <v>1463</v>
      </c>
      <c r="G8" s="14" t="s">
        <v>1464</v>
      </c>
      <c r="H8" s="13" t="s">
        <v>1448</v>
      </c>
      <c r="I8" s="13" t="s">
        <v>1790</v>
      </c>
    </row>
    <row r="9" ht="22.5" customHeight="1">
      <c r="A9" s="12">
        <v>46044.53995896991</v>
      </c>
      <c r="B9" s="13" t="s">
        <v>1137</v>
      </c>
      <c r="C9" s="13" t="s">
        <v>1134</v>
      </c>
      <c r="D9" s="13">
        <v>7.300920262E9</v>
      </c>
      <c r="E9" s="13">
        <v>7.7</v>
      </c>
      <c r="F9" s="14" t="s">
        <v>1791</v>
      </c>
      <c r="G9" s="14" t="s">
        <v>1797</v>
      </c>
      <c r="H9" s="13" t="s">
        <v>1527</v>
      </c>
      <c r="K9" s="13" t="s">
        <v>1808</v>
      </c>
    </row>
    <row r="10" ht="22.5" customHeight="1">
      <c r="A10" s="12">
        <v>46044.53795914352</v>
      </c>
      <c r="B10" s="13" t="s">
        <v>1607</v>
      </c>
      <c r="C10" s="13" t="s">
        <v>468</v>
      </c>
      <c r="D10" s="13">
        <v>7.388999447E9</v>
      </c>
      <c r="E10" s="13">
        <v>7.84</v>
      </c>
      <c r="F10" s="14" t="s">
        <v>474</v>
      </c>
      <c r="G10" s="14" t="s">
        <v>481</v>
      </c>
      <c r="H10" s="13" t="s">
        <v>1448</v>
      </c>
      <c r="I10" s="13" t="s">
        <v>1817</v>
      </c>
    </row>
    <row r="11" ht="22.5" customHeight="1">
      <c r="A11" s="12">
        <v>46044.54917387731</v>
      </c>
      <c r="B11" s="13" t="s">
        <v>1051</v>
      </c>
      <c r="C11" s="13" t="s">
        <v>1050</v>
      </c>
      <c r="D11" s="13">
        <v>9.170639649E9</v>
      </c>
      <c r="E11" s="13">
        <v>7.15</v>
      </c>
      <c r="F11" s="14" t="s">
        <v>1820</v>
      </c>
      <c r="G11" s="14" t="s">
        <v>1822</v>
      </c>
      <c r="H11" s="13" t="s">
        <v>1527</v>
      </c>
      <c r="K11" s="13" t="s">
        <v>1824</v>
      </c>
    </row>
    <row r="12" ht="22.5" customHeight="1">
      <c r="A12" s="12">
        <v>46044.57480872685</v>
      </c>
      <c r="B12" s="13" t="s">
        <v>709</v>
      </c>
      <c r="C12" s="13" t="s">
        <v>708</v>
      </c>
      <c r="D12" s="13">
        <v>6.361218698E9</v>
      </c>
      <c r="E12" s="13">
        <v>8.62</v>
      </c>
      <c r="F12" s="14" t="s">
        <v>1830</v>
      </c>
      <c r="G12" s="14" t="s">
        <v>1835</v>
      </c>
      <c r="H12" s="13" t="s">
        <v>1527</v>
      </c>
      <c r="K12" s="13" t="s">
        <v>1839</v>
      </c>
    </row>
    <row r="13" ht="22.5" customHeight="1">
      <c r="A13" s="12">
        <v>46044.53388232639</v>
      </c>
      <c r="B13" s="13" t="s">
        <v>1044</v>
      </c>
      <c r="C13" s="13" t="s">
        <v>1042</v>
      </c>
      <c r="D13" s="13">
        <v>9.03173033E9</v>
      </c>
      <c r="E13" s="13">
        <v>7.71</v>
      </c>
      <c r="F13" s="14" t="s">
        <v>1847</v>
      </c>
      <c r="G13" s="14" t="s">
        <v>1849</v>
      </c>
      <c r="H13" s="13" t="s">
        <v>1527</v>
      </c>
      <c r="K13" s="13" t="s">
        <v>1853</v>
      </c>
    </row>
    <row r="14" ht="22.5" customHeight="1">
      <c r="A14" s="12">
        <v>46044.54286564815</v>
      </c>
      <c r="B14" s="13" t="s">
        <v>812</v>
      </c>
      <c r="C14" s="13" t="s">
        <v>811</v>
      </c>
      <c r="D14" s="13">
        <v>9.080195188E9</v>
      </c>
      <c r="E14" s="13">
        <v>7.05</v>
      </c>
      <c r="F14" s="14" t="s">
        <v>1855</v>
      </c>
      <c r="G14" s="14" t="s">
        <v>1859</v>
      </c>
      <c r="H14" s="13" t="s">
        <v>1527</v>
      </c>
      <c r="K14" s="13" t="s">
        <v>1863</v>
      </c>
    </row>
    <row r="15" ht="22.5" customHeight="1">
      <c r="A15" s="12">
        <v>46044.54997273148</v>
      </c>
      <c r="B15" s="13" t="s">
        <v>37</v>
      </c>
      <c r="C15" s="13" t="s">
        <v>39</v>
      </c>
      <c r="D15" s="13">
        <v>8.077448501E9</v>
      </c>
      <c r="E15" s="13">
        <v>7.6</v>
      </c>
      <c r="F15" s="14" t="s">
        <v>1864</v>
      </c>
      <c r="G15" s="14" t="s">
        <v>53</v>
      </c>
      <c r="H15" s="13" t="s">
        <v>1448</v>
      </c>
      <c r="I15" s="13" t="s">
        <v>1870</v>
      </c>
    </row>
    <row r="16" ht="22.5" customHeight="1">
      <c r="A16" s="12">
        <v>46045.449461689816</v>
      </c>
      <c r="B16" s="13" t="s">
        <v>1085</v>
      </c>
      <c r="C16" s="13" t="s">
        <v>1083</v>
      </c>
      <c r="D16" s="13">
        <v>7.396626025E9</v>
      </c>
      <c r="E16" s="13">
        <v>7.31</v>
      </c>
      <c r="F16" s="14" t="s">
        <v>1877</v>
      </c>
      <c r="G16" s="14" t="s">
        <v>1881</v>
      </c>
      <c r="H16" s="13" t="s">
        <v>1527</v>
      </c>
      <c r="K16" s="13" t="s">
        <v>1892</v>
      </c>
    </row>
    <row r="17" ht="22.5" customHeight="1">
      <c r="A17" s="12">
        <v>46049.89362371528</v>
      </c>
      <c r="B17" s="13" t="s">
        <v>837</v>
      </c>
      <c r="C17" s="13" t="s">
        <v>838</v>
      </c>
      <c r="D17" s="13">
        <v>9.508492656E9</v>
      </c>
      <c r="E17" s="13">
        <v>6.23</v>
      </c>
      <c r="F17" s="14" t="s">
        <v>1896</v>
      </c>
      <c r="G17" s="14" t="s">
        <v>1904</v>
      </c>
      <c r="H17" s="13" t="s">
        <v>1448</v>
      </c>
      <c r="I17" s="13" t="s">
        <v>1909</v>
      </c>
    </row>
    <row r="18" ht="22.5" customHeight="1">
      <c r="A18" s="12">
        <v>46044.59531431713</v>
      </c>
      <c r="B18" s="13" t="s">
        <v>814</v>
      </c>
      <c r="C18" s="13" t="s">
        <v>813</v>
      </c>
      <c r="D18" s="13">
        <v>8.248409268E9</v>
      </c>
      <c r="E18" s="13">
        <v>8.37</v>
      </c>
      <c r="F18" s="14" t="s">
        <v>1914</v>
      </c>
      <c r="G18" s="14" t="s">
        <v>1914</v>
      </c>
      <c r="H18" s="13" t="s">
        <v>1448</v>
      </c>
      <c r="I18" s="13" t="s">
        <v>1921</v>
      </c>
    </row>
    <row r="19" ht="22.5" customHeight="1">
      <c r="A19" s="12">
        <v>46044.52295979166</v>
      </c>
      <c r="B19" s="13" t="s">
        <v>1862</v>
      </c>
      <c r="C19" s="13" t="s">
        <v>1107</v>
      </c>
      <c r="D19" s="13">
        <v>8.707484932E9</v>
      </c>
      <c r="E19" s="13">
        <v>6.48</v>
      </c>
      <c r="F19" s="14" t="s">
        <v>1925</v>
      </c>
      <c r="G19" s="14" t="s">
        <v>1930</v>
      </c>
      <c r="H19" s="13" t="s">
        <v>1448</v>
      </c>
      <c r="I19" s="13" t="s">
        <v>1938</v>
      </c>
    </row>
    <row r="20" ht="22.5" customHeight="1">
      <c r="A20" s="12">
        <v>46044.61096130787</v>
      </c>
      <c r="B20" s="13" t="s">
        <v>1942</v>
      </c>
      <c r="C20" s="13" t="s">
        <v>741</v>
      </c>
      <c r="D20" s="13">
        <v>6.377423582E9</v>
      </c>
      <c r="E20" s="13">
        <v>7.79</v>
      </c>
      <c r="F20" s="14" t="s">
        <v>1455</v>
      </c>
      <c r="G20" s="14" t="s">
        <v>1457</v>
      </c>
      <c r="H20" s="13" t="s">
        <v>1448</v>
      </c>
      <c r="I20" s="13" t="s">
        <v>1961</v>
      </c>
    </row>
    <row r="21" ht="22.5" customHeight="1">
      <c r="A21" s="12">
        <v>46044.806420891204</v>
      </c>
      <c r="B21" s="13" t="s">
        <v>1943</v>
      </c>
      <c r="C21" s="13" t="s">
        <v>844</v>
      </c>
      <c r="D21" s="13">
        <v>8.305039922E9</v>
      </c>
      <c r="E21" s="13">
        <v>8.37</v>
      </c>
      <c r="F21" s="14" t="s">
        <v>1970</v>
      </c>
      <c r="G21" s="14" t="s">
        <v>1977</v>
      </c>
      <c r="H21" s="13" t="s">
        <v>1485</v>
      </c>
      <c r="J21" s="13" t="s">
        <v>1983</v>
      </c>
    </row>
    <row r="22" ht="22.5" customHeight="1">
      <c r="A22" s="12">
        <v>46044.84987844907</v>
      </c>
      <c r="B22" s="13" t="s">
        <v>1141</v>
      </c>
      <c r="C22" s="13" t="s">
        <v>1140</v>
      </c>
      <c r="D22" s="13">
        <v>6.299568744E9</v>
      </c>
      <c r="E22" s="13">
        <v>7.75</v>
      </c>
      <c r="F22" s="14" t="s">
        <v>1988</v>
      </c>
      <c r="G22" s="14" t="s">
        <v>1992</v>
      </c>
      <c r="H22" s="13" t="s">
        <v>1485</v>
      </c>
      <c r="J22" s="13" t="s">
        <v>1999</v>
      </c>
    </row>
    <row r="23" ht="22.5" customHeight="1">
      <c r="A23" s="12">
        <v>46044.52547579861</v>
      </c>
      <c r="B23" s="13" t="s">
        <v>1078</v>
      </c>
      <c r="C23" s="13" t="s">
        <v>1076</v>
      </c>
      <c r="D23" s="13">
        <v>9.538944471E9</v>
      </c>
      <c r="E23" s="13">
        <v>8.63</v>
      </c>
      <c r="F23" s="14" t="s">
        <v>2008</v>
      </c>
      <c r="G23" s="14" t="s">
        <v>2014</v>
      </c>
      <c r="H23" s="13" t="s">
        <v>1527</v>
      </c>
      <c r="K23" s="13" t="s">
        <v>2019</v>
      </c>
    </row>
    <row r="24" ht="22.5" customHeight="1">
      <c r="A24" s="12">
        <v>46048.85829258102</v>
      </c>
      <c r="B24" s="13" t="s">
        <v>74</v>
      </c>
      <c r="C24" s="13" t="s">
        <v>76</v>
      </c>
      <c r="D24" s="13">
        <v>9.142347554E9</v>
      </c>
      <c r="E24" s="13">
        <v>7.43</v>
      </c>
      <c r="F24" s="14" t="s">
        <v>2022</v>
      </c>
      <c r="G24" s="14" t="s">
        <v>83</v>
      </c>
      <c r="H24" s="13" t="s">
        <v>1448</v>
      </c>
      <c r="I24" s="13" t="s">
        <v>2031</v>
      </c>
    </row>
    <row r="25" ht="22.5" customHeight="1">
      <c r="A25" s="12">
        <v>46049.88978549768</v>
      </c>
      <c r="B25" s="13" t="s">
        <v>2037</v>
      </c>
      <c r="C25" s="13" t="s">
        <v>815</v>
      </c>
      <c r="D25" s="13">
        <v>9.024106878E9</v>
      </c>
      <c r="E25" s="13">
        <v>8.43</v>
      </c>
      <c r="F25" s="14" t="s">
        <v>2052</v>
      </c>
      <c r="G25" s="14" t="s">
        <v>2064</v>
      </c>
      <c r="H25" s="13" t="s">
        <v>2075</v>
      </c>
      <c r="L25" s="13" t="s">
        <v>2079</v>
      </c>
    </row>
    <row r="26" ht="22.5" customHeight="1">
      <c r="A26" s="12">
        <v>46048.86115511574</v>
      </c>
      <c r="B26" s="13" t="s">
        <v>946</v>
      </c>
      <c r="C26" s="13" t="s">
        <v>945</v>
      </c>
      <c r="D26" s="13">
        <v>7.082067896E9</v>
      </c>
      <c r="E26" s="13">
        <v>7.99</v>
      </c>
      <c r="F26" s="14" t="s">
        <v>2091</v>
      </c>
      <c r="G26" s="14" t="s">
        <v>2096</v>
      </c>
      <c r="H26" s="13" t="s">
        <v>1485</v>
      </c>
      <c r="J26" s="13" t="s">
        <v>2101</v>
      </c>
    </row>
    <row r="27" ht="22.5" customHeight="1">
      <c r="A27" s="12">
        <v>46048.87152739584</v>
      </c>
      <c r="B27" s="13" t="s">
        <v>1951</v>
      </c>
      <c r="C27" s="13" t="s">
        <v>1239</v>
      </c>
      <c r="D27" s="13">
        <v>9.967155568E9</v>
      </c>
      <c r="E27" s="13">
        <v>7.39</v>
      </c>
      <c r="F27" s="14" t="s">
        <v>2110</v>
      </c>
      <c r="G27" s="14" t="s">
        <v>2118</v>
      </c>
      <c r="H27" s="13" t="s">
        <v>1448</v>
      </c>
      <c r="I27" s="13" t="s">
        <v>2126</v>
      </c>
    </row>
    <row r="28" ht="22.5" customHeight="1">
      <c r="A28" s="12">
        <v>46048.88758106482</v>
      </c>
      <c r="B28" s="13" t="s">
        <v>621</v>
      </c>
      <c r="C28" s="13" t="s">
        <v>622</v>
      </c>
      <c r="D28" s="13">
        <v>8.368322631E9</v>
      </c>
      <c r="E28" s="13">
        <v>7.3</v>
      </c>
      <c r="F28" s="14" t="s">
        <v>2132</v>
      </c>
      <c r="G28" s="14" t="s">
        <v>2140</v>
      </c>
      <c r="H28" s="13" t="s">
        <v>1527</v>
      </c>
      <c r="K28" s="13" t="s">
        <v>2153</v>
      </c>
    </row>
    <row r="29" ht="22.5" customHeight="1">
      <c r="A29" s="12">
        <v>46048.945436932874</v>
      </c>
      <c r="B29" s="13" t="s">
        <v>747</v>
      </c>
      <c r="C29" s="13" t="s">
        <v>745</v>
      </c>
      <c r="D29" s="13">
        <v>7.338315216E9</v>
      </c>
      <c r="E29" s="13">
        <v>9.01</v>
      </c>
      <c r="F29" s="14" t="s">
        <v>2160</v>
      </c>
      <c r="G29" s="14" t="s">
        <v>2163</v>
      </c>
      <c r="H29" s="13" t="s">
        <v>1527</v>
      </c>
      <c r="K29" s="13" t="s">
        <v>2167</v>
      </c>
    </row>
    <row r="30" ht="22.5" customHeight="1">
      <c r="A30" s="12">
        <v>46048.90238408565</v>
      </c>
      <c r="B30" s="13" t="s">
        <v>282</v>
      </c>
      <c r="C30" s="13" t="s">
        <v>284</v>
      </c>
      <c r="D30" s="13">
        <v>9.460844955E9</v>
      </c>
      <c r="E30" s="13">
        <v>7.87</v>
      </c>
      <c r="F30" s="14" t="s">
        <v>288</v>
      </c>
      <c r="G30" s="14" t="s">
        <v>295</v>
      </c>
      <c r="H30" s="13" t="s">
        <v>1448</v>
      </c>
      <c r="I30" s="13" t="s">
        <v>1909</v>
      </c>
    </row>
    <row r="31" ht="22.5" customHeight="1">
      <c r="A31" s="12">
        <v>46048.904167395835</v>
      </c>
      <c r="B31" s="13" t="s">
        <v>732</v>
      </c>
      <c r="C31" s="13" t="s">
        <v>731</v>
      </c>
      <c r="D31" s="13">
        <v>9.340448257E9</v>
      </c>
      <c r="E31" s="13">
        <v>8.92</v>
      </c>
      <c r="F31" s="14" t="s">
        <v>2198</v>
      </c>
      <c r="G31" s="14" t="s">
        <v>2205</v>
      </c>
      <c r="H31" s="13" t="s">
        <v>1448</v>
      </c>
      <c r="I31" s="13" t="s">
        <v>1740</v>
      </c>
    </row>
    <row r="32" ht="22.5" customHeight="1">
      <c r="A32" s="12">
        <v>46048.91099936343</v>
      </c>
      <c r="B32" s="13" t="s">
        <v>787</v>
      </c>
      <c r="C32" s="13" t="s">
        <v>785</v>
      </c>
      <c r="D32" s="13">
        <v>6.283228175E9</v>
      </c>
      <c r="E32" s="13">
        <v>7.64</v>
      </c>
      <c r="F32" s="14" t="s">
        <v>2218</v>
      </c>
      <c r="G32" s="14" t="s">
        <v>2225</v>
      </c>
      <c r="H32" s="13" t="s">
        <v>1448</v>
      </c>
      <c r="I32" s="13" t="s">
        <v>2231</v>
      </c>
    </row>
    <row r="33" ht="22.5" customHeight="1">
      <c r="A33" s="12">
        <v>46048.91420024306</v>
      </c>
      <c r="B33" s="13" t="s">
        <v>892</v>
      </c>
      <c r="C33" s="13" t="s">
        <v>891</v>
      </c>
      <c r="D33" s="13">
        <v>9.204636108E9</v>
      </c>
      <c r="E33" s="13">
        <v>6.73</v>
      </c>
      <c r="F33" s="14" t="s">
        <v>2238</v>
      </c>
      <c r="G33" s="14" t="s">
        <v>2240</v>
      </c>
      <c r="H33" s="13" t="s">
        <v>1527</v>
      </c>
      <c r="K33" s="13" t="s">
        <v>2244</v>
      </c>
    </row>
    <row r="34" ht="22.5" customHeight="1">
      <c r="A34" s="12">
        <v>46048.87456643519</v>
      </c>
      <c r="B34" s="13" t="s">
        <v>820</v>
      </c>
      <c r="C34" s="13" t="s">
        <v>818</v>
      </c>
      <c r="D34" s="13">
        <v>9.887000516E9</v>
      </c>
      <c r="E34" s="13">
        <v>6.99</v>
      </c>
      <c r="F34" s="14" t="s">
        <v>2245</v>
      </c>
      <c r="G34" s="14" t="s">
        <v>2248</v>
      </c>
      <c r="H34" s="13" t="s">
        <v>1527</v>
      </c>
      <c r="K34" s="13" t="s">
        <v>2250</v>
      </c>
    </row>
    <row r="35" ht="22.5" customHeight="1">
      <c r="A35" s="12">
        <v>46048.98010810185</v>
      </c>
      <c r="B35" s="13" t="s">
        <v>1971</v>
      </c>
      <c r="C35" s="13" t="s">
        <v>701</v>
      </c>
      <c r="D35" s="13">
        <v>9.600186734E9</v>
      </c>
      <c r="E35" s="13">
        <v>9.0</v>
      </c>
      <c r="F35" s="14" t="s">
        <v>2252</v>
      </c>
      <c r="G35" s="14" t="s">
        <v>2254</v>
      </c>
      <c r="H35" s="13" t="s">
        <v>1527</v>
      </c>
      <c r="K35" s="13" t="s">
        <v>2257</v>
      </c>
    </row>
    <row r="36" ht="22.5" customHeight="1">
      <c r="A36" s="12">
        <v>46049.491451145834</v>
      </c>
      <c r="B36" s="13" t="s">
        <v>777</v>
      </c>
      <c r="C36" s="13" t="s">
        <v>776</v>
      </c>
      <c r="D36" s="13">
        <v>9.878200213E9</v>
      </c>
      <c r="E36" s="13">
        <v>8.2</v>
      </c>
      <c r="F36" s="14" t="s">
        <v>2262</v>
      </c>
      <c r="G36" s="14" t="s">
        <v>2267</v>
      </c>
      <c r="H36" s="13" t="s">
        <v>1448</v>
      </c>
      <c r="I36" s="13" t="s">
        <v>2273</v>
      </c>
    </row>
    <row r="37" ht="22.5" customHeight="1">
      <c r="A37" s="12">
        <v>46049.89468693287</v>
      </c>
      <c r="B37" s="13" t="s">
        <v>146</v>
      </c>
      <c r="C37" s="13" t="s">
        <v>149</v>
      </c>
      <c r="D37" s="13">
        <v>8.28777025E9</v>
      </c>
      <c r="E37" s="13">
        <v>7.5</v>
      </c>
      <c r="F37" s="14" t="s">
        <v>2277</v>
      </c>
      <c r="G37" s="14" t="s">
        <v>2279</v>
      </c>
      <c r="H37" s="13" t="s">
        <v>1448</v>
      </c>
      <c r="I37" s="13" t="s">
        <v>2101</v>
      </c>
    </row>
    <row r="38" ht="22.5" customHeight="1">
      <c r="A38" s="12">
        <v>46049.899618923606</v>
      </c>
      <c r="B38" s="13" t="s">
        <v>2283</v>
      </c>
      <c r="C38" s="13" t="s">
        <v>1226</v>
      </c>
      <c r="D38" s="13">
        <v>8.528400125E9</v>
      </c>
      <c r="E38" s="13">
        <v>7.63</v>
      </c>
      <c r="F38" s="14" t="s">
        <v>2284</v>
      </c>
      <c r="G38" s="14" t="s">
        <v>2287</v>
      </c>
      <c r="H38" s="13" t="s">
        <v>2075</v>
      </c>
      <c r="L38" s="13" t="s">
        <v>2290</v>
      </c>
    </row>
    <row r="39" ht="22.5" customHeight="1">
      <c r="A39" s="12">
        <v>46049.906544259255</v>
      </c>
      <c r="B39" s="13" t="s">
        <v>794</v>
      </c>
      <c r="C39" s="13" t="s">
        <v>792</v>
      </c>
      <c r="D39" s="13">
        <v>9.119292553E9</v>
      </c>
      <c r="E39" s="13">
        <v>6.9</v>
      </c>
      <c r="F39" s="14" t="s">
        <v>1129</v>
      </c>
      <c r="G39" s="14" t="s">
        <v>1136</v>
      </c>
      <c r="H39" s="13" t="s">
        <v>1448</v>
      </c>
      <c r="I39" s="13" t="s">
        <v>2031</v>
      </c>
    </row>
    <row r="40" ht="22.5" customHeight="1">
      <c r="A40" s="12">
        <v>46049.91337152778</v>
      </c>
      <c r="B40" s="13" t="s">
        <v>730</v>
      </c>
      <c r="C40" s="13" t="s">
        <v>728</v>
      </c>
      <c r="D40" s="13">
        <v>6.394540805E9</v>
      </c>
      <c r="E40" s="13">
        <v>7.2</v>
      </c>
      <c r="F40" s="14" t="s">
        <v>2293</v>
      </c>
      <c r="G40" s="14" t="s">
        <v>2296</v>
      </c>
      <c r="H40" s="13" t="s">
        <v>1485</v>
      </c>
      <c r="J40" s="13" t="s">
        <v>2297</v>
      </c>
    </row>
    <row r="41" ht="22.5" customHeight="1">
      <c r="A41" s="12">
        <v>46050.5418505787</v>
      </c>
      <c r="B41" s="13" t="s">
        <v>864</v>
      </c>
      <c r="C41" s="13" t="s">
        <v>862</v>
      </c>
      <c r="D41" s="13">
        <v>7.599830625E9</v>
      </c>
      <c r="E41" s="13">
        <v>6.49</v>
      </c>
      <c r="F41" s="14" t="s">
        <v>2298</v>
      </c>
      <c r="G41" s="14" t="s">
        <v>2301</v>
      </c>
      <c r="H41" s="13" t="s">
        <v>1527</v>
      </c>
      <c r="K41" s="13" t="s">
        <v>2305</v>
      </c>
    </row>
    <row r="42" ht="22.5" customHeight="1">
      <c r="A42" s="12">
        <v>46050.626309756946</v>
      </c>
      <c r="B42" s="13" t="s">
        <v>609</v>
      </c>
      <c r="C42" s="13" t="s">
        <v>611</v>
      </c>
      <c r="D42" s="13">
        <v>7.439629745E9</v>
      </c>
      <c r="E42" s="13">
        <v>6.86</v>
      </c>
      <c r="F42" s="14" t="s">
        <v>2308</v>
      </c>
      <c r="G42" s="14" t="s">
        <v>631</v>
      </c>
      <c r="H42" s="13" t="s">
        <v>1527</v>
      </c>
      <c r="K42" s="13" t="s">
        <v>2312</v>
      </c>
    </row>
    <row r="43" ht="22.5" customHeight="1">
      <c r="A43" s="12">
        <v>46050.89564122685</v>
      </c>
      <c r="B43" s="13" t="s">
        <v>2315</v>
      </c>
      <c r="C43" s="13" t="s">
        <v>721</v>
      </c>
      <c r="D43" s="13">
        <v>7.777998625E9</v>
      </c>
      <c r="E43" s="13">
        <v>7.67</v>
      </c>
      <c r="F43" s="14" t="s">
        <v>2317</v>
      </c>
      <c r="G43" s="14" t="s">
        <v>2318</v>
      </c>
      <c r="H43" s="13" t="s">
        <v>1527</v>
      </c>
      <c r="K43" s="13" t="s">
        <v>2319</v>
      </c>
    </row>
    <row r="44" ht="22.5" customHeight="1">
      <c r="A44" s="12">
        <v>46051.697650497685</v>
      </c>
      <c r="B44" s="13" t="s">
        <v>265</v>
      </c>
      <c r="C44" s="13" t="s">
        <v>267</v>
      </c>
      <c r="D44" s="13">
        <v>8.340184575E9</v>
      </c>
      <c r="E44" s="13">
        <v>7.44</v>
      </c>
      <c r="F44" s="14" t="s">
        <v>2322</v>
      </c>
      <c r="G44" s="14" t="s">
        <v>273</v>
      </c>
      <c r="H44" s="13" t="s">
        <v>1448</v>
      </c>
      <c r="I44" s="13" t="s">
        <v>2326</v>
      </c>
    </row>
    <row r="45" ht="22.5" customHeight="1">
      <c r="A45" s="78">
        <v>46051.94925875</v>
      </c>
      <c r="B45" s="13" t="s">
        <v>1023</v>
      </c>
      <c r="C45" s="13" t="s">
        <v>1022</v>
      </c>
      <c r="D45" s="13">
        <v>7.805012626E9</v>
      </c>
      <c r="E45" s="13">
        <v>7.04</v>
      </c>
      <c r="F45" s="13" t="s">
        <v>2333</v>
      </c>
      <c r="G45" s="13" t="s">
        <v>2334</v>
      </c>
      <c r="H45" s="13" t="s">
        <v>1448</v>
      </c>
      <c r="I45" s="13" t="s">
        <v>2337</v>
      </c>
    </row>
  </sheetData>
  <hyperlinks>
    <hyperlink r:id="rId2" ref="F2"/>
    <hyperlink r:id="rId3" ref="G2"/>
    <hyperlink r:id="rId4" ref="F3"/>
    <hyperlink r:id="rId5" ref="G3"/>
    <hyperlink r:id="rId6" ref="F4"/>
    <hyperlink r:id="rId7" ref="G4"/>
    <hyperlink r:id="rId8" ref="F5"/>
    <hyperlink r:id="rId9" ref="G5"/>
    <hyperlink r:id="rId10" ref="F6"/>
    <hyperlink r:id="rId11" ref="G6"/>
    <hyperlink r:id="rId12" ref="F7"/>
    <hyperlink r:id="rId13" ref="G7"/>
    <hyperlink r:id="rId14" ref="F8"/>
    <hyperlink r:id="rId15" ref="G8"/>
    <hyperlink r:id="rId16" ref="F9"/>
    <hyperlink r:id="rId17" ref="G9"/>
    <hyperlink r:id="rId18" ref="F10"/>
    <hyperlink r:id="rId19" ref="G10"/>
    <hyperlink r:id="rId20" ref="F11"/>
    <hyperlink r:id="rId21" ref="G11"/>
    <hyperlink r:id="rId22" ref="F12"/>
    <hyperlink r:id="rId23" ref="G12"/>
    <hyperlink r:id="rId24" ref="F13"/>
    <hyperlink r:id="rId25" ref="G13"/>
    <hyperlink r:id="rId26" ref="F14"/>
    <hyperlink r:id="rId27" ref="G14"/>
    <hyperlink r:id="rId28" ref="F15"/>
    <hyperlink r:id="rId29" ref="G15"/>
    <hyperlink r:id="rId30" ref="F16"/>
    <hyperlink r:id="rId31" ref="G16"/>
    <hyperlink r:id="rId32" ref="F17"/>
    <hyperlink r:id="rId33" ref="G17"/>
    <hyperlink r:id="rId34" ref="F18"/>
    <hyperlink r:id="rId35" ref="G18"/>
    <hyperlink r:id="rId36" ref="F19"/>
    <hyperlink r:id="rId37" ref="G19"/>
    <hyperlink r:id="rId38" ref="F20"/>
    <hyperlink r:id="rId39" ref="G20"/>
    <hyperlink r:id="rId40" ref="F21"/>
    <hyperlink r:id="rId41" ref="G21"/>
    <hyperlink r:id="rId42" ref="F22"/>
    <hyperlink r:id="rId43" ref="G22"/>
    <hyperlink r:id="rId44" ref="F23"/>
    <hyperlink r:id="rId45" ref="G23"/>
    <hyperlink r:id="rId46" ref="F24"/>
    <hyperlink r:id="rId47" ref="G24"/>
    <hyperlink r:id="rId48" ref="F25"/>
    <hyperlink r:id="rId49" ref="G25"/>
    <hyperlink r:id="rId50" ref="F26"/>
    <hyperlink r:id="rId51" ref="G26"/>
    <hyperlink r:id="rId52" ref="F27"/>
    <hyperlink r:id="rId53" ref="G27"/>
    <hyperlink r:id="rId54" ref="F28"/>
    <hyperlink r:id="rId55" ref="G28"/>
    <hyperlink r:id="rId56" ref="F29"/>
    <hyperlink r:id="rId57" ref="G29"/>
    <hyperlink r:id="rId58" ref="F30"/>
    <hyperlink r:id="rId59" ref="G30"/>
    <hyperlink r:id="rId60" ref="F31"/>
    <hyperlink r:id="rId61" ref="G31"/>
    <hyperlink r:id="rId62" ref="F32"/>
    <hyperlink r:id="rId63" ref="G32"/>
    <hyperlink r:id="rId64" ref="F33"/>
    <hyperlink r:id="rId65" ref="G33"/>
    <hyperlink r:id="rId66" ref="F34"/>
    <hyperlink r:id="rId67" ref="G34"/>
    <hyperlink r:id="rId68" ref="F35"/>
    <hyperlink r:id="rId69" ref="G35"/>
    <hyperlink r:id="rId70" ref="F36"/>
    <hyperlink r:id="rId71" ref="G36"/>
    <hyperlink r:id="rId72" ref="F37"/>
    <hyperlink r:id="rId73" ref="G37"/>
    <hyperlink r:id="rId74" ref="F38"/>
    <hyperlink r:id="rId75" ref="G38"/>
    <hyperlink r:id="rId76" ref="F39"/>
    <hyperlink r:id="rId77" ref="G39"/>
    <hyperlink r:id="rId78" ref="F40"/>
    <hyperlink r:id="rId79" ref="G40"/>
    <hyperlink r:id="rId80" ref="F41"/>
    <hyperlink r:id="rId81" ref="G41"/>
    <hyperlink r:id="rId82" ref="F42"/>
    <hyperlink r:id="rId83" ref="G42"/>
    <hyperlink r:id="rId84" ref="F43"/>
    <hyperlink r:id="rId85" ref="G43"/>
    <hyperlink r:id="rId86" ref="F44"/>
    <hyperlink r:id="rId87" ref="G44"/>
  </hyperlinks>
  <drawing r:id="rId88"/>
  <legacyDrawing r:id="rId89"/>
  <tableParts count="1">
    <tablePart r:id="rId91"/>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5" max="5" width="25.88"/>
    <col customWidth="1" min="6" max="6" width="25.0"/>
  </cols>
  <sheetData>
    <row r="1">
      <c r="A1" s="35" t="s">
        <v>1723</v>
      </c>
      <c r="B1" s="35" t="s">
        <v>1724</v>
      </c>
      <c r="C1" s="35" t="s">
        <v>1725</v>
      </c>
      <c r="D1" s="35" t="s">
        <v>1727</v>
      </c>
      <c r="E1" s="35" t="s">
        <v>1729</v>
      </c>
      <c r="F1" s="35" t="s">
        <v>1730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s>
  <sheetData>
    <row r="1">
      <c r="A1" s="36" t="s">
        <v>1745</v>
      </c>
      <c r="B1" s="36" t="s">
        <v>1746</v>
      </c>
      <c r="C1" s="36" t="s">
        <v>1747</v>
      </c>
    </row>
    <row r="2">
      <c r="A2" s="37" t="s">
        <v>1748</v>
      </c>
      <c r="B2" s="37" t="s">
        <v>1750</v>
      </c>
      <c r="C2" s="37" t="s">
        <v>51</v>
      </c>
    </row>
    <row r="3">
      <c r="A3" s="38" t="s">
        <v>1752</v>
      </c>
      <c r="B3" s="38" t="s">
        <v>1753</v>
      </c>
      <c r="C3" s="37" t="s">
        <v>603</v>
      </c>
    </row>
    <row r="4">
      <c r="A4" s="38" t="s">
        <v>1754</v>
      </c>
      <c r="B4" s="38" t="s">
        <v>1755</v>
      </c>
      <c r="C4" s="37" t="s">
        <v>603</v>
      </c>
    </row>
    <row r="5" ht="15.75" customHeight="1">
      <c r="A5" s="38" t="s">
        <v>1756</v>
      </c>
      <c r="B5" s="38" t="s">
        <v>1757</v>
      </c>
      <c r="C5" s="37" t="s">
        <v>603</v>
      </c>
      <c r="D5" s="37"/>
    </row>
    <row r="6">
      <c r="A6" s="38" t="s">
        <v>1758</v>
      </c>
      <c r="B6" s="38" t="s">
        <v>1760</v>
      </c>
      <c r="C6" s="37" t="s">
        <v>603</v>
      </c>
    </row>
    <row r="7">
      <c r="A7" s="38" t="s">
        <v>1761</v>
      </c>
      <c r="B7" s="38" t="s">
        <v>1762</v>
      </c>
      <c r="C7" s="37" t="s">
        <v>603</v>
      </c>
    </row>
    <row r="8">
      <c r="A8" s="38" t="s">
        <v>1764</v>
      </c>
      <c r="B8" s="38" t="s">
        <v>1765</v>
      </c>
      <c r="C8" s="37" t="s">
        <v>603</v>
      </c>
    </row>
    <row r="9">
      <c r="A9" s="37" t="s">
        <v>1766</v>
      </c>
      <c r="B9" s="37" t="s">
        <v>1767</v>
      </c>
      <c r="C9" s="37" t="s">
        <v>603</v>
      </c>
    </row>
    <row r="10">
      <c r="A10" s="37" t="s">
        <v>1768</v>
      </c>
      <c r="B10" s="37" t="s">
        <v>1769</v>
      </c>
      <c r="C10" s="37" t="s">
        <v>603</v>
      </c>
    </row>
    <row r="11">
      <c r="A11" s="37" t="s">
        <v>1770</v>
      </c>
      <c r="B11" s="37" t="s">
        <v>1771</v>
      </c>
      <c r="C11" s="37" t="s">
        <v>51</v>
      </c>
    </row>
    <row r="12">
      <c r="A12" s="37" t="s">
        <v>1772</v>
      </c>
      <c r="B12" s="37" t="s">
        <v>1774</v>
      </c>
      <c r="C12" s="37" t="s">
        <v>51</v>
      </c>
    </row>
    <row r="13">
      <c r="A13" s="37" t="s">
        <v>1775</v>
      </c>
      <c r="B13" s="37" t="s">
        <v>1776</v>
      </c>
      <c r="C13" s="37" t="s">
        <v>51</v>
      </c>
    </row>
    <row r="14">
      <c r="A14" s="37" t="s">
        <v>1777</v>
      </c>
      <c r="B14" s="37" t="s">
        <v>1778</v>
      </c>
      <c r="C14" s="37" t="s">
        <v>51</v>
      </c>
    </row>
    <row r="15">
      <c r="A15" s="37" t="s">
        <v>1780</v>
      </c>
      <c r="B15" s="37" t="s">
        <v>1781</v>
      </c>
      <c r="C15" s="37" t="s">
        <v>51</v>
      </c>
    </row>
    <row r="16">
      <c r="A16" s="37" t="s">
        <v>1782</v>
      </c>
      <c r="B16" s="37" t="s">
        <v>1783</v>
      </c>
      <c r="C16" s="37" t="s">
        <v>51</v>
      </c>
    </row>
    <row r="17">
      <c r="A17" s="37" t="s">
        <v>1784</v>
      </c>
      <c r="B17" s="37" t="s">
        <v>1785</v>
      </c>
      <c r="C17" s="37" t="s">
        <v>51</v>
      </c>
    </row>
    <row r="18">
      <c r="A18" s="37" t="s">
        <v>1787</v>
      </c>
      <c r="B18" s="37" t="s">
        <v>1788</v>
      </c>
      <c r="C18" s="37" t="s">
        <v>51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27.25"/>
    <col customWidth="1" min="3" max="3" width="12.0"/>
    <col customWidth="1" min="4" max="4" width="15.88"/>
    <col customWidth="1" min="5" max="5" width="11.0"/>
    <col customWidth="1" min="6" max="6" width="11.5"/>
    <col customWidth="1" min="7" max="7" width="12.25"/>
    <col customWidth="1" min="8" max="8" width="31.25"/>
    <col customWidth="1" min="9" max="9" width="26.25"/>
    <col customWidth="1" min="10" max="10" width="27.75"/>
    <col customWidth="1" min="11" max="11" width="22.5"/>
    <col customWidth="1" min="12" max="12" width="20.88"/>
    <col customWidth="1" min="13" max="13" width="24.13"/>
    <col customWidth="1" min="14" max="14" width="34.88"/>
    <col customWidth="1" min="15" max="15" width="28.0"/>
    <col customWidth="1" min="16" max="16" width="15.5"/>
    <col customWidth="1" min="17" max="17" width="17.75"/>
  </cols>
  <sheetData>
    <row r="1">
      <c r="A1" s="39" t="s">
        <v>1</v>
      </c>
      <c r="B1" s="40" t="s">
        <v>1793</v>
      </c>
      <c r="C1" s="41" t="s">
        <v>1795</v>
      </c>
      <c r="D1" s="41" t="s">
        <v>1796</v>
      </c>
      <c r="E1" s="39" t="s">
        <v>1747</v>
      </c>
      <c r="F1" s="39" t="s">
        <v>17</v>
      </c>
      <c r="G1" s="39" t="s">
        <v>1799</v>
      </c>
      <c r="H1" s="40" t="s">
        <v>1800</v>
      </c>
      <c r="I1" s="40" t="s">
        <v>1801</v>
      </c>
      <c r="J1" s="40" t="s">
        <v>1802</v>
      </c>
      <c r="K1" s="40" t="s">
        <v>1803</v>
      </c>
      <c r="L1" s="40" t="s">
        <v>1804</v>
      </c>
      <c r="M1" s="39" t="s">
        <v>1806</v>
      </c>
      <c r="N1" s="40" t="s">
        <v>1807</v>
      </c>
      <c r="O1" s="40" t="s">
        <v>1809</v>
      </c>
      <c r="P1" s="40" t="s">
        <v>1810</v>
      </c>
      <c r="Q1" s="40" t="s">
        <v>1811</v>
      </c>
      <c r="R1" s="40" t="s">
        <v>1812</v>
      </c>
      <c r="S1" s="42"/>
      <c r="T1" s="42"/>
      <c r="U1" s="42"/>
      <c r="V1" s="42"/>
      <c r="W1" s="42"/>
      <c r="X1" s="42"/>
      <c r="Y1" s="42"/>
      <c r="Z1" s="42"/>
      <c r="AA1" s="42"/>
      <c r="AB1" s="42"/>
      <c r="AC1" s="42"/>
      <c r="AD1" s="42"/>
    </row>
    <row r="2" ht="15.75" customHeight="1">
      <c r="A2" s="43"/>
      <c r="B2" s="43"/>
      <c r="C2" s="44"/>
      <c r="D2" s="45"/>
      <c r="E2" s="46"/>
      <c r="F2" s="43"/>
      <c r="G2" s="43"/>
      <c r="H2" s="47"/>
      <c r="I2" s="43"/>
      <c r="J2" s="43"/>
      <c r="K2" s="43"/>
      <c r="L2" s="47"/>
      <c r="M2" s="47"/>
      <c r="N2" s="43"/>
      <c r="O2" s="43"/>
      <c r="P2" s="43"/>
      <c r="Q2" s="48"/>
      <c r="R2" s="48"/>
      <c r="S2" s="49"/>
      <c r="T2" s="49"/>
      <c r="U2" s="49"/>
      <c r="V2" s="49"/>
      <c r="W2" s="49"/>
      <c r="X2" s="49"/>
      <c r="Y2" s="49"/>
      <c r="Z2" s="49"/>
      <c r="AA2" s="49"/>
      <c r="AB2" s="49"/>
      <c r="AC2" s="49"/>
      <c r="AD2" s="49"/>
    </row>
    <row r="3" ht="15.75" customHeight="1">
      <c r="A3" s="47"/>
      <c r="B3" s="43"/>
      <c r="C3" s="45"/>
      <c r="D3" s="45"/>
      <c r="E3" s="47"/>
      <c r="F3" s="43"/>
      <c r="G3" s="43"/>
      <c r="H3" s="47"/>
      <c r="I3" s="43"/>
      <c r="J3" s="43"/>
      <c r="K3" s="43"/>
      <c r="L3" s="47"/>
      <c r="M3" s="47"/>
      <c r="N3" s="43"/>
      <c r="O3" s="43"/>
      <c r="P3" s="43"/>
      <c r="Q3" s="48"/>
      <c r="R3" s="48"/>
      <c r="S3" s="49"/>
      <c r="T3" s="49"/>
      <c r="U3" s="49"/>
      <c r="V3" s="49"/>
      <c r="W3" s="49"/>
      <c r="X3" s="49"/>
      <c r="Y3" s="49"/>
      <c r="Z3" s="49"/>
      <c r="AA3" s="49"/>
      <c r="AB3" s="49"/>
      <c r="AC3" s="49"/>
      <c r="AD3" s="49"/>
    </row>
    <row r="4" ht="15.75" customHeight="1">
      <c r="A4" s="47"/>
      <c r="B4" s="43"/>
      <c r="C4" s="45"/>
      <c r="D4" s="45"/>
      <c r="E4" s="47"/>
      <c r="F4" s="43"/>
      <c r="G4" s="43"/>
      <c r="H4" s="47"/>
      <c r="I4" s="43"/>
      <c r="J4" s="43"/>
      <c r="K4" s="43"/>
      <c r="L4" s="47"/>
      <c r="M4" s="47"/>
      <c r="N4" s="43"/>
      <c r="O4" s="43"/>
      <c r="P4" s="43"/>
      <c r="Q4" s="48"/>
      <c r="R4" s="48"/>
      <c r="S4" s="49"/>
      <c r="T4" s="49"/>
      <c r="U4" s="49"/>
      <c r="V4" s="49"/>
      <c r="W4" s="49"/>
      <c r="X4" s="49"/>
      <c r="Y4" s="49"/>
      <c r="Z4" s="49"/>
      <c r="AA4" s="49"/>
      <c r="AB4" s="49"/>
      <c r="AC4" s="49"/>
      <c r="AD4" s="49"/>
    </row>
    <row r="5" ht="15.75" customHeight="1">
      <c r="A5" s="47"/>
      <c r="B5" s="43"/>
      <c r="C5" s="45"/>
      <c r="D5" s="45"/>
      <c r="E5" s="47"/>
      <c r="F5" s="43"/>
      <c r="G5" s="43"/>
      <c r="H5" s="47"/>
      <c r="I5" s="43"/>
      <c r="J5" s="43"/>
      <c r="K5" s="43"/>
      <c r="L5" s="47"/>
      <c r="M5" s="47"/>
      <c r="N5" s="48"/>
      <c r="O5" s="43"/>
      <c r="P5" s="43"/>
      <c r="Q5" s="48"/>
      <c r="R5" s="48"/>
      <c r="S5" s="49"/>
      <c r="T5" s="49"/>
      <c r="U5" s="49"/>
      <c r="V5" s="49"/>
      <c r="W5" s="49"/>
      <c r="X5" s="49"/>
      <c r="Y5" s="49"/>
      <c r="Z5" s="49"/>
      <c r="AA5" s="49"/>
      <c r="AB5" s="49"/>
      <c r="AC5" s="49"/>
      <c r="AD5" s="49"/>
    </row>
    <row r="6" ht="15.75" customHeight="1">
      <c r="A6" s="47"/>
      <c r="B6" s="43"/>
      <c r="C6" s="45"/>
      <c r="D6" s="45"/>
      <c r="E6" s="47"/>
      <c r="F6" s="43"/>
      <c r="G6" s="43"/>
      <c r="H6" s="47"/>
      <c r="I6" s="43"/>
      <c r="J6" s="43"/>
      <c r="K6" s="43"/>
      <c r="L6" s="47"/>
      <c r="M6" s="47"/>
      <c r="N6" s="43"/>
      <c r="O6" s="43"/>
      <c r="P6" s="43"/>
      <c r="Q6" s="48"/>
      <c r="R6" s="48"/>
      <c r="S6" s="49"/>
      <c r="T6" s="49"/>
      <c r="U6" s="49"/>
      <c r="V6" s="49"/>
      <c r="W6" s="49"/>
      <c r="X6" s="49"/>
      <c r="Y6" s="49"/>
      <c r="Z6" s="49"/>
      <c r="AA6" s="49"/>
      <c r="AB6" s="49"/>
      <c r="AC6" s="49"/>
      <c r="AD6" s="49"/>
    </row>
    <row r="7" ht="15.75" customHeight="1">
      <c r="A7" s="47"/>
      <c r="B7" s="43"/>
      <c r="C7" s="45"/>
      <c r="D7" s="45"/>
      <c r="E7" s="47"/>
      <c r="F7" s="43"/>
      <c r="G7" s="43"/>
      <c r="H7" s="47"/>
      <c r="I7" s="43"/>
      <c r="J7" s="43"/>
      <c r="K7" s="43"/>
      <c r="L7" s="47"/>
      <c r="M7" s="47"/>
      <c r="N7" s="43"/>
      <c r="O7" s="43"/>
      <c r="P7" s="43"/>
      <c r="Q7" s="48"/>
      <c r="R7" s="48"/>
      <c r="S7" s="49"/>
      <c r="T7" s="49"/>
      <c r="U7" s="49"/>
      <c r="V7" s="49"/>
      <c r="W7" s="49"/>
      <c r="X7" s="49"/>
      <c r="Y7" s="49"/>
      <c r="Z7" s="49"/>
      <c r="AA7" s="49"/>
      <c r="AB7" s="49"/>
      <c r="AC7" s="49"/>
      <c r="AD7" s="49"/>
    </row>
    <row r="8" ht="15.75" customHeight="1">
      <c r="A8" s="47"/>
      <c r="B8" s="43"/>
      <c r="C8" s="45"/>
      <c r="D8" s="45"/>
      <c r="E8" s="49"/>
      <c r="F8" s="47"/>
      <c r="G8" s="43"/>
      <c r="H8" s="47"/>
      <c r="I8" s="43"/>
      <c r="J8" s="43"/>
      <c r="K8" s="43"/>
      <c r="L8" s="47"/>
      <c r="M8" s="47"/>
      <c r="N8" s="48"/>
      <c r="O8" s="43"/>
      <c r="P8" s="43"/>
      <c r="Q8" s="48"/>
      <c r="R8" s="48"/>
      <c r="S8" s="49"/>
      <c r="T8" s="49"/>
      <c r="U8" s="49"/>
      <c r="V8" s="49"/>
      <c r="W8" s="49"/>
      <c r="X8" s="49"/>
      <c r="Y8" s="49"/>
      <c r="Z8" s="49"/>
      <c r="AA8" s="49"/>
      <c r="AB8" s="49"/>
      <c r="AC8" s="49"/>
      <c r="AD8" s="49"/>
    </row>
    <row r="9" ht="15.75" customHeight="1">
      <c r="A9" s="47"/>
      <c r="B9" s="43"/>
      <c r="C9" s="45"/>
      <c r="D9" s="45"/>
      <c r="E9" s="47"/>
      <c r="F9" s="49"/>
      <c r="G9" s="43"/>
      <c r="H9" s="47"/>
      <c r="I9" s="43"/>
      <c r="J9" s="43"/>
      <c r="K9" s="43"/>
      <c r="L9" s="47"/>
      <c r="M9" s="47"/>
      <c r="N9" s="48"/>
      <c r="O9" s="43"/>
      <c r="P9" s="43"/>
      <c r="Q9" s="48"/>
      <c r="R9" s="48"/>
      <c r="S9" s="49"/>
      <c r="T9" s="49"/>
      <c r="U9" s="49"/>
      <c r="V9" s="49"/>
      <c r="W9" s="49"/>
      <c r="X9" s="49"/>
      <c r="Y9" s="49"/>
      <c r="Z9" s="49"/>
      <c r="AA9" s="49"/>
      <c r="AB9" s="49"/>
      <c r="AC9" s="49"/>
      <c r="AD9" s="49"/>
    </row>
    <row r="10" ht="15.75" customHeight="1">
      <c r="A10" s="47"/>
      <c r="B10" s="43"/>
      <c r="C10" s="45"/>
      <c r="D10" s="45"/>
      <c r="E10" s="47"/>
      <c r="F10" s="49"/>
      <c r="G10" s="43"/>
      <c r="H10" s="47"/>
      <c r="I10" s="43"/>
      <c r="J10" s="43"/>
      <c r="K10" s="43"/>
      <c r="L10" s="47"/>
      <c r="M10" s="47"/>
      <c r="N10" s="43"/>
      <c r="O10" s="43"/>
      <c r="P10" s="43"/>
      <c r="Q10" s="48"/>
      <c r="R10" s="48"/>
      <c r="S10" s="49"/>
      <c r="T10" s="49"/>
      <c r="U10" s="49"/>
      <c r="V10" s="49"/>
      <c r="W10" s="49"/>
      <c r="X10" s="49"/>
      <c r="Y10" s="49"/>
      <c r="Z10" s="49"/>
      <c r="AA10" s="49"/>
      <c r="AB10" s="49"/>
      <c r="AC10" s="49"/>
      <c r="AD10" s="49"/>
    </row>
    <row r="11" ht="15.75" customHeight="1">
      <c r="A11" s="47"/>
      <c r="B11" s="43"/>
      <c r="C11" s="45"/>
      <c r="D11" s="45"/>
      <c r="E11" s="47"/>
      <c r="F11" s="49"/>
      <c r="G11" s="43"/>
      <c r="H11" s="47"/>
      <c r="I11" s="43"/>
      <c r="J11" s="43"/>
      <c r="K11" s="43"/>
      <c r="L11" s="47"/>
      <c r="M11" s="47"/>
      <c r="N11" s="43"/>
      <c r="O11" s="43"/>
      <c r="P11" s="43"/>
      <c r="Q11" s="48"/>
      <c r="R11" s="48"/>
      <c r="S11" s="49"/>
      <c r="T11" s="49"/>
      <c r="U11" s="49"/>
      <c r="V11" s="49"/>
      <c r="W11" s="49"/>
      <c r="X11" s="49"/>
      <c r="Y11" s="49"/>
      <c r="Z11" s="49"/>
      <c r="AA11" s="49"/>
      <c r="AB11" s="49"/>
      <c r="AC11" s="49"/>
      <c r="AD11" s="49"/>
    </row>
    <row r="12" ht="15.75" customHeight="1">
      <c r="A12" s="47"/>
      <c r="B12" s="47"/>
      <c r="C12" s="44"/>
      <c r="D12" s="45"/>
      <c r="E12" s="47"/>
      <c r="F12" s="49"/>
      <c r="G12" s="43"/>
      <c r="H12" s="47"/>
      <c r="I12" s="43"/>
      <c r="J12" s="43"/>
      <c r="K12" s="43"/>
      <c r="L12" s="47"/>
      <c r="M12" s="47"/>
      <c r="N12" s="43"/>
      <c r="O12" s="43"/>
      <c r="P12" s="43"/>
      <c r="Q12" s="48"/>
      <c r="R12" s="48"/>
      <c r="S12" s="49"/>
      <c r="T12" s="49"/>
      <c r="U12" s="49"/>
      <c r="V12" s="49"/>
      <c r="W12" s="49"/>
      <c r="X12" s="49"/>
      <c r="Y12" s="49"/>
      <c r="Z12" s="49"/>
      <c r="AA12" s="49"/>
      <c r="AB12" s="49"/>
      <c r="AC12" s="49"/>
      <c r="AD12" s="49"/>
    </row>
    <row r="13" ht="15.75" customHeight="1">
      <c r="A13" s="47"/>
      <c r="B13" s="47"/>
      <c r="C13" s="45"/>
      <c r="D13" s="45"/>
      <c r="E13" s="49"/>
      <c r="F13" s="47"/>
      <c r="G13" s="43"/>
      <c r="H13" s="47"/>
      <c r="I13" s="55"/>
      <c r="J13" s="43"/>
      <c r="K13" s="43"/>
      <c r="L13" s="47"/>
      <c r="M13" s="47"/>
      <c r="N13" s="48"/>
      <c r="O13" s="43"/>
      <c r="P13" s="43"/>
      <c r="Q13" s="48"/>
      <c r="R13" s="48"/>
      <c r="S13" s="49"/>
      <c r="T13" s="49"/>
      <c r="U13" s="49"/>
      <c r="V13" s="49"/>
      <c r="W13" s="49"/>
      <c r="X13" s="49"/>
      <c r="Y13" s="49"/>
      <c r="Z13" s="49"/>
      <c r="AA13" s="49"/>
      <c r="AB13" s="49"/>
      <c r="AC13" s="49"/>
      <c r="AD13" s="49"/>
    </row>
    <row r="14" ht="15.75" customHeight="1">
      <c r="A14" s="56"/>
      <c r="B14" s="46"/>
      <c r="C14" s="45"/>
      <c r="D14" s="45"/>
      <c r="E14" s="56"/>
      <c r="F14" s="49"/>
      <c r="G14" s="46"/>
      <c r="H14" s="47"/>
      <c r="I14" s="43"/>
      <c r="J14" s="43"/>
      <c r="K14" s="43"/>
      <c r="L14" s="47"/>
      <c r="M14" s="47"/>
      <c r="N14" s="43"/>
      <c r="O14" s="43"/>
      <c r="P14" s="43"/>
      <c r="Q14" s="57"/>
      <c r="R14" s="57"/>
      <c r="S14" s="49"/>
      <c r="T14" s="49"/>
      <c r="U14" s="49"/>
      <c r="V14" s="49"/>
      <c r="W14" s="49"/>
      <c r="X14" s="49"/>
      <c r="Y14" s="49"/>
      <c r="Z14" s="49"/>
      <c r="AA14" s="49"/>
      <c r="AB14" s="49"/>
      <c r="AC14" s="49"/>
      <c r="AD14" s="49"/>
    </row>
    <row r="15" ht="15.75" customHeight="1">
      <c r="A15" s="56"/>
      <c r="B15" s="46"/>
      <c r="C15" s="45"/>
      <c r="D15" s="45"/>
      <c r="E15" s="56"/>
      <c r="F15" s="49"/>
      <c r="G15" s="46"/>
      <c r="H15" s="47"/>
      <c r="I15" s="43"/>
      <c r="J15" s="43"/>
      <c r="K15" s="43"/>
      <c r="L15" s="47"/>
      <c r="M15" s="47"/>
      <c r="N15" s="43"/>
      <c r="O15" s="43"/>
      <c r="P15" s="43"/>
      <c r="Q15" s="57"/>
      <c r="R15" s="57"/>
      <c r="S15" s="49"/>
      <c r="T15" s="49"/>
      <c r="U15" s="49"/>
      <c r="V15" s="49"/>
      <c r="W15" s="49"/>
      <c r="X15" s="49"/>
      <c r="Y15" s="49"/>
      <c r="Z15" s="49"/>
      <c r="AA15" s="49"/>
      <c r="AB15" s="49"/>
      <c r="AC15" s="49"/>
      <c r="AD15" s="49"/>
    </row>
    <row r="16" ht="15.75" customHeight="1">
      <c r="A16" s="56"/>
      <c r="B16" s="46"/>
      <c r="C16" s="45"/>
      <c r="D16" s="45"/>
      <c r="E16" s="56"/>
      <c r="F16" s="49"/>
      <c r="G16" s="46"/>
      <c r="H16" s="47"/>
      <c r="I16" s="43"/>
      <c r="J16" s="43"/>
      <c r="K16" s="43"/>
      <c r="L16" s="47"/>
      <c r="M16" s="47"/>
      <c r="N16" s="43"/>
      <c r="O16" s="43"/>
      <c r="P16" s="43"/>
      <c r="Q16" s="57"/>
      <c r="R16" s="57"/>
      <c r="S16" s="49"/>
      <c r="T16" s="49"/>
      <c r="U16" s="49"/>
      <c r="V16" s="49"/>
      <c r="W16" s="49"/>
      <c r="X16" s="49"/>
      <c r="Y16" s="49"/>
      <c r="Z16" s="49"/>
      <c r="AA16" s="49"/>
      <c r="AB16" s="49"/>
      <c r="AC16" s="49"/>
      <c r="AD16" s="49"/>
    </row>
    <row r="17" ht="15.75" customHeight="1">
      <c r="A17" s="56"/>
      <c r="B17" s="46"/>
      <c r="C17" s="45"/>
      <c r="D17" s="45"/>
      <c r="E17" s="49"/>
      <c r="F17" s="56"/>
      <c r="G17" s="46"/>
      <c r="H17" s="47"/>
      <c r="I17" s="58"/>
      <c r="J17" s="43"/>
      <c r="K17" s="46"/>
      <c r="L17" s="59"/>
      <c r="M17" s="47"/>
      <c r="N17" s="43"/>
      <c r="O17" s="48"/>
      <c r="P17" s="43"/>
      <c r="Q17" s="57"/>
      <c r="R17" s="57"/>
      <c r="S17" s="49"/>
      <c r="T17" s="49"/>
      <c r="U17" s="49"/>
      <c r="V17" s="49"/>
      <c r="W17" s="49"/>
      <c r="X17" s="49"/>
      <c r="Y17" s="49"/>
      <c r="Z17" s="49"/>
      <c r="AA17" s="49"/>
      <c r="AB17" s="49"/>
      <c r="AC17" s="49"/>
      <c r="AD17" s="49"/>
    </row>
    <row r="18" ht="15.75" customHeight="1">
      <c r="A18" s="56"/>
      <c r="B18" s="46"/>
      <c r="C18" s="45"/>
      <c r="D18" s="45"/>
      <c r="E18" s="56"/>
      <c r="F18" s="49"/>
      <c r="G18" s="46"/>
      <c r="H18" s="47"/>
      <c r="I18" s="46"/>
      <c r="J18" s="43"/>
      <c r="K18" s="46"/>
      <c r="L18" s="59"/>
      <c r="M18" s="47"/>
      <c r="N18" s="43"/>
      <c r="O18" s="43"/>
      <c r="P18" s="60"/>
      <c r="Q18" s="57"/>
      <c r="R18" s="57"/>
      <c r="S18" s="49"/>
      <c r="T18" s="49"/>
      <c r="U18" s="49"/>
      <c r="V18" s="49"/>
      <c r="W18" s="49"/>
      <c r="X18" s="49"/>
      <c r="Y18" s="49"/>
      <c r="Z18" s="49"/>
      <c r="AA18" s="49"/>
      <c r="AB18" s="49"/>
      <c r="AC18" s="49"/>
      <c r="AD18" s="49"/>
    </row>
    <row r="19" ht="15.75" customHeight="1">
      <c r="A19" s="56"/>
      <c r="B19" s="56"/>
      <c r="C19" s="45"/>
      <c r="D19" s="45"/>
      <c r="E19" s="49"/>
      <c r="F19" s="56"/>
      <c r="G19" s="46"/>
      <c r="H19" s="47"/>
      <c r="I19" s="46"/>
      <c r="J19" s="43"/>
      <c r="K19" s="46"/>
      <c r="L19" s="59"/>
      <c r="M19" s="47"/>
      <c r="N19" s="43"/>
      <c r="O19" s="48"/>
      <c r="P19" s="43"/>
      <c r="Q19" s="57"/>
      <c r="R19" s="57"/>
      <c r="S19" s="49"/>
      <c r="T19" s="49"/>
      <c r="U19" s="49"/>
      <c r="V19" s="49"/>
      <c r="W19" s="49"/>
      <c r="X19" s="49"/>
      <c r="Y19" s="49"/>
      <c r="Z19" s="49"/>
      <c r="AA19" s="49"/>
      <c r="AB19" s="49"/>
      <c r="AC19" s="49"/>
      <c r="AD19" s="49"/>
    </row>
    <row r="20" ht="15.75" customHeight="1">
      <c r="A20" s="56"/>
      <c r="B20" s="56"/>
      <c r="C20" s="59"/>
      <c r="D20" s="59"/>
      <c r="E20" s="56"/>
      <c r="F20" s="46"/>
      <c r="G20" s="46"/>
      <c r="H20" s="47"/>
      <c r="I20" s="46"/>
      <c r="J20" s="43"/>
      <c r="K20" s="46"/>
      <c r="L20" s="59"/>
      <c r="M20" s="47"/>
      <c r="N20" s="43"/>
      <c r="O20" s="43"/>
      <c r="P20" s="43"/>
      <c r="Q20" s="57"/>
      <c r="R20" s="57"/>
      <c r="S20" s="49"/>
      <c r="T20" s="49"/>
      <c r="U20" s="49"/>
      <c r="V20" s="49"/>
      <c r="W20" s="49"/>
      <c r="X20" s="49"/>
      <c r="Y20" s="49"/>
      <c r="Z20" s="49"/>
      <c r="AA20" s="49"/>
      <c r="AB20" s="49"/>
      <c r="AC20" s="49"/>
      <c r="AD20" s="49"/>
    </row>
    <row r="21" ht="15.75" customHeight="1">
      <c r="A21" s="45"/>
      <c r="B21" s="45"/>
      <c r="C21" s="44"/>
      <c r="D21" s="44"/>
      <c r="E21" s="59"/>
      <c r="F21" s="46"/>
      <c r="G21" s="46"/>
      <c r="H21" s="47"/>
      <c r="I21" s="43"/>
      <c r="J21" s="43"/>
      <c r="K21" s="43"/>
      <c r="L21" s="46"/>
      <c r="M21" s="47"/>
      <c r="N21" s="43"/>
      <c r="O21" s="43"/>
      <c r="P21" s="43"/>
      <c r="Q21" s="57"/>
      <c r="R21" s="57"/>
      <c r="S21" s="49"/>
      <c r="T21" s="49"/>
      <c r="U21" s="49"/>
      <c r="V21" s="49"/>
      <c r="W21" s="49"/>
      <c r="X21" s="49"/>
      <c r="Y21" s="49"/>
      <c r="Z21" s="49"/>
      <c r="AA21" s="49"/>
      <c r="AB21" s="49"/>
      <c r="AC21" s="49"/>
      <c r="AD21" s="49"/>
    </row>
    <row r="22" ht="15.75" customHeight="1">
      <c r="A22" s="59"/>
      <c r="B22" s="59"/>
      <c r="C22" s="45"/>
      <c r="D22" s="45"/>
      <c r="E22" s="59"/>
      <c r="F22" s="46"/>
      <c r="G22" s="46"/>
      <c r="H22" s="47"/>
      <c r="I22" s="43"/>
      <c r="J22" s="43"/>
      <c r="K22" s="43"/>
      <c r="L22" s="59"/>
      <c r="M22" s="47"/>
      <c r="N22" s="43"/>
      <c r="O22" s="43"/>
      <c r="P22" s="43"/>
      <c r="Q22" s="57"/>
      <c r="R22" s="57"/>
      <c r="S22" s="49"/>
      <c r="T22" s="49"/>
      <c r="U22" s="49"/>
      <c r="V22" s="49"/>
      <c r="W22" s="49"/>
      <c r="X22" s="49"/>
      <c r="Y22" s="49"/>
      <c r="Z22" s="49"/>
      <c r="AA22" s="49"/>
      <c r="AB22" s="49"/>
      <c r="AC22" s="49"/>
      <c r="AD22" s="49"/>
    </row>
    <row r="23" ht="15.75" customHeight="1">
      <c r="A23" s="46"/>
      <c r="B23" s="46"/>
      <c r="C23" s="45"/>
      <c r="D23" s="45"/>
      <c r="E23" s="56"/>
      <c r="F23" s="43"/>
      <c r="G23" s="46"/>
      <c r="H23" s="47"/>
      <c r="I23" s="43"/>
      <c r="J23" s="43"/>
      <c r="K23" s="43"/>
      <c r="L23" s="47"/>
      <c r="M23" s="47"/>
      <c r="N23" s="43"/>
      <c r="O23" s="43"/>
      <c r="P23" s="43"/>
      <c r="Q23" s="57"/>
      <c r="R23" s="57"/>
      <c r="S23" s="49"/>
      <c r="T23" s="49"/>
      <c r="U23" s="49"/>
      <c r="V23" s="49"/>
      <c r="W23" s="49"/>
      <c r="X23" s="49"/>
      <c r="Y23" s="49"/>
      <c r="Z23" s="49"/>
      <c r="AA23" s="49"/>
      <c r="AB23" s="49"/>
      <c r="AC23" s="49"/>
      <c r="AD23" s="49"/>
    </row>
    <row r="24" ht="15.75" customHeight="1">
      <c r="A24" s="56"/>
      <c r="B24" s="56"/>
      <c r="C24" s="45"/>
      <c r="D24" s="45"/>
      <c r="E24" s="56"/>
      <c r="F24" s="46"/>
      <c r="G24" s="46"/>
      <c r="H24" s="47"/>
      <c r="I24" s="43"/>
      <c r="J24" s="43"/>
      <c r="K24" s="43"/>
      <c r="L24" s="59"/>
      <c r="M24" s="47"/>
      <c r="N24" s="43"/>
      <c r="O24" s="43"/>
      <c r="P24" s="43"/>
      <c r="Q24" s="57"/>
      <c r="R24" s="57"/>
      <c r="S24" s="49"/>
      <c r="T24" s="49"/>
      <c r="U24" s="49"/>
      <c r="V24" s="49"/>
      <c r="W24" s="49"/>
      <c r="X24" s="49"/>
      <c r="Y24" s="49"/>
      <c r="Z24" s="49"/>
      <c r="AA24" s="49"/>
      <c r="AB24" s="49"/>
      <c r="AC24" s="49"/>
      <c r="AD24" s="49"/>
    </row>
    <row r="25" ht="15.75" customHeight="1">
      <c r="A25" s="56"/>
      <c r="B25" s="56"/>
      <c r="C25" s="45"/>
      <c r="D25" s="45"/>
      <c r="E25" s="56"/>
      <c r="F25" s="46"/>
      <c r="G25" s="46"/>
      <c r="H25" s="47"/>
      <c r="I25" s="43"/>
      <c r="J25" s="43"/>
      <c r="K25" s="43"/>
      <c r="L25" s="59"/>
      <c r="M25" s="47"/>
      <c r="N25" s="43"/>
      <c r="O25" s="43"/>
      <c r="P25" s="43"/>
      <c r="Q25" s="57"/>
      <c r="R25" s="57"/>
      <c r="S25" s="49"/>
      <c r="T25" s="49"/>
      <c r="U25" s="49"/>
      <c r="V25" s="49"/>
      <c r="W25" s="49"/>
      <c r="X25" s="49"/>
      <c r="Y25" s="49"/>
      <c r="Z25" s="49"/>
      <c r="AA25" s="49"/>
      <c r="AB25" s="49"/>
      <c r="AC25" s="49"/>
      <c r="AD25" s="49"/>
    </row>
    <row r="26" ht="15.75" customHeight="1">
      <c r="A26" s="56"/>
      <c r="B26" s="56"/>
      <c r="C26" s="45"/>
      <c r="D26" s="45"/>
      <c r="E26" s="56"/>
      <c r="F26" s="46"/>
      <c r="G26" s="46"/>
      <c r="H26" s="47"/>
      <c r="I26" s="43"/>
      <c r="J26" s="43"/>
      <c r="K26" s="43"/>
      <c r="L26" s="59"/>
      <c r="M26" s="47"/>
      <c r="N26" s="43"/>
      <c r="O26" s="43"/>
      <c r="P26" s="43"/>
      <c r="Q26" s="57"/>
      <c r="R26" s="57"/>
      <c r="S26" s="49"/>
      <c r="T26" s="49"/>
      <c r="U26" s="49"/>
      <c r="V26" s="49"/>
      <c r="W26" s="49"/>
      <c r="X26" s="49"/>
      <c r="Y26" s="49"/>
      <c r="Z26" s="49"/>
      <c r="AA26" s="49"/>
      <c r="AB26" s="49"/>
      <c r="AC26" s="49"/>
      <c r="AD26" s="49"/>
    </row>
    <row r="27" ht="15.75" customHeight="1">
      <c r="A27" s="43"/>
      <c r="B27" s="43"/>
      <c r="C27" s="45"/>
      <c r="D27" s="45"/>
      <c r="E27" s="47"/>
      <c r="F27" s="43"/>
      <c r="G27" s="43"/>
      <c r="H27" s="47"/>
      <c r="I27" s="43"/>
      <c r="J27" s="43"/>
      <c r="K27" s="43"/>
      <c r="L27" s="47"/>
      <c r="M27" s="47"/>
      <c r="N27" s="43"/>
      <c r="O27" s="43"/>
      <c r="P27" s="43"/>
      <c r="Q27" s="48"/>
      <c r="R27" s="48"/>
      <c r="S27" s="49"/>
      <c r="T27" s="49"/>
      <c r="U27" s="49"/>
      <c r="V27" s="49"/>
      <c r="W27" s="49"/>
      <c r="X27" s="49"/>
      <c r="Y27" s="49"/>
      <c r="Z27" s="49"/>
      <c r="AA27" s="49"/>
      <c r="AB27" s="49"/>
      <c r="AC27" s="49"/>
      <c r="AD27" s="49"/>
    </row>
    <row r="28" ht="15.75" customHeight="1">
      <c r="A28" s="56"/>
      <c r="B28" s="56"/>
      <c r="C28" s="45"/>
      <c r="D28" s="45"/>
      <c r="E28" s="56"/>
      <c r="F28" s="46"/>
      <c r="G28" s="46"/>
      <c r="H28" s="47"/>
      <c r="I28" s="43"/>
      <c r="J28" s="43"/>
      <c r="K28" s="43"/>
      <c r="L28" s="47"/>
      <c r="M28" s="47"/>
      <c r="N28" s="43"/>
      <c r="O28" s="43"/>
      <c r="P28" s="43"/>
      <c r="Q28" s="57"/>
      <c r="R28" s="57"/>
      <c r="S28" s="49"/>
      <c r="T28" s="49"/>
      <c r="U28" s="49"/>
      <c r="V28" s="49"/>
      <c r="W28" s="49"/>
      <c r="X28" s="49"/>
      <c r="Y28" s="49"/>
      <c r="Z28" s="49"/>
      <c r="AA28" s="49"/>
      <c r="AB28" s="49"/>
      <c r="AC28" s="49"/>
      <c r="AD28" s="49"/>
    </row>
    <row r="29" ht="15.75" customHeight="1">
      <c r="A29" s="56"/>
      <c r="B29" s="56"/>
      <c r="C29" s="45"/>
      <c r="D29" s="45"/>
      <c r="E29" s="56"/>
      <c r="F29" s="56"/>
      <c r="G29" s="56"/>
      <c r="H29" s="47"/>
      <c r="I29" s="43"/>
      <c r="J29" s="43"/>
      <c r="K29" s="46"/>
      <c r="L29" s="47"/>
      <c r="M29" s="47"/>
      <c r="N29" s="43"/>
      <c r="O29" s="43"/>
      <c r="P29" s="43"/>
      <c r="Q29" s="57"/>
      <c r="R29" s="57"/>
      <c r="S29" s="49"/>
      <c r="T29" s="49"/>
      <c r="U29" s="49"/>
      <c r="V29" s="49"/>
      <c r="W29" s="49"/>
      <c r="X29" s="49"/>
      <c r="Y29" s="49"/>
      <c r="Z29" s="49"/>
      <c r="AA29" s="49"/>
      <c r="AB29" s="49"/>
      <c r="AC29" s="49"/>
      <c r="AD29" s="49"/>
    </row>
    <row r="30" ht="15.75" customHeight="1">
      <c r="A30" s="56"/>
      <c r="B30" s="56"/>
      <c r="C30" s="45"/>
      <c r="D30" s="45"/>
      <c r="E30" s="56"/>
      <c r="F30" s="56"/>
      <c r="G30" s="56"/>
      <c r="H30" s="69"/>
      <c r="I30" s="43"/>
      <c r="J30" s="43"/>
      <c r="K30" s="46"/>
      <c r="L30" s="47"/>
      <c r="M30" s="47"/>
      <c r="N30" s="43"/>
      <c r="O30" s="43"/>
      <c r="P30" s="43"/>
      <c r="Q30" s="57"/>
      <c r="R30" s="57"/>
      <c r="S30" s="49"/>
      <c r="T30" s="49"/>
      <c r="U30" s="49"/>
      <c r="V30" s="49"/>
      <c r="W30" s="49"/>
      <c r="X30" s="49"/>
      <c r="Y30" s="49"/>
      <c r="Z30" s="49"/>
      <c r="AA30" s="49"/>
      <c r="AB30" s="49"/>
      <c r="AC30" s="49"/>
      <c r="AD30" s="49"/>
    </row>
    <row r="31" ht="15.75" customHeight="1">
      <c r="A31" s="70"/>
      <c r="B31" s="70"/>
      <c r="C31" s="45"/>
      <c r="D31" s="45"/>
      <c r="E31" s="56"/>
      <c r="F31" s="56"/>
      <c r="G31" s="56"/>
      <c r="H31" s="47"/>
      <c r="I31" s="43"/>
      <c r="J31" s="43"/>
      <c r="K31" s="46"/>
      <c r="L31" s="47"/>
      <c r="M31" s="47"/>
      <c r="N31" s="43"/>
      <c r="O31" s="43"/>
      <c r="P31" s="43"/>
      <c r="Q31" s="57"/>
      <c r="R31" s="57"/>
      <c r="S31" s="49"/>
      <c r="T31" s="49"/>
      <c r="U31" s="49"/>
      <c r="V31" s="49"/>
      <c r="W31" s="49"/>
      <c r="X31" s="49"/>
      <c r="Y31" s="49"/>
      <c r="Z31" s="49"/>
      <c r="AA31" s="49"/>
      <c r="AB31" s="49"/>
      <c r="AC31" s="49"/>
      <c r="AD31" s="49"/>
    </row>
    <row r="32" ht="15.75" customHeight="1">
      <c r="A32" s="56"/>
      <c r="B32" s="56"/>
      <c r="C32" s="59"/>
      <c r="D32" s="59"/>
      <c r="E32" s="56"/>
      <c r="F32" s="56"/>
      <c r="G32" s="56"/>
      <c r="H32" s="47"/>
      <c r="I32" s="43"/>
      <c r="J32" s="43"/>
      <c r="K32" s="46"/>
      <c r="L32" s="47"/>
      <c r="M32" s="47"/>
      <c r="N32" s="43"/>
      <c r="O32" s="43"/>
      <c r="P32" s="43"/>
      <c r="Q32" s="57"/>
      <c r="R32" s="57"/>
      <c r="S32" s="49"/>
      <c r="T32" s="49"/>
      <c r="U32" s="49"/>
      <c r="V32" s="49"/>
      <c r="W32" s="49"/>
      <c r="X32" s="49"/>
      <c r="Y32" s="49"/>
      <c r="Z32" s="49"/>
      <c r="AA32" s="49"/>
      <c r="AB32" s="49"/>
      <c r="AC32" s="49"/>
      <c r="AD32" s="49"/>
    </row>
    <row r="33" ht="15.75" customHeight="1">
      <c r="A33" s="56"/>
      <c r="B33" s="56"/>
      <c r="C33" s="45"/>
      <c r="D33" s="45"/>
      <c r="E33" s="56"/>
      <c r="F33" s="56"/>
      <c r="G33" s="56"/>
      <c r="H33" s="47"/>
      <c r="I33" s="43"/>
      <c r="J33" s="43"/>
      <c r="K33" s="43"/>
      <c r="L33" s="47"/>
      <c r="M33" s="47"/>
      <c r="N33" s="43"/>
      <c r="O33" s="43"/>
      <c r="P33" s="43"/>
      <c r="Q33" s="57"/>
      <c r="R33" s="57"/>
      <c r="S33" s="49"/>
      <c r="T33" s="49"/>
      <c r="U33" s="49"/>
      <c r="V33" s="49"/>
      <c r="W33" s="49"/>
      <c r="X33" s="49"/>
      <c r="Y33" s="49"/>
      <c r="Z33" s="49"/>
      <c r="AA33" s="49"/>
      <c r="AB33" s="49"/>
      <c r="AC33" s="49"/>
      <c r="AD33" s="49"/>
    </row>
    <row r="34" ht="15.75" customHeight="1">
      <c r="A34" s="56"/>
      <c r="B34" s="56"/>
      <c r="C34" s="45"/>
      <c r="D34" s="45"/>
      <c r="E34" s="56"/>
      <c r="F34" s="56"/>
      <c r="G34" s="56"/>
      <c r="H34" s="47"/>
      <c r="I34" s="43"/>
      <c r="J34" s="43"/>
      <c r="K34" s="43"/>
      <c r="L34" s="47"/>
      <c r="M34" s="47"/>
      <c r="N34" s="43"/>
      <c r="O34" s="43"/>
      <c r="P34" s="43"/>
      <c r="Q34" s="57"/>
      <c r="R34" s="57"/>
      <c r="S34" s="49"/>
      <c r="T34" s="49"/>
      <c r="U34" s="49"/>
      <c r="V34" s="49"/>
      <c r="W34" s="49"/>
      <c r="X34" s="49"/>
      <c r="Y34" s="49"/>
      <c r="Z34" s="49"/>
      <c r="AA34" s="49"/>
      <c r="AB34" s="49"/>
      <c r="AC34" s="49"/>
      <c r="AD34" s="49"/>
    </row>
    <row r="35" ht="15.75" customHeight="1">
      <c r="A35" s="56"/>
      <c r="B35" s="56"/>
      <c r="C35" s="59"/>
      <c r="D35" s="45"/>
      <c r="E35" s="56"/>
      <c r="F35" s="56"/>
      <c r="G35" s="56"/>
      <c r="H35" s="47"/>
      <c r="I35" s="43"/>
      <c r="J35" s="43"/>
      <c r="K35" s="43"/>
      <c r="L35" s="47"/>
      <c r="M35" s="47"/>
      <c r="N35" s="43"/>
      <c r="O35" s="43"/>
      <c r="P35" s="43"/>
      <c r="Q35" s="57"/>
      <c r="R35" s="57"/>
      <c r="S35" s="49"/>
      <c r="T35" s="49"/>
      <c r="U35" s="49"/>
      <c r="V35" s="49"/>
      <c r="W35" s="49"/>
      <c r="X35" s="49"/>
      <c r="Y35" s="49"/>
      <c r="Z35" s="49"/>
      <c r="AA35" s="49"/>
      <c r="AB35" s="49"/>
      <c r="AC35" s="49"/>
      <c r="AD35" s="49"/>
    </row>
    <row r="36" ht="15.75" customHeight="1">
      <c r="A36" s="56"/>
      <c r="B36" s="56"/>
      <c r="C36" s="59"/>
      <c r="D36" s="59"/>
      <c r="E36" s="56"/>
      <c r="F36" s="56"/>
      <c r="G36" s="56"/>
      <c r="H36" s="47"/>
      <c r="I36" s="43"/>
      <c r="J36" s="43"/>
      <c r="K36" s="43"/>
      <c r="L36" s="47"/>
      <c r="M36" s="47"/>
      <c r="N36" s="43"/>
      <c r="O36" s="43"/>
      <c r="P36" s="43"/>
      <c r="Q36" s="57"/>
      <c r="R36" s="57"/>
      <c r="S36" s="49"/>
      <c r="T36" s="49"/>
      <c r="U36" s="49"/>
      <c r="V36" s="49"/>
      <c r="W36" s="49"/>
      <c r="X36" s="49"/>
      <c r="Y36" s="49"/>
      <c r="Z36" s="49"/>
      <c r="AA36" s="49"/>
      <c r="AB36" s="49"/>
      <c r="AC36" s="49"/>
      <c r="AD36" s="49"/>
    </row>
    <row r="37" ht="15.75" customHeight="1">
      <c r="A37" s="56"/>
      <c r="B37" s="56"/>
      <c r="C37" s="45"/>
      <c r="D37" s="45"/>
      <c r="E37" s="56"/>
      <c r="F37" s="56"/>
      <c r="G37" s="56"/>
      <c r="H37" s="47"/>
      <c r="I37" s="43"/>
      <c r="J37" s="43"/>
      <c r="K37" s="43"/>
      <c r="L37" s="47"/>
      <c r="M37" s="47"/>
      <c r="N37" s="43"/>
      <c r="O37" s="43"/>
      <c r="P37" s="43"/>
      <c r="Q37" s="57"/>
      <c r="R37" s="57"/>
      <c r="S37" s="49"/>
      <c r="T37" s="49"/>
      <c r="U37" s="49"/>
      <c r="V37" s="49"/>
      <c r="W37" s="49"/>
      <c r="X37" s="49"/>
      <c r="Y37" s="49"/>
      <c r="Z37" s="49"/>
      <c r="AA37" s="49"/>
      <c r="AB37" s="49"/>
      <c r="AC37" s="49"/>
      <c r="AD37" s="49"/>
    </row>
    <row r="38" ht="15.75" customHeight="1">
      <c r="A38" s="56"/>
      <c r="B38" s="56"/>
      <c r="C38" s="45"/>
      <c r="D38" s="45"/>
      <c r="E38" s="56"/>
      <c r="F38" s="56"/>
      <c r="G38" s="56"/>
      <c r="H38" s="47"/>
      <c r="I38" s="43"/>
      <c r="J38" s="43"/>
      <c r="K38" s="43"/>
      <c r="L38" s="47"/>
      <c r="M38" s="47"/>
      <c r="N38" s="43"/>
      <c r="O38" s="43"/>
      <c r="P38" s="43"/>
      <c r="Q38" s="57"/>
      <c r="R38" s="57"/>
      <c r="S38" s="49"/>
      <c r="T38" s="49"/>
      <c r="U38" s="49"/>
      <c r="V38" s="49"/>
      <c r="W38" s="49"/>
      <c r="X38" s="49"/>
      <c r="Y38" s="49"/>
      <c r="Z38" s="49"/>
      <c r="AA38" s="49"/>
      <c r="AB38" s="49"/>
      <c r="AC38" s="49"/>
      <c r="AD38" s="49"/>
    </row>
    <row r="39" ht="15.75" customHeight="1">
      <c r="A39" s="56"/>
      <c r="B39" s="56"/>
      <c r="C39" s="45"/>
      <c r="D39" s="45"/>
      <c r="E39" s="56"/>
      <c r="F39" s="56"/>
      <c r="G39" s="56"/>
      <c r="H39" s="47"/>
      <c r="I39" s="46"/>
      <c r="J39" s="43"/>
      <c r="K39" s="46"/>
      <c r="L39" s="47"/>
      <c r="M39" s="47"/>
      <c r="N39" s="43"/>
      <c r="O39" s="43"/>
      <c r="P39" s="43"/>
      <c r="Q39" s="57"/>
      <c r="R39" s="57"/>
      <c r="S39" s="49"/>
      <c r="T39" s="49"/>
      <c r="U39" s="49"/>
      <c r="V39" s="49"/>
      <c r="W39" s="49"/>
      <c r="X39" s="49"/>
      <c r="Y39" s="49"/>
      <c r="Z39" s="49"/>
      <c r="AA39" s="49"/>
      <c r="AB39" s="49"/>
      <c r="AC39" s="49"/>
      <c r="AD39" s="49"/>
    </row>
    <row r="40" ht="15.75" customHeight="1">
      <c r="A40" s="56"/>
      <c r="B40" s="56"/>
      <c r="C40" s="45"/>
      <c r="D40" s="45"/>
      <c r="E40" s="56"/>
      <c r="F40" s="56"/>
      <c r="G40" s="56"/>
      <c r="H40" s="47"/>
      <c r="I40" s="46"/>
      <c r="J40" s="43"/>
      <c r="K40" s="46"/>
      <c r="L40" s="47"/>
      <c r="M40" s="47"/>
      <c r="N40" s="48"/>
      <c r="O40" s="43"/>
      <c r="P40" s="43"/>
      <c r="Q40" s="57"/>
      <c r="R40" s="57"/>
      <c r="S40" s="49"/>
      <c r="T40" s="49"/>
      <c r="U40" s="49"/>
      <c r="V40" s="49"/>
      <c r="W40" s="49"/>
      <c r="X40" s="49"/>
      <c r="Y40" s="49"/>
      <c r="Z40" s="49"/>
      <c r="AA40" s="49"/>
      <c r="AB40" s="49"/>
      <c r="AC40" s="49"/>
      <c r="AD40" s="49"/>
    </row>
    <row r="41" ht="15.75" customHeight="1">
      <c r="A41" s="56"/>
      <c r="B41" s="56"/>
      <c r="C41" s="45"/>
      <c r="D41" s="45"/>
      <c r="E41" s="56"/>
      <c r="F41" s="56"/>
      <c r="G41" s="56"/>
      <c r="H41" s="47"/>
      <c r="I41" s="46"/>
      <c r="J41" s="43"/>
      <c r="K41" s="46"/>
      <c r="L41" s="47"/>
      <c r="M41" s="47"/>
      <c r="N41" s="48"/>
      <c r="O41" s="43"/>
      <c r="P41" s="43"/>
      <c r="Q41" s="57"/>
      <c r="R41" s="57"/>
      <c r="S41" s="49"/>
      <c r="T41" s="49"/>
      <c r="U41" s="49"/>
      <c r="V41" s="49"/>
      <c r="W41" s="49"/>
      <c r="X41" s="49"/>
      <c r="Y41" s="49"/>
      <c r="Z41" s="49"/>
      <c r="AA41" s="49"/>
      <c r="AB41" s="49"/>
      <c r="AC41" s="49"/>
      <c r="AD41" s="49"/>
    </row>
    <row r="42" ht="15.75" customHeight="1">
      <c r="A42" s="46"/>
      <c r="B42" s="56"/>
      <c r="C42" s="45"/>
      <c r="D42" s="45"/>
      <c r="E42" s="56"/>
      <c r="F42" s="56"/>
      <c r="G42" s="56"/>
      <c r="H42" s="47"/>
      <c r="I42" s="46"/>
      <c r="J42" s="43"/>
      <c r="K42" s="45"/>
      <c r="L42" s="47"/>
      <c r="M42" s="47"/>
      <c r="N42" s="43"/>
      <c r="O42" s="43"/>
      <c r="P42" s="43"/>
      <c r="Q42" s="57"/>
      <c r="R42" s="57"/>
      <c r="S42" s="49"/>
      <c r="T42" s="49"/>
      <c r="U42" s="49"/>
      <c r="V42" s="49"/>
      <c r="W42" s="49"/>
      <c r="X42" s="49"/>
      <c r="Y42" s="49"/>
      <c r="Z42" s="49"/>
      <c r="AA42" s="49"/>
      <c r="AB42" s="49"/>
      <c r="AC42" s="49"/>
      <c r="AD42" s="49"/>
    </row>
    <row r="43" ht="15.75" customHeight="1">
      <c r="A43" s="56"/>
      <c r="B43" s="56"/>
      <c r="C43" s="45"/>
      <c r="D43" s="45"/>
      <c r="E43" s="56"/>
      <c r="F43" s="56"/>
      <c r="G43" s="56"/>
      <c r="H43" s="47"/>
      <c r="I43" s="43"/>
      <c r="J43" s="43"/>
      <c r="K43" s="43"/>
      <c r="L43" s="47"/>
      <c r="M43" s="47"/>
      <c r="N43" s="43"/>
      <c r="O43" s="43"/>
      <c r="P43" s="43"/>
      <c r="Q43" s="57"/>
      <c r="R43" s="57"/>
      <c r="S43" s="49"/>
      <c r="T43" s="49"/>
      <c r="U43" s="49"/>
      <c r="V43" s="49"/>
      <c r="W43" s="49"/>
      <c r="X43" s="49"/>
      <c r="Y43" s="49"/>
      <c r="Z43" s="49"/>
      <c r="AA43" s="49"/>
      <c r="AB43" s="49"/>
      <c r="AC43" s="49"/>
      <c r="AD43" s="49"/>
    </row>
    <row r="44" ht="15.75" customHeight="1">
      <c r="A44" s="56"/>
      <c r="B44" s="56"/>
      <c r="C44" s="45"/>
      <c r="D44" s="45"/>
      <c r="E44" s="56"/>
      <c r="F44" s="56"/>
      <c r="G44" s="56"/>
      <c r="H44" s="47"/>
      <c r="I44" s="46"/>
      <c r="J44" s="43"/>
      <c r="K44" s="46"/>
      <c r="L44" s="47"/>
      <c r="M44" s="47"/>
      <c r="N44" s="48"/>
      <c r="O44" s="43"/>
      <c r="P44" s="43"/>
      <c r="Q44" s="57"/>
      <c r="R44" s="57"/>
      <c r="S44" s="49"/>
      <c r="T44" s="49"/>
      <c r="U44" s="49"/>
      <c r="V44" s="49"/>
      <c r="W44" s="49"/>
      <c r="X44" s="49"/>
      <c r="Y44" s="49"/>
      <c r="Z44" s="49"/>
      <c r="AA44" s="49"/>
      <c r="AB44" s="49"/>
      <c r="AC44" s="49"/>
      <c r="AD44" s="49"/>
    </row>
    <row r="45" ht="15.75" customHeight="1">
      <c r="A45" s="56"/>
      <c r="B45" s="56"/>
      <c r="C45" s="45"/>
      <c r="D45" s="45"/>
      <c r="E45" s="56"/>
      <c r="F45" s="46"/>
      <c r="G45" s="46"/>
      <c r="H45" s="47"/>
      <c r="I45" s="43"/>
      <c r="J45" s="43"/>
      <c r="K45" s="43"/>
      <c r="L45" s="47"/>
      <c r="M45" s="47"/>
      <c r="N45" s="43"/>
      <c r="O45" s="43"/>
      <c r="P45" s="43"/>
      <c r="Q45" s="57"/>
      <c r="R45" s="57"/>
      <c r="S45" s="49"/>
      <c r="T45" s="49"/>
      <c r="U45" s="49"/>
      <c r="V45" s="49"/>
      <c r="W45" s="49"/>
      <c r="X45" s="49"/>
      <c r="Y45" s="49"/>
      <c r="Z45" s="49"/>
      <c r="AA45" s="49"/>
      <c r="AB45" s="49"/>
      <c r="AC45" s="49"/>
      <c r="AD45" s="49"/>
    </row>
    <row r="46" ht="15.75" customHeight="1">
      <c r="A46" s="56"/>
      <c r="B46" s="46"/>
      <c r="C46" s="45"/>
      <c r="D46" s="45"/>
      <c r="E46" s="56"/>
      <c r="F46" s="46"/>
      <c r="G46" s="46"/>
      <c r="H46" s="47"/>
      <c r="I46" s="57"/>
      <c r="J46" s="43"/>
      <c r="K46" s="46"/>
      <c r="L46" s="59"/>
      <c r="M46" s="47"/>
      <c r="N46" s="43"/>
      <c r="O46" s="48"/>
      <c r="P46" s="48"/>
      <c r="Q46" s="57"/>
      <c r="R46" s="57"/>
      <c r="S46" s="49"/>
      <c r="T46" s="49"/>
      <c r="U46" s="49"/>
      <c r="V46" s="49"/>
      <c r="W46" s="49"/>
      <c r="X46" s="49"/>
      <c r="Y46" s="49"/>
      <c r="Z46" s="49"/>
      <c r="AA46" s="49"/>
      <c r="AB46" s="49"/>
      <c r="AC46" s="49"/>
      <c r="AD46" s="49"/>
    </row>
    <row r="47" ht="15.75" customHeight="1">
      <c r="A47" s="46"/>
      <c r="B47" s="46"/>
      <c r="C47" s="45"/>
      <c r="D47" s="45"/>
      <c r="E47" s="56"/>
      <c r="F47" s="46"/>
      <c r="G47" s="46"/>
      <c r="H47" s="47"/>
      <c r="I47" s="57"/>
      <c r="J47" s="43"/>
      <c r="K47" s="46"/>
      <c r="L47" s="59"/>
      <c r="M47" s="47"/>
      <c r="N47" s="43"/>
      <c r="O47" s="48"/>
      <c r="P47" s="48"/>
      <c r="Q47" s="57"/>
      <c r="R47" s="57"/>
      <c r="S47" s="49"/>
      <c r="T47" s="49"/>
      <c r="U47" s="49"/>
      <c r="V47" s="49"/>
      <c r="W47" s="49"/>
      <c r="X47" s="49"/>
      <c r="Y47" s="49"/>
      <c r="Z47" s="49"/>
      <c r="AA47" s="49"/>
      <c r="AB47" s="49"/>
      <c r="AC47" s="49"/>
      <c r="AD47" s="49"/>
    </row>
    <row r="48" ht="15.75" customHeight="1">
      <c r="A48" s="43"/>
      <c r="B48" s="43"/>
      <c r="C48" s="45"/>
      <c r="D48" s="45"/>
      <c r="E48" s="46"/>
      <c r="F48" s="43"/>
      <c r="G48" s="46"/>
      <c r="H48" s="47"/>
      <c r="I48" s="43"/>
      <c r="J48" s="43"/>
      <c r="K48" s="43"/>
      <c r="L48" s="47"/>
      <c r="M48" s="47"/>
      <c r="N48" s="43"/>
      <c r="O48" s="43"/>
      <c r="P48" s="43"/>
      <c r="Q48" s="48"/>
      <c r="R48" s="48"/>
      <c r="S48" s="49"/>
      <c r="T48" s="49"/>
      <c r="U48" s="49"/>
      <c r="V48" s="49"/>
      <c r="W48" s="49"/>
      <c r="X48" s="49"/>
      <c r="Y48" s="49"/>
      <c r="Z48" s="49"/>
      <c r="AA48" s="49"/>
      <c r="AB48" s="49"/>
      <c r="AC48" s="49"/>
      <c r="AD48" s="49"/>
    </row>
    <row r="49" ht="15.75" customHeight="1">
      <c r="A49" s="56"/>
      <c r="B49" s="46"/>
      <c r="C49" s="45"/>
      <c r="D49" s="44"/>
      <c r="E49" s="56"/>
      <c r="F49" s="56"/>
      <c r="G49" s="56"/>
      <c r="H49" s="47"/>
      <c r="I49" s="43"/>
      <c r="J49" s="43"/>
      <c r="K49" s="43"/>
      <c r="L49" s="47"/>
      <c r="M49" s="47"/>
      <c r="N49" s="43"/>
      <c r="O49" s="43"/>
      <c r="P49" s="43"/>
      <c r="Q49" s="57"/>
      <c r="R49" s="57"/>
      <c r="S49" s="49"/>
      <c r="T49" s="49"/>
      <c r="U49" s="49"/>
      <c r="V49" s="49"/>
      <c r="W49" s="49"/>
      <c r="X49" s="49"/>
      <c r="Y49" s="49"/>
      <c r="Z49" s="49"/>
      <c r="AA49" s="49"/>
      <c r="AB49" s="49"/>
      <c r="AC49" s="49"/>
      <c r="AD49" s="49"/>
    </row>
    <row r="50" ht="15.75" customHeight="1">
      <c r="A50" s="56"/>
      <c r="B50" s="74"/>
      <c r="C50" s="45"/>
      <c r="D50" s="45"/>
      <c r="E50" s="75"/>
      <c r="F50" s="56"/>
      <c r="G50" s="56"/>
      <c r="H50" s="47"/>
      <c r="I50" s="43"/>
      <c r="J50" s="43"/>
      <c r="K50" s="43"/>
      <c r="L50" s="47"/>
      <c r="M50" s="47"/>
      <c r="N50" s="43"/>
      <c r="O50" s="43"/>
      <c r="P50" s="43"/>
      <c r="Q50" s="57"/>
      <c r="R50" s="57"/>
      <c r="S50" s="49"/>
      <c r="T50" s="49"/>
      <c r="U50" s="49"/>
      <c r="V50" s="49"/>
      <c r="W50" s="49"/>
      <c r="X50" s="49"/>
      <c r="Y50" s="49"/>
      <c r="Z50" s="49"/>
      <c r="AA50" s="49"/>
      <c r="AB50" s="49"/>
      <c r="AC50" s="49"/>
      <c r="AD50" s="49"/>
    </row>
    <row r="51" ht="15.75" customHeight="1">
      <c r="A51" s="56"/>
      <c r="B51" s="46"/>
      <c r="C51" s="45"/>
      <c r="D51" s="45"/>
      <c r="E51" s="56"/>
      <c r="F51" s="56"/>
      <c r="G51" s="56"/>
      <c r="H51" s="47"/>
      <c r="I51" s="43"/>
      <c r="J51" s="43"/>
      <c r="K51" s="43"/>
      <c r="L51" s="47"/>
      <c r="M51" s="47"/>
      <c r="N51" s="43"/>
      <c r="O51" s="43"/>
      <c r="P51" s="43"/>
      <c r="Q51" s="57"/>
      <c r="R51" s="57"/>
      <c r="S51" s="49"/>
      <c r="T51" s="49"/>
      <c r="U51" s="49"/>
      <c r="V51" s="49"/>
      <c r="W51" s="49"/>
      <c r="X51" s="49"/>
      <c r="Y51" s="49"/>
      <c r="Z51" s="49"/>
      <c r="AA51" s="49"/>
      <c r="AB51" s="49"/>
      <c r="AC51" s="49"/>
      <c r="AD51" s="49"/>
    </row>
    <row r="52" ht="15.75" customHeight="1">
      <c r="A52" s="46"/>
      <c r="B52" s="46"/>
      <c r="C52" s="45"/>
      <c r="D52" s="45"/>
      <c r="E52" s="56"/>
      <c r="F52" s="56"/>
      <c r="G52" s="56"/>
      <c r="H52" s="47"/>
      <c r="I52" s="43"/>
      <c r="J52" s="43"/>
      <c r="K52" s="46"/>
      <c r="L52" s="47"/>
      <c r="M52" s="47"/>
      <c r="N52" s="43"/>
      <c r="O52" s="43"/>
      <c r="P52" s="43"/>
      <c r="Q52" s="57"/>
      <c r="R52" s="57"/>
      <c r="S52" s="49"/>
      <c r="T52" s="49"/>
      <c r="U52" s="49"/>
      <c r="V52" s="49"/>
      <c r="W52" s="49"/>
      <c r="X52" s="49"/>
      <c r="Y52" s="49"/>
      <c r="Z52" s="49"/>
      <c r="AA52" s="49"/>
      <c r="AB52" s="49"/>
      <c r="AC52" s="49"/>
      <c r="AD52" s="49"/>
    </row>
    <row r="53" ht="15.75" customHeight="1">
      <c r="A53" s="46"/>
      <c r="B53" s="46"/>
      <c r="C53" s="44"/>
      <c r="D53" s="45"/>
      <c r="E53" s="56"/>
      <c r="F53" s="56"/>
      <c r="G53" s="56"/>
      <c r="H53" s="47"/>
      <c r="I53" s="43"/>
      <c r="J53" s="43"/>
      <c r="K53" s="46"/>
      <c r="L53" s="47"/>
      <c r="M53" s="47"/>
      <c r="N53" s="43"/>
      <c r="O53" s="43"/>
      <c r="P53" s="43"/>
      <c r="Q53" s="57"/>
      <c r="R53" s="57"/>
      <c r="S53" s="49"/>
      <c r="T53" s="49"/>
      <c r="U53" s="49"/>
      <c r="V53" s="49"/>
      <c r="W53" s="49"/>
      <c r="X53" s="49"/>
      <c r="Y53" s="49"/>
      <c r="Z53" s="49"/>
      <c r="AA53" s="49"/>
      <c r="AB53" s="49"/>
      <c r="AC53" s="49"/>
      <c r="AD53" s="49"/>
    </row>
    <row r="54" ht="15.75" customHeight="1">
      <c r="A54" s="56"/>
      <c r="B54" s="46"/>
      <c r="C54" s="45"/>
      <c r="D54" s="45"/>
      <c r="E54" s="56"/>
      <c r="F54" s="56"/>
      <c r="G54" s="56"/>
      <c r="H54" s="47"/>
      <c r="I54" s="43"/>
      <c r="J54" s="43"/>
      <c r="K54" s="46"/>
      <c r="L54" s="47"/>
      <c r="M54" s="47"/>
      <c r="N54" s="43"/>
      <c r="O54" s="43"/>
      <c r="P54" s="43"/>
      <c r="Q54" s="57"/>
      <c r="R54" s="57"/>
      <c r="S54" s="49"/>
      <c r="T54" s="49"/>
      <c r="U54" s="49"/>
      <c r="V54" s="49"/>
      <c r="W54" s="49"/>
      <c r="X54" s="49"/>
      <c r="Y54" s="49"/>
      <c r="Z54" s="49"/>
      <c r="AA54" s="49"/>
      <c r="AB54" s="49"/>
      <c r="AC54" s="49"/>
      <c r="AD54" s="49"/>
    </row>
    <row r="55" ht="15.75" customHeight="1">
      <c r="A55" s="56"/>
      <c r="B55" s="46"/>
      <c r="C55" s="45"/>
      <c r="D55" s="45"/>
      <c r="E55" s="56"/>
      <c r="F55" s="56"/>
      <c r="G55" s="56"/>
      <c r="H55" s="47"/>
      <c r="I55" s="43"/>
      <c r="J55" s="43"/>
      <c r="K55" s="43"/>
      <c r="L55" s="47"/>
      <c r="M55" s="47"/>
      <c r="N55" s="43"/>
      <c r="O55" s="43"/>
      <c r="P55" s="43"/>
      <c r="Q55" s="57"/>
      <c r="R55" s="57"/>
      <c r="S55" s="49"/>
      <c r="T55" s="49"/>
      <c r="U55" s="49"/>
      <c r="V55" s="49"/>
      <c r="W55" s="49"/>
      <c r="X55" s="49"/>
      <c r="Y55" s="49"/>
      <c r="Z55" s="49"/>
      <c r="AA55" s="49"/>
      <c r="AB55" s="49"/>
      <c r="AC55" s="49"/>
      <c r="AD55" s="49"/>
    </row>
    <row r="56" ht="15.75" customHeight="1">
      <c r="A56" s="56"/>
      <c r="B56" s="46"/>
      <c r="C56" s="45"/>
      <c r="D56" s="45"/>
      <c r="E56" s="56"/>
      <c r="F56" s="56"/>
      <c r="G56" s="56"/>
      <c r="H56" s="47"/>
      <c r="I56" s="43"/>
      <c r="J56" s="43"/>
      <c r="K56" s="43"/>
      <c r="L56" s="47"/>
      <c r="M56" s="47"/>
      <c r="N56" s="43"/>
      <c r="O56" s="43"/>
      <c r="P56" s="43"/>
      <c r="Q56" s="57"/>
      <c r="R56" s="57"/>
      <c r="S56" s="49"/>
      <c r="T56" s="49"/>
      <c r="U56" s="49"/>
      <c r="V56" s="49"/>
      <c r="W56" s="49"/>
      <c r="X56" s="49"/>
      <c r="Y56" s="49"/>
      <c r="Z56" s="49"/>
      <c r="AA56" s="49"/>
      <c r="AB56" s="49"/>
      <c r="AC56" s="49"/>
      <c r="AD56" s="49"/>
    </row>
    <row r="57" ht="15.75" customHeight="1">
      <c r="A57" s="56"/>
      <c r="B57" s="46"/>
      <c r="C57" s="44"/>
      <c r="D57" s="45"/>
      <c r="E57" s="56"/>
      <c r="F57" s="56"/>
      <c r="G57" s="56"/>
      <c r="H57" s="47"/>
      <c r="I57" s="43"/>
      <c r="J57" s="43"/>
      <c r="K57" s="46"/>
      <c r="L57" s="47"/>
      <c r="M57" s="47"/>
      <c r="N57" s="43"/>
      <c r="O57" s="43"/>
      <c r="P57" s="43"/>
      <c r="Q57" s="57"/>
      <c r="R57" s="57"/>
      <c r="S57" s="49"/>
      <c r="T57" s="49"/>
      <c r="U57" s="49"/>
      <c r="V57" s="49"/>
      <c r="W57" s="49"/>
      <c r="X57" s="49"/>
      <c r="Y57" s="49"/>
      <c r="Z57" s="49"/>
      <c r="AA57" s="49"/>
      <c r="AB57" s="49"/>
      <c r="AC57" s="49"/>
      <c r="AD57" s="49"/>
    </row>
    <row r="58" ht="15.75" customHeight="1">
      <c r="A58" s="56"/>
      <c r="B58" s="56"/>
      <c r="C58" s="45"/>
      <c r="D58" s="45"/>
      <c r="E58" s="56"/>
      <c r="F58" s="56"/>
      <c r="G58" s="56"/>
      <c r="H58" s="47"/>
      <c r="I58" s="43"/>
      <c r="J58" s="43"/>
      <c r="K58" s="43"/>
      <c r="L58" s="47"/>
      <c r="M58" s="47"/>
      <c r="N58" s="43"/>
      <c r="O58" s="43"/>
      <c r="P58" s="43"/>
      <c r="Q58" s="57"/>
      <c r="R58" s="57"/>
      <c r="S58" s="49"/>
      <c r="T58" s="49"/>
      <c r="U58" s="49"/>
      <c r="V58" s="49"/>
      <c r="W58" s="49"/>
      <c r="X58" s="49"/>
      <c r="Y58" s="49"/>
      <c r="Z58" s="49"/>
      <c r="AA58" s="49"/>
      <c r="AB58" s="49"/>
      <c r="AC58" s="49"/>
      <c r="AD58" s="49"/>
    </row>
    <row r="59" ht="15.75" customHeight="1">
      <c r="A59" s="56"/>
      <c r="B59" s="56"/>
      <c r="C59" s="45"/>
      <c r="D59" s="45"/>
      <c r="E59" s="56"/>
      <c r="F59" s="56"/>
      <c r="G59" s="56"/>
      <c r="H59" s="47"/>
      <c r="I59" s="43"/>
      <c r="J59" s="43"/>
      <c r="K59" s="43"/>
      <c r="L59" s="47"/>
      <c r="M59" s="47"/>
      <c r="N59" s="43"/>
      <c r="O59" s="43"/>
      <c r="P59" s="43"/>
      <c r="Q59" s="57"/>
      <c r="R59" s="57"/>
      <c r="S59" s="49"/>
      <c r="T59" s="49"/>
      <c r="U59" s="49"/>
      <c r="V59" s="49"/>
      <c r="W59" s="49"/>
      <c r="X59" s="49"/>
      <c r="Y59" s="49"/>
      <c r="Z59" s="49"/>
      <c r="AA59" s="49"/>
      <c r="AB59" s="49"/>
      <c r="AC59" s="49"/>
      <c r="AD59" s="49"/>
    </row>
    <row r="60" ht="15.75" customHeight="1">
      <c r="A60" s="56"/>
      <c r="B60" s="56"/>
      <c r="C60" s="59"/>
      <c r="D60" s="59"/>
      <c r="E60" s="56"/>
      <c r="F60" s="56"/>
      <c r="G60" s="56"/>
      <c r="H60" s="47"/>
      <c r="I60" s="43"/>
      <c r="J60" s="43"/>
      <c r="K60" s="43"/>
      <c r="L60" s="47"/>
      <c r="M60" s="47"/>
      <c r="N60" s="43"/>
      <c r="O60" s="43"/>
      <c r="P60" s="43"/>
      <c r="Q60" s="57"/>
      <c r="R60" s="57"/>
      <c r="S60" s="49"/>
      <c r="T60" s="49"/>
      <c r="U60" s="49"/>
      <c r="V60" s="49"/>
      <c r="W60" s="49"/>
      <c r="X60" s="49"/>
      <c r="Y60" s="49"/>
      <c r="Z60" s="49"/>
      <c r="AA60" s="49"/>
      <c r="AB60" s="49"/>
      <c r="AC60" s="49"/>
      <c r="AD60" s="49"/>
    </row>
    <row r="61" ht="15.75" customHeight="1">
      <c r="A61" s="56"/>
      <c r="B61" s="56"/>
      <c r="C61" s="59"/>
      <c r="D61" s="59"/>
      <c r="E61" s="56"/>
      <c r="F61" s="56"/>
      <c r="G61" s="56"/>
      <c r="H61" s="47"/>
      <c r="I61" s="43"/>
      <c r="J61" s="43"/>
      <c r="K61" s="46"/>
      <c r="L61" s="47"/>
      <c r="M61" s="47"/>
      <c r="N61" s="43"/>
      <c r="O61" s="43"/>
      <c r="P61" s="43"/>
      <c r="Q61" s="57"/>
      <c r="R61" s="57"/>
      <c r="S61" s="49"/>
      <c r="T61" s="49"/>
      <c r="U61" s="49"/>
      <c r="V61" s="49"/>
      <c r="W61" s="49"/>
      <c r="X61" s="49"/>
      <c r="Y61" s="49"/>
      <c r="Z61" s="49"/>
      <c r="AA61" s="49"/>
      <c r="AB61" s="49"/>
      <c r="AC61" s="49"/>
      <c r="AD61" s="49"/>
    </row>
    <row r="62" ht="15.75" customHeight="1">
      <c r="A62" s="56"/>
      <c r="B62" s="56"/>
      <c r="C62" s="59"/>
      <c r="D62" s="59"/>
      <c r="E62" s="56"/>
      <c r="F62" s="56"/>
      <c r="G62" s="56"/>
      <c r="H62" s="47"/>
      <c r="I62" s="43"/>
      <c r="J62" s="43"/>
      <c r="K62" s="46"/>
      <c r="L62" s="47"/>
      <c r="M62" s="47"/>
      <c r="N62" s="43"/>
      <c r="O62" s="43"/>
      <c r="P62" s="43"/>
      <c r="Q62" s="57"/>
      <c r="R62" s="57"/>
      <c r="S62" s="49"/>
      <c r="T62" s="49"/>
      <c r="U62" s="49"/>
      <c r="V62" s="49"/>
      <c r="W62" s="49"/>
      <c r="X62" s="49"/>
      <c r="Y62" s="49"/>
      <c r="Z62" s="49"/>
      <c r="AA62" s="49"/>
      <c r="AB62" s="49"/>
      <c r="AC62" s="49"/>
      <c r="AD62" s="49"/>
    </row>
    <row r="63" ht="15.75" customHeight="1">
      <c r="A63" s="56"/>
      <c r="B63" s="56"/>
      <c r="C63" s="59"/>
      <c r="D63" s="59"/>
      <c r="E63" s="56"/>
      <c r="F63" s="56"/>
      <c r="G63" s="56"/>
      <c r="H63" s="47"/>
      <c r="I63" s="43"/>
      <c r="J63" s="43"/>
      <c r="K63" s="46"/>
      <c r="L63" s="47"/>
      <c r="M63" s="47"/>
      <c r="N63" s="43"/>
      <c r="O63" s="43"/>
      <c r="P63" s="43"/>
      <c r="Q63" s="57"/>
      <c r="R63" s="57"/>
      <c r="S63" s="49"/>
      <c r="T63" s="49"/>
      <c r="U63" s="49"/>
      <c r="V63" s="49"/>
      <c r="W63" s="49"/>
      <c r="X63" s="49"/>
      <c r="Y63" s="49"/>
      <c r="Z63" s="49"/>
      <c r="AA63" s="49"/>
      <c r="AB63" s="49"/>
      <c r="AC63" s="49"/>
      <c r="AD63" s="49"/>
    </row>
    <row r="64" ht="15.75" customHeight="1">
      <c r="A64" s="56"/>
      <c r="B64" s="56"/>
      <c r="C64" s="59"/>
      <c r="D64" s="59"/>
      <c r="E64" s="56"/>
      <c r="F64" s="56"/>
      <c r="G64" s="56"/>
      <c r="H64" s="47"/>
      <c r="I64" s="43"/>
      <c r="J64" s="43"/>
      <c r="K64" s="46"/>
      <c r="L64" s="47"/>
      <c r="M64" s="47"/>
      <c r="N64" s="43"/>
      <c r="O64" s="43"/>
      <c r="P64" s="43"/>
      <c r="Q64" s="57"/>
      <c r="R64" s="57"/>
      <c r="S64" s="49"/>
      <c r="T64" s="49"/>
      <c r="U64" s="49"/>
      <c r="V64" s="49"/>
      <c r="W64" s="49"/>
      <c r="X64" s="49"/>
      <c r="Y64" s="49"/>
      <c r="Z64" s="49"/>
      <c r="AA64" s="49"/>
      <c r="AB64" s="49"/>
      <c r="AC64" s="49"/>
      <c r="AD64" s="49"/>
    </row>
    <row r="65" ht="15.75" customHeight="1">
      <c r="A65" s="56"/>
      <c r="B65" s="56"/>
      <c r="C65" s="59"/>
      <c r="D65" s="59"/>
      <c r="E65" s="56"/>
      <c r="F65" s="56"/>
      <c r="G65" s="56"/>
      <c r="H65" s="47"/>
      <c r="I65" s="43"/>
      <c r="J65" s="43"/>
      <c r="K65" s="46"/>
      <c r="L65" s="47"/>
      <c r="M65" s="47"/>
      <c r="N65" s="43"/>
      <c r="O65" s="43"/>
      <c r="P65" s="43"/>
      <c r="Q65" s="57"/>
      <c r="R65" s="57"/>
      <c r="S65" s="49"/>
      <c r="T65" s="49"/>
      <c r="U65" s="49"/>
      <c r="V65" s="49"/>
      <c r="W65" s="49"/>
      <c r="X65" s="49"/>
      <c r="Y65" s="49"/>
      <c r="Z65" s="49"/>
      <c r="AA65" s="49"/>
      <c r="AB65" s="49"/>
      <c r="AC65" s="49"/>
      <c r="AD65" s="49"/>
    </row>
    <row r="66" ht="15.75" customHeight="1">
      <c r="A66" s="76"/>
      <c r="B66" s="76"/>
      <c r="C66" s="59"/>
      <c r="D66" s="59"/>
      <c r="E66" s="56"/>
      <c r="F66" s="56"/>
      <c r="G66" s="56"/>
      <c r="H66" s="47"/>
      <c r="I66" s="46"/>
      <c r="J66" s="43"/>
      <c r="K66" s="46"/>
      <c r="L66" s="47"/>
      <c r="M66" s="47"/>
      <c r="N66" s="43"/>
      <c r="O66" s="43"/>
      <c r="P66" s="43"/>
      <c r="Q66" s="57"/>
      <c r="R66" s="57"/>
      <c r="S66" s="49"/>
      <c r="T66" s="49"/>
      <c r="U66" s="49"/>
      <c r="V66" s="49"/>
      <c r="W66" s="49"/>
      <c r="X66" s="49"/>
      <c r="Y66" s="49"/>
      <c r="Z66" s="49"/>
      <c r="AA66" s="49"/>
      <c r="AB66" s="49"/>
      <c r="AC66" s="49"/>
      <c r="AD66" s="49"/>
    </row>
    <row r="67" ht="15.75" customHeight="1">
      <c r="A67" s="56"/>
      <c r="B67" s="56"/>
      <c r="C67" s="59"/>
      <c r="D67" s="59"/>
      <c r="E67" s="56"/>
      <c r="F67" s="56"/>
      <c r="G67" s="56"/>
      <c r="H67" s="47"/>
      <c r="I67" s="46"/>
      <c r="J67" s="43"/>
      <c r="K67" s="46"/>
      <c r="L67" s="47"/>
      <c r="M67" s="47"/>
      <c r="N67" s="43"/>
      <c r="O67" s="43"/>
      <c r="P67" s="43"/>
      <c r="Q67" s="57"/>
      <c r="R67" s="57"/>
      <c r="S67" s="49"/>
      <c r="T67" s="49"/>
      <c r="U67" s="49"/>
      <c r="V67" s="49"/>
      <c r="W67" s="49"/>
      <c r="X67" s="49"/>
      <c r="Y67" s="49"/>
      <c r="Z67" s="49"/>
      <c r="AA67" s="49"/>
      <c r="AB67" s="49"/>
      <c r="AC67" s="49"/>
      <c r="AD67" s="49"/>
    </row>
    <row r="68" ht="15.75" customHeight="1">
      <c r="A68" s="56"/>
      <c r="B68" s="56"/>
      <c r="C68" s="59"/>
      <c r="D68" s="59"/>
      <c r="E68" s="56"/>
      <c r="F68" s="56"/>
      <c r="G68" s="56"/>
      <c r="H68" s="47"/>
      <c r="I68" s="46"/>
      <c r="J68" s="43"/>
      <c r="K68" s="46"/>
      <c r="L68" s="47"/>
      <c r="M68" s="47"/>
      <c r="N68" s="43"/>
      <c r="O68" s="43"/>
      <c r="P68" s="43"/>
      <c r="Q68" s="57"/>
      <c r="R68" s="57"/>
      <c r="S68" s="49"/>
      <c r="T68" s="49"/>
      <c r="U68" s="49"/>
      <c r="V68" s="49"/>
      <c r="W68" s="49"/>
      <c r="X68" s="49"/>
      <c r="Y68" s="49"/>
      <c r="Z68" s="49"/>
      <c r="AA68" s="49"/>
      <c r="AB68" s="49"/>
      <c r="AC68" s="49"/>
      <c r="AD68" s="49"/>
    </row>
    <row r="69" ht="15.75" customHeight="1">
      <c r="A69" s="56"/>
      <c r="B69" s="56"/>
      <c r="C69" s="45"/>
      <c r="D69" s="45"/>
      <c r="E69" s="56"/>
      <c r="F69" s="56"/>
      <c r="G69" s="56"/>
      <c r="H69" s="47"/>
      <c r="I69" s="46"/>
      <c r="J69" s="43"/>
      <c r="K69" s="46"/>
      <c r="L69" s="47"/>
      <c r="M69" s="47"/>
      <c r="N69" s="43"/>
      <c r="O69" s="43"/>
      <c r="P69" s="43"/>
      <c r="Q69" s="57"/>
      <c r="R69" s="57"/>
      <c r="S69" s="49"/>
      <c r="T69" s="49"/>
      <c r="U69" s="49"/>
      <c r="V69" s="49"/>
      <c r="W69" s="49"/>
      <c r="X69" s="49"/>
      <c r="Y69" s="49"/>
      <c r="Z69" s="49"/>
      <c r="AA69" s="49"/>
      <c r="AB69" s="49"/>
      <c r="AC69" s="49"/>
      <c r="AD69" s="49"/>
    </row>
    <row r="70" ht="15.75" customHeight="1">
      <c r="A70" s="56"/>
      <c r="B70" s="56"/>
      <c r="C70" s="59"/>
      <c r="D70" s="59"/>
      <c r="E70" s="56"/>
      <c r="F70" s="56"/>
      <c r="G70" s="56"/>
      <c r="H70" s="47"/>
      <c r="I70" s="46"/>
      <c r="J70" s="43"/>
      <c r="K70" s="46"/>
      <c r="L70" s="47"/>
      <c r="M70" s="47"/>
      <c r="N70" s="43"/>
      <c r="O70" s="43"/>
      <c r="P70" s="43"/>
      <c r="Q70" s="57"/>
      <c r="R70" s="57"/>
      <c r="S70" s="49"/>
      <c r="T70" s="49"/>
      <c r="U70" s="49"/>
      <c r="V70" s="49"/>
      <c r="W70" s="49"/>
      <c r="X70" s="49"/>
      <c r="Y70" s="49"/>
      <c r="Z70" s="49"/>
      <c r="AA70" s="49"/>
      <c r="AB70" s="49"/>
      <c r="AC70" s="49"/>
      <c r="AD70" s="49"/>
    </row>
    <row r="71" ht="15.75" customHeight="1">
      <c r="A71" s="56"/>
      <c r="B71" s="56"/>
      <c r="C71" s="59"/>
      <c r="D71" s="59"/>
      <c r="E71" s="56"/>
      <c r="F71" s="56"/>
      <c r="G71" s="56"/>
      <c r="H71" s="79"/>
      <c r="I71" s="43"/>
      <c r="J71" s="43"/>
      <c r="K71" s="43"/>
      <c r="L71" s="47"/>
      <c r="M71" s="47"/>
      <c r="N71" s="43"/>
      <c r="O71" s="43"/>
      <c r="P71" s="43"/>
      <c r="Q71" s="57"/>
      <c r="R71" s="57"/>
      <c r="S71" s="49"/>
      <c r="T71" s="49"/>
      <c r="U71" s="49"/>
      <c r="V71" s="49"/>
      <c r="W71" s="49"/>
      <c r="X71" s="49"/>
      <c r="Y71" s="49"/>
      <c r="Z71" s="49"/>
      <c r="AA71" s="49"/>
      <c r="AB71" s="49"/>
      <c r="AC71" s="49"/>
      <c r="AD71" s="49"/>
    </row>
    <row r="72" ht="15.75" customHeight="1">
      <c r="A72" s="56"/>
      <c r="B72" s="56"/>
      <c r="C72" s="59"/>
      <c r="D72" s="59"/>
      <c r="E72" s="56"/>
      <c r="F72" s="56"/>
      <c r="G72" s="56"/>
      <c r="H72" s="47"/>
      <c r="I72" s="43"/>
      <c r="J72" s="43"/>
      <c r="K72" s="43"/>
      <c r="L72" s="47"/>
      <c r="M72" s="47"/>
      <c r="N72" s="43"/>
      <c r="O72" s="43"/>
      <c r="P72" s="43"/>
      <c r="Q72" s="57"/>
      <c r="R72" s="57"/>
      <c r="S72" s="49"/>
      <c r="T72" s="49"/>
      <c r="U72" s="49"/>
      <c r="V72" s="49"/>
      <c r="W72" s="49"/>
      <c r="X72" s="49"/>
      <c r="Y72" s="49"/>
      <c r="Z72" s="49"/>
      <c r="AA72" s="49"/>
      <c r="AB72" s="49"/>
      <c r="AC72" s="49"/>
      <c r="AD72" s="49"/>
    </row>
    <row r="73" ht="15.75" customHeight="1">
      <c r="A73" s="56"/>
      <c r="B73" s="56"/>
      <c r="C73" s="59"/>
      <c r="D73" s="59"/>
      <c r="E73" s="56"/>
      <c r="F73" s="56"/>
      <c r="G73" s="56"/>
      <c r="H73" s="47"/>
      <c r="I73" s="46"/>
      <c r="J73" s="43"/>
      <c r="K73" s="46"/>
      <c r="L73" s="47"/>
      <c r="M73" s="47"/>
      <c r="N73" s="43"/>
      <c r="O73" s="43"/>
      <c r="P73" s="43"/>
      <c r="Q73" s="57"/>
      <c r="R73" s="57"/>
      <c r="S73" s="49"/>
      <c r="T73" s="49"/>
      <c r="U73" s="49"/>
      <c r="V73" s="49"/>
      <c r="W73" s="49"/>
      <c r="X73" s="49"/>
      <c r="Y73" s="49"/>
      <c r="Z73" s="49"/>
      <c r="AA73" s="49"/>
      <c r="AB73" s="49"/>
      <c r="AC73" s="49"/>
      <c r="AD73" s="49"/>
    </row>
    <row r="74" ht="15.75" customHeight="1">
      <c r="A74" s="56"/>
      <c r="B74" s="56"/>
      <c r="C74" s="59"/>
      <c r="D74" s="59"/>
      <c r="E74" s="56"/>
      <c r="F74" s="56"/>
      <c r="G74" s="56"/>
      <c r="H74" s="80"/>
      <c r="I74" s="46"/>
      <c r="J74" s="43"/>
      <c r="K74" s="46"/>
      <c r="L74" s="47"/>
      <c r="M74" s="47"/>
      <c r="N74" s="48"/>
      <c r="O74" s="43"/>
      <c r="P74" s="43"/>
      <c r="Q74" s="57"/>
      <c r="R74" s="57"/>
      <c r="S74" s="49"/>
      <c r="T74" s="49"/>
      <c r="U74" s="49"/>
      <c r="V74" s="49"/>
      <c r="W74" s="49"/>
      <c r="X74" s="49"/>
      <c r="Y74" s="49"/>
      <c r="Z74" s="49"/>
      <c r="AA74" s="49"/>
      <c r="AB74" s="49"/>
      <c r="AC74" s="49"/>
      <c r="AD74" s="49"/>
    </row>
    <row r="75" ht="15.75" customHeight="1">
      <c r="A75" s="56"/>
      <c r="B75" s="56"/>
      <c r="C75" s="59"/>
      <c r="D75" s="59"/>
      <c r="E75" s="56"/>
      <c r="F75" s="56"/>
      <c r="G75" s="56"/>
      <c r="H75" s="47"/>
      <c r="I75" s="46"/>
      <c r="J75" s="43"/>
      <c r="K75" s="46"/>
      <c r="L75" s="47"/>
      <c r="M75" s="47"/>
      <c r="N75" s="43"/>
      <c r="O75" s="43"/>
      <c r="P75" s="43"/>
      <c r="Q75" s="57"/>
      <c r="R75" s="57"/>
      <c r="S75" s="49"/>
      <c r="T75" s="49"/>
      <c r="U75" s="49"/>
      <c r="V75" s="49"/>
      <c r="W75" s="49"/>
      <c r="X75" s="49"/>
      <c r="Y75" s="49"/>
      <c r="Z75" s="49"/>
      <c r="AA75" s="49"/>
      <c r="AB75" s="49"/>
      <c r="AC75" s="49"/>
      <c r="AD75" s="49"/>
    </row>
    <row r="76" ht="15.75" customHeight="1">
      <c r="A76" s="56"/>
      <c r="B76" s="56"/>
      <c r="C76" s="45"/>
      <c r="D76" s="59"/>
      <c r="E76" s="56"/>
      <c r="F76" s="56"/>
      <c r="G76" s="56"/>
      <c r="H76" s="47"/>
      <c r="I76" s="46"/>
      <c r="J76" s="43"/>
      <c r="K76" s="46"/>
      <c r="L76" s="47"/>
      <c r="M76" s="47"/>
      <c r="N76" s="43"/>
      <c r="O76" s="43"/>
      <c r="P76" s="43"/>
      <c r="Q76" s="57"/>
      <c r="R76" s="57"/>
      <c r="S76" s="49"/>
      <c r="T76" s="49"/>
      <c r="U76" s="49"/>
      <c r="V76" s="49"/>
      <c r="W76" s="49"/>
      <c r="X76" s="49"/>
      <c r="Y76" s="49"/>
      <c r="Z76" s="49"/>
      <c r="AA76" s="49"/>
      <c r="AB76" s="49"/>
      <c r="AC76" s="49"/>
      <c r="AD76" s="49"/>
    </row>
    <row r="77" ht="15.75" customHeight="1">
      <c r="A77" s="56"/>
      <c r="B77" s="56"/>
      <c r="C77" s="45"/>
      <c r="D77" s="90"/>
      <c r="E77" s="56"/>
      <c r="F77" s="56"/>
      <c r="G77" s="56"/>
      <c r="H77" s="47"/>
      <c r="I77" s="46"/>
      <c r="J77" s="43"/>
      <c r="K77" s="46"/>
      <c r="L77" s="47"/>
      <c r="M77" s="47"/>
      <c r="N77" s="43"/>
      <c r="O77" s="43"/>
      <c r="P77" s="43"/>
      <c r="Q77" s="57"/>
      <c r="R77" s="57"/>
      <c r="S77" s="49"/>
      <c r="T77" s="49"/>
      <c r="U77" s="49"/>
      <c r="V77" s="49"/>
      <c r="W77" s="49"/>
      <c r="X77" s="49"/>
      <c r="Y77" s="49"/>
      <c r="Z77" s="49"/>
      <c r="AA77" s="49"/>
      <c r="AB77" s="49"/>
      <c r="AC77" s="49"/>
      <c r="AD77" s="49"/>
    </row>
    <row r="78" ht="15.75" customHeight="1">
      <c r="A78" s="56"/>
      <c r="B78" s="56"/>
      <c r="C78" s="44"/>
      <c r="D78" s="90"/>
      <c r="E78" s="56"/>
      <c r="F78" s="46"/>
      <c r="G78" s="56"/>
      <c r="H78" s="47"/>
      <c r="I78" s="46"/>
      <c r="J78" s="43"/>
      <c r="K78" s="46"/>
      <c r="L78" s="47"/>
      <c r="M78" s="47"/>
      <c r="N78" s="43"/>
      <c r="O78" s="43"/>
      <c r="P78" s="43"/>
      <c r="Q78" s="57"/>
      <c r="R78" s="57"/>
      <c r="S78" s="49"/>
      <c r="T78" s="49"/>
      <c r="U78" s="49"/>
      <c r="V78" s="49"/>
      <c r="W78" s="49"/>
      <c r="X78" s="49"/>
      <c r="Y78" s="49"/>
      <c r="Z78" s="49"/>
      <c r="AA78" s="49"/>
      <c r="AB78" s="49"/>
      <c r="AC78" s="49"/>
      <c r="AD78" s="49"/>
    </row>
    <row r="79" ht="15.75" customHeight="1">
      <c r="A79" s="56"/>
      <c r="B79" s="56"/>
      <c r="C79" s="44"/>
      <c r="D79" s="59"/>
      <c r="E79" s="56"/>
      <c r="F79" s="46"/>
      <c r="G79" s="46"/>
      <c r="H79" s="49"/>
      <c r="I79" s="46"/>
      <c r="J79" s="43"/>
      <c r="K79" s="46"/>
      <c r="L79" s="47"/>
      <c r="M79" s="47"/>
      <c r="N79" s="43"/>
      <c r="O79" s="43"/>
      <c r="P79" s="43"/>
      <c r="Q79" s="57"/>
      <c r="R79" s="57"/>
      <c r="S79" s="49"/>
      <c r="T79" s="49"/>
      <c r="U79" s="49"/>
      <c r="V79" s="49"/>
      <c r="W79" s="49"/>
      <c r="X79" s="49"/>
      <c r="Y79" s="49"/>
      <c r="Z79" s="49"/>
      <c r="AA79" s="49"/>
      <c r="AB79" s="49"/>
      <c r="AC79" s="49"/>
      <c r="AD79" s="49"/>
    </row>
    <row r="80" ht="15.75" customHeight="1">
      <c r="A80" s="46"/>
      <c r="B80" s="46"/>
      <c r="C80" s="44"/>
      <c r="D80" s="45"/>
      <c r="E80" s="56"/>
      <c r="F80" s="56"/>
      <c r="G80" s="46"/>
      <c r="H80" s="49"/>
      <c r="I80" s="43"/>
      <c r="J80" s="43"/>
      <c r="K80" s="46"/>
      <c r="L80" s="47"/>
      <c r="M80" s="47"/>
      <c r="N80" s="43"/>
      <c r="O80" s="43"/>
      <c r="P80" s="60"/>
      <c r="Q80" s="57"/>
      <c r="R80" s="57"/>
      <c r="S80" s="49"/>
      <c r="T80" s="49"/>
      <c r="U80" s="49"/>
      <c r="V80" s="49"/>
      <c r="W80" s="49"/>
      <c r="X80" s="49"/>
      <c r="Y80" s="49"/>
      <c r="Z80" s="49"/>
      <c r="AA80" s="49"/>
      <c r="AB80" s="49"/>
      <c r="AC80" s="49"/>
      <c r="AD80" s="49"/>
    </row>
    <row r="81" ht="15.75" customHeight="1">
      <c r="A81" s="56"/>
      <c r="B81" s="99"/>
      <c r="C81" s="44"/>
      <c r="D81" s="44"/>
      <c r="E81" s="46"/>
      <c r="F81" s="46"/>
      <c r="G81" s="46"/>
      <c r="H81" s="47"/>
      <c r="I81" s="43"/>
      <c r="J81" s="43"/>
      <c r="K81" s="46"/>
      <c r="L81" s="47"/>
      <c r="M81" s="47"/>
      <c r="N81" s="43"/>
      <c r="O81" s="43"/>
      <c r="P81" s="43"/>
      <c r="Q81" s="57"/>
      <c r="R81" s="57"/>
      <c r="S81" s="49"/>
      <c r="T81" s="49"/>
      <c r="U81" s="49"/>
      <c r="V81" s="49"/>
      <c r="W81" s="49"/>
      <c r="X81" s="49"/>
      <c r="Y81" s="49"/>
      <c r="Z81" s="49"/>
      <c r="AA81" s="49"/>
      <c r="AB81" s="49"/>
      <c r="AC81" s="49"/>
      <c r="AD81" s="49"/>
    </row>
    <row r="82" ht="15.75" customHeight="1">
      <c r="A82" s="56"/>
      <c r="B82" s="99"/>
      <c r="C82" s="44"/>
      <c r="D82" s="44"/>
      <c r="E82" s="46"/>
      <c r="F82" s="46"/>
      <c r="G82" s="46"/>
      <c r="H82" s="47"/>
      <c r="I82" s="43"/>
      <c r="J82" s="43"/>
      <c r="K82" s="46"/>
      <c r="L82" s="47"/>
      <c r="M82" s="47"/>
      <c r="N82" s="48"/>
      <c r="O82" s="43"/>
      <c r="P82" s="43"/>
      <c r="Q82" s="57"/>
      <c r="R82" s="57"/>
      <c r="S82" s="49"/>
      <c r="T82" s="49"/>
      <c r="U82" s="49"/>
      <c r="V82" s="49"/>
      <c r="W82" s="49"/>
      <c r="X82" s="49"/>
      <c r="Y82" s="49"/>
      <c r="Z82" s="49"/>
      <c r="AA82" s="49"/>
      <c r="AB82" s="49"/>
      <c r="AC82" s="49"/>
      <c r="AD82" s="49"/>
    </row>
    <row r="83" ht="15.75" customHeight="1">
      <c r="A83" s="56"/>
      <c r="B83" s="99"/>
      <c r="C83" s="44"/>
      <c r="D83" s="44"/>
      <c r="E83" s="46"/>
      <c r="F83" s="46"/>
      <c r="G83" s="46"/>
      <c r="H83" s="47"/>
      <c r="I83" s="43"/>
      <c r="J83" s="43"/>
      <c r="K83" s="46"/>
      <c r="L83" s="47"/>
      <c r="M83" s="47"/>
      <c r="N83" s="43"/>
      <c r="O83" s="43"/>
      <c r="P83" s="43"/>
      <c r="Q83" s="57"/>
      <c r="R83" s="57"/>
      <c r="S83" s="49"/>
      <c r="T83" s="49"/>
      <c r="U83" s="49"/>
      <c r="V83" s="49"/>
      <c r="W83" s="49"/>
      <c r="X83" s="49"/>
      <c r="Y83" s="49"/>
      <c r="Z83" s="49"/>
      <c r="AA83" s="49"/>
      <c r="AB83" s="49"/>
      <c r="AC83" s="49"/>
      <c r="AD83" s="49"/>
    </row>
    <row r="84" ht="15.75" customHeight="1">
      <c r="A84" s="56"/>
      <c r="B84" s="56"/>
      <c r="C84" s="44"/>
      <c r="D84" s="44"/>
      <c r="E84" s="46"/>
      <c r="F84" s="46"/>
      <c r="G84" s="46"/>
      <c r="H84" s="47"/>
      <c r="I84" s="43"/>
      <c r="J84" s="43"/>
      <c r="K84" s="46"/>
      <c r="L84" s="47"/>
      <c r="M84" s="47"/>
      <c r="N84" s="43"/>
      <c r="O84" s="43"/>
      <c r="P84" s="43"/>
      <c r="Q84" s="57"/>
      <c r="R84" s="57"/>
      <c r="S84" s="49"/>
      <c r="T84" s="49"/>
      <c r="U84" s="49"/>
      <c r="V84" s="49"/>
      <c r="W84" s="49"/>
      <c r="X84" s="49"/>
      <c r="Y84" s="49"/>
      <c r="Z84" s="49"/>
      <c r="AA84" s="49"/>
      <c r="AB84" s="49"/>
      <c r="AC84" s="49"/>
      <c r="AD84" s="49"/>
    </row>
    <row r="85" ht="15.75" customHeight="1">
      <c r="A85" s="56"/>
      <c r="B85" s="56"/>
      <c r="C85" s="44"/>
      <c r="D85" s="45"/>
      <c r="E85" s="46"/>
      <c r="F85" s="57"/>
      <c r="G85" s="46"/>
      <c r="H85" s="47"/>
      <c r="I85" s="57"/>
      <c r="J85" s="43"/>
      <c r="K85" s="46"/>
      <c r="L85" s="47"/>
      <c r="M85" s="47"/>
      <c r="N85" s="48"/>
      <c r="O85" s="43"/>
      <c r="P85" s="43"/>
      <c r="Q85" s="57"/>
      <c r="R85" s="57"/>
      <c r="S85" s="49"/>
      <c r="T85" s="49"/>
      <c r="U85" s="49"/>
      <c r="V85" s="49"/>
      <c r="W85" s="49"/>
      <c r="X85" s="49"/>
      <c r="Y85" s="49"/>
      <c r="Z85" s="49"/>
      <c r="AA85" s="49"/>
      <c r="AB85" s="49"/>
      <c r="AC85" s="49"/>
      <c r="AD85" s="49"/>
    </row>
    <row r="86" ht="15.75" customHeight="1">
      <c r="A86" s="56"/>
      <c r="B86" s="56"/>
      <c r="C86" s="59"/>
      <c r="D86" s="90"/>
      <c r="E86" s="46"/>
      <c r="F86" s="57"/>
      <c r="G86" s="46"/>
      <c r="H86" s="47"/>
      <c r="I86" s="43"/>
      <c r="J86" s="43"/>
      <c r="K86" s="43"/>
      <c r="L86" s="47"/>
      <c r="M86" s="47"/>
      <c r="N86" s="43"/>
      <c r="O86" s="43"/>
      <c r="P86" s="43"/>
      <c r="Q86" s="57"/>
      <c r="R86" s="57"/>
      <c r="S86" s="49"/>
      <c r="T86" s="49"/>
      <c r="U86" s="49"/>
      <c r="V86" s="49"/>
      <c r="W86" s="49"/>
      <c r="X86" s="49"/>
      <c r="Y86" s="49"/>
      <c r="Z86" s="49"/>
      <c r="AA86" s="49"/>
      <c r="AB86" s="49"/>
      <c r="AC86" s="49"/>
      <c r="AD86" s="49"/>
    </row>
    <row r="87" ht="15.75" customHeight="1">
      <c r="A87" s="56"/>
      <c r="B87" s="49"/>
      <c r="C87" s="103"/>
      <c r="D87" s="90"/>
      <c r="E87" s="46"/>
      <c r="F87" s="57"/>
      <c r="G87" s="46"/>
      <c r="H87" s="47"/>
      <c r="I87" s="43"/>
      <c r="J87" s="43"/>
      <c r="K87" s="43"/>
      <c r="L87" s="47"/>
      <c r="M87" s="47"/>
      <c r="N87" s="43"/>
      <c r="O87" s="43"/>
      <c r="P87" s="43"/>
      <c r="Q87" s="57"/>
      <c r="R87" s="57"/>
      <c r="S87" s="49"/>
      <c r="T87" s="49"/>
      <c r="U87" s="49"/>
      <c r="V87" s="49"/>
      <c r="W87" s="49"/>
      <c r="X87" s="49"/>
      <c r="Y87" s="49"/>
      <c r="Z87" s="49"/>
      <c r="AA87" s="49"/>
      <c r="AB87" s="49"/>
      <c r="AC87" s="49"/>
      <c r="AD87" s="49"/>
    </row>
    <row r="88" ht="15.75" customHeight="1">
      <c r="A88" s="56"/>
      <c r="B88" s="56"/>
      <c r="C88" s="59"/>
      <c r="D88" s="59"/>
      <c r="E88" s="46"/>
      <c r="F88" s="46"/>
      <c r="G88" s="46"/>
      <c r="H88" s="47"/>
      <c r="I88" s="43"/>
      <c r="J88" s="43"/>
      <c r="K88" s="43"/>
      <c r="L88" s="47"/>
      <c r="M88" s="47"/>
      <c r="N88" s="43"/>
      <c r="O88" s="43"/>
      <c r="P88" s="43"/>
      <c r="Q88" s="57"/>
      <c r="R88" s="57"/>
      <c r="S88" s="49"/>
      <c r="T88" s="49"/>
      <c r="U88" s="49"/>
      <c r="V88" s="49"/>
      <c r="W88" s="49"/>
      <c r="X88" s="49"/>
      <c r="Y88" s="49"/>
      <c r="Z88" s="49"/>
      <c r="AA88" s="49"/>
      <c r="AB88" s="49"/>
      <c r="AC88" s="49"/>
      <c r="AD88" s="49"/>
    </row>
    <row r="89" ht="15.75" customHeight="1">
      <c r="A89" s="56"/>
      <c r="B89" s="56"/>
      <c r="C89" s="59"/>
      <c r="D89" s="59"/>
      <c r="E89" s="46"/>
      <c r="F89" s="57"/>
      <c r="G89" s="46"/>
      <c r="H89" s="47"/>
      <c r="I89" s="43"/>
      <c r="J89" s="43"/>
      <c r="K89" s="46"/>
      <c r="L89" s="47"/>
      <c r="M89" s="47"/>
      <c r="N89" s="43"/>
      <c r="O89" s="43"/>
      <c r="P89" s="60"/>
      <c r="Q89" s="57"/>
      <c r="R89" s="57"/>
      <c r="S89" s="49"/>
      <c r="T89" s="49"/>
      <c r="U89" s="49"/>
      <c r="V89" s="49"/>
      <c r="W89" s="49"/>
      <c r="X89" s="49"/>
      <c r="Y89" s="49"/>
      <c r="Z89" s="49"/>
      <c r="AA89" s="49"/>
      <c r="AB89" s="49"/>
      <c r="AC89" s="49"/>
      <c r="AD89" s="49"/>
    </row>
    <row r="90" ht="15.75" customHeight="1">
      <c r="A90" s="56"/>
      <c r="B90" s="56"/>
      <c r="C90" s="59"/>
      <c r="D90" s="59"/>
      <c r="E90" s="46"/>
      <c r="F90" s="46"/>
      <c r="G90" s="46"/>
      <c r="H90" s="47"/>
      <c r="I90" s="43"/>
      <c r="J90" s="43"/>
      <c r="K90" s="46"/>
      <c r="L90" s="47"/>
      <c r="M90" s="47"/>
      <c r="N90" s="43"/>
      <c r="O90" s="43"/>
      <c r="P90" s="43"/>
      <c r="Q90" s="57"/>
      <c r="R90" s="57"/>
      <c r="S90" s="49"/>
      <c r="T90" s="49"/>
      <c r="U90" s="49"/>
      <c r="V90" s="49"/>
      <c r="W90" s="49"/>
      <c r="X90" s="49"/>
      <c r="Y90" s="49"/>
      <c r="Z90" s="49"/>
      <c r="AA90" s="49"/>
      <c r="AB90" s="49"/>
      <c r="AC90" s="49"/>
      <c r="AD90" s="49"/>
    </row>
    <row r="91" ht="15.75" customHeight="1">
      <c r="A91" s="56"/>
      <c r="B91" s="56"/>
      <c r="C91" s="90"/>
      <c r="D91" s="90"/>
      <c r="E91" s="46"/>
      <c r="F91" s="46"/>
      <c r="G91" s="46"/>
      <c r="H91" s="47"/>
      <c r="I91" s="46"/>
      <c r="J91" s="43"/>
      <c r="K91" s="46"/>
      <c r="L91" s="47"/>
      <c r="M91" s="47"/>
      <c r="N91" s="43"/>
      <c r="O91" s="43"/>
      <c r="P91" s="43"/>
      <c r="Q91" s="57"/>
      <c r="R91" s="57"/>
      <c r="S91" s="49"/>
      <c r="T91" s="49"/>
      <c r="U91" s="49"/>
      <c r="V91" s="49"/>
      <c r="W91" s="49"/>
      <c r="X91" s="49"/>
      <c r="Y91" s="49"/>
      <c r="Z91" s="49"/>
      <c r="AA91" s="49"/>
      <c r="AB91" s="49"/>
      <c r="AC91" s="49"/>
      <c r="AD91" s="49"/>
    </row>
    <row r="92" ht="15.75" customHeight="1">
      <c r="A92" s="56"/>
      <c r="B92" s="56"/>
      <c r="C92" s="59"/>
      <c r="D92" s="59"/>
      <c r="E92" s="46"/>
      <c r="F92" s="57"/>
      <c r="G92" s="46"/>
      <c r="H92" s="47"/>
      <c r="I92" s="57"/>
      <c r="J92" s="43"/>
      <c r="K92" s="46"/>
      <c r="L92" s="47"/>
      <c r="M92" s="47"/>
      <c r="N92" s="48"/>
      <c r="O92" s="43"/>
      <c r="P92" s="48"/>
      <c r="Q92" s="57"/>
      <c r="R92" s="46"/>
      <c r="S92" s="49"/>
      <c r="T92" s="49"/>
      <c r="U92" s="49"/>
      <c r="V92" s="49"/>
      <c r="W92" s="49"/>
      <c r="X92" s="49"/>
      <c r="Y92" s="49"/>
      <c r="Z92" s="49"/>
      <c r="AA92" s="49"/>
      <c r="AB92" s="49"/>
      <c r="AC92" s="49"/>
      <c r="AD92" s="49"/>
    </row>
    <row r="93" ht="15.75" customHeight="1">
      <c r="A93" s="56"/>
      <c r="B93" s="56"/>
      <c r="C93" s="59"/>
      <c r="D93" s="59"/>
      <c r="E93" s="46"/>
      <c r="F93" s="57"/>
      <c r="G93" s="46"/>
      <c r="H93" s="47"/>
      <c r="I93" s="46"/>
      <c r="J93" s="43"/>
      <c r="K93" s="43"/>
      <c r="L93" s="47"/>
      <c r="M93" s="47"/>
      <c r="N93" s="60"/>
      <c r="O93" s="43"/>
      <c r="P93" s="43"/>
      <c r="Q93" s="57"/>
      <c r="R93" s="57"/>
      <c r="S93" s="49"/>
      <c r="T93" s="49"/>
      <c r="U93" s="49"/>
      <c r="V93" s="49"/>
      <c r="W93" s="49"/>
      <c r="X93" s="49"/>
      <c r="Y93" s="49"/>
      <c r="Z93" s="49"/>
      <c r="AA93" s="49"/>
      <c r="AB93" s="49"/>
      <c r="AC93" s="49"/>
      <c r="AD93" s="49"/>
    </row>
    <row r="94" ht="15.75" customHeight="1">
      <c r="A94" s="56"/>
      <c r="B94" s="99"/>
      <c r="C94" s="44"/>
      <c r="D94" s="44"/>
      <c r="E94" s="46"/>
      <c r="F94" s="57"/>
      <c r="G94" s="46"/>
      <c r="H94" s="47"/>
      <c r="I94" s="46"/>
      <c r="J94" s="43"/>
      <c r="K94" s="43"/>
      <c r="L94" s="47"/>
      <c r="M94" s="47"/>
      <c r="N94" s="60"/>
      <c r="O94" s="43"/>
      <c r="P94" s="43"/>
      <c r="Q94" s="57"/>
      <c r="R94" s="57"/>
      <c r="S94" s="49"/>
      <c r="T94" s="49"/>
      <c r="U94" s="49"/>
      <c r="V94" s="49"/>
      <c r="W94" s="49"/>
      <c r="X94" s="49"/>
      <c r="Y94" s="49"/>
      <c r="Z94" s="49"/>
      <c r="AA94" s="49"/>
      <c r="AB94" s="49"/>
      <c r="AC94" s="49"/>
      <c r="AD94" s="49"/>
    </row>
    <row r="95" ht="15.75" customHeight="1">
      <c r="A95" s="56"/>
      <c r="B95" s="99"/>
      <c r="C95" s="59"/>
      <c r="D95" s="59"/>
      <c r="E95" s="46"/>
      <c r="F95" s="57"/>
      <c r="G95" s="46"/>
      <c r="H95" s="47"/>
      <c r="I95" s="46"/>
      <c r="J95" s="43"/>
      <c r="K95" s="46"/>
      <c r="L95" s="47"/>
      <c r="M95" s="47"/>
      <c r="N95" s="48"/>
      <c r="O95" s="43"/>
      <c r="P95" s="43"/>
      <c r="Q95" s="57"/>
      <c r="R95" s="57"/>
      <c r="S95" s="49"/>
      <c r="T95" s="49"/>
      <c r="U95" s="49"/>
      <c r="V95" s="49"/>
      <c r="W95" s="49"/>
      <c r="X95" s="49"/>
      <c r="Y95" s="49"/>
      <c r="Z95" s="49"/>
      <c r="AA95" s="49"/>
      <c r="AB95" s="49"/>
      <c r="AC95" s="49"/>
      <c r="AD95" s="49"/>
    </row>
    <row r="96" ht="15.75" customHeight="1">
      <c r="A96" s="56"/>
      <c r="B96" s="99"/>
      <c r="C96" s="59"/>
      <c r="D96" s="90"/>
      <c r="E96" s="46"/>
      <c r="F96" s="57"/>
      <c r="G96" s="46"/>
      <c r="H96" s="47"/>
      <c r="I96" s="46"/>
      <c r="J96" s="43"/>
      <c r="K96" s="43"/>
      <c r="L96" s="47"/>
      <c r="M96" s="47"/>
      <c r="N96" s="43"/>
      <c r="O96" s="43"/>
      <c r="P96" s="43"/>
      <c r="Q96" s="80"/>
      <c r="R96" s="80"/>
      <c r="S96" s="107"/>
      <c r="T96" s="49"/>
      <c r="U96" s="49"/>
      <c r="V96" s="49"/>
      <c r="W96" s="49"/>
      <c r="X96" s="49"/>
      <c r="Y96" s="49"/>
      <c r="Z96" s="49"/>
      <c r="AA96" s="49"/>
      <c r="AB96" s="49"/>
      <c r="AC96" s="49"/>
      <c r="AD96" s="49"/>
    </row>
    <row r="97">
      <c r="A97" s="56"/>
      <c r="B97" s="56"/>
      <c r="C97" s="90"/>
      <c r="D97" s="90"/>
      <c r="E97" s="46"/>
      <c r="F97" s="57"/>
      <c r="G97" s="56"/>
      <c r="H97" s="47"/>
      <c r="I97" s="46"/>
      <c r="J97" s="43"/>
      <c r="K97" s="43"/>
      <c r="L97" s="47"/>
      <c r="M97" s="47"/>
      <c r="N97" s="43"/>
      <c r="O97" s="43"/>
      <c r="P97" s="43"/>
      <c r="Q97" s="80"/>
      <c r="R97" s="80"/>
      <c r="S97" s="107"/>
      <c r="T97" s="49"/>
      <c r="U97" s="49"/>
      <c r="V97" s="49"/>
      <c r="W97" s="49"/>
      <c r="X97" s="49"/>
      <c r="Y97" s="49"/>
      <c r="Z97" s="49"/>
      <c r="AA97" s="49"/>
      <c r="AB97" s="49"/>
      <c r="AC97" s="49"/>
      <c r="AD97" s="49"/>
    </row>
    <row r="98">
      <c r="A98" s="56"/>
      <c r="B98" s="56"/>
      <c r="C98" s="59"/>
      <c r="D98" s="59"/>
      <c r="E98" s="108"/>
      <c r="F98" s="57"/>
      <c r="G98" s="56"/>
      <c r="H98" s="47"/>
      <c r="I98" s="46"/>
      <c r="J98" s="43"/>
      <c r="K98" s="43"/>
      <c r="L98" s="47"/>
      <c r="M98" s="47"/>
      <c r="N98" s="43"/>
      <c r="O98" s="43"/>
      <c r="P98" s="43"/>
      <c r="Q98" s="80"/>
      <c r="R98" s="80"/>
      <c r="S98" s="107"/>
      <c r="T98" s="49"/>
      <c r="U98" s="49"/>
      <c r="V98" s="49"/>
      <c r="W98" s="49"/>
      <c r="X98" s="49"/>
      <c r="Y98" s="49"/>
      <c r="Z98" s="49"/>
      <c r="AA98" s="49"/>
      <c r="AB98" s="49"/>
      <c r="AC98" s="49"/>
      <c r="AD98" s="49"/>
    </row>
    <row r="99">
      <c r="A99" s="56"/>
      <c r="B99" s="56"/>
      <c r="C99" s="45"/>
      <c r="D99" s="45"/>
      <c r="E99" s="109"/>
      <c r="F99" s="57"/>
      <c r="G99" s="56"/>
      <c r="H99" s="43"/>
      <c r="I99" s="56"/>
      <c r="J99" s="47"/>
      <c r="K99" s="47"/>
      <c r="L99" s="47"/>
      <c r="M99" s="47"/>
      <c r="N99" s="80"/>
      <c r="O99" s="47"/>
      <c r="P99" s="47"/>
      <c r="Q99" s="80"/>
      <c r="R99" s="80"/>
      <c r="S99" s="107"/>
      <c r="T99" s="49"/>
      <c r="U99" s="49"/>
      <c r="V99" s="49"/>
      <c r="W99" s="49"/>
      <c r="X99" s="49"/>
      <c r="Y99" s="49"/>
      <c r="Z99" s="49"/>
      <c r="AA99" s="49"/>
      <c r="AB99" s="49"/>
      <c r="AC99" s="49"/>
      <c r="AD99" s="49"/>
    </row>
    <row r="100">
      <c r="A100" s="56"/>
      <c r="B100" s="56"/>
      <c r="C100" s="59"/>
      <c r="D100" s="59"/>
      <c r="E100" s="109"/>
      <c r="F100" s="57"/>
      <c r="G100" s="56"/>
      <c r="H100" s="47"/>
      <c r="I100" s="56"/>
      <c r="J100" s="47"/>
      <c r="K100" s="47"/>
      <c r="L100" s="47"/>
      <c r="M100" s="47"/>
      <c r="N100" s="47"/>
      <c r="O100" s="80"/>
      <c r="P100" s="80"/>
      <c r="Q100" s="80"/>
      <c r="R100" s="80"/>
      <c r="S100" s="107"/>
      <c r="T100" s="49"/>
      <c r="U100" s="49"/>
      <c r="V100" s="49"/>
      <c r="W100" s="49"/>
      <c r="X100" s="49"/>
      <c r="Y100" s="49"/>
      <c r="Z100" s="49"/>
      <c r="AA100" s="49"/>
      <c r="AB100" s="49"/>
      <c r="AC100" s="49"/>
      <c r="AD100" s="49"/>
    </row>
    <row r="101">
      <c r="A101" s="56"/>
      <c r="B101" s="56"/>
      <c r="C101" s="59"/>
      <c r="D101" s="59"/>
      <c r="E101" s="109"/>
      <c r="F101" s="57"/>
      <c r="G101" s="56"/>
      <c r="H101" s="43"/>
      <c r="I101" s="56"/>
      <c r="J101" s="47"/>
      <c r="K101" s="47"/>
      <c r="L101" s="47"/>
      <c r="M101" s="47"/>
      <c r="N101" s="80"/>
      <c r="O101" s="47"/>
      <c r="P101" s="47"/>
      <c r="Q101" s="80"/>
      <c r="R101" s="80"/>
      <c r="S101" s="107"/>
      <c r="T101" s="49"/>
      <c r="U101" s="49"/>
      <c r="V101" s="49"/>
      <c r="W101" s="49"/>
      <c r="X101" s="49"/>
      <c r="Y101" s="49"/>
      <c r="Z101" s="49"/>
      <c r="AA101" s="49"/>
      <c r="AB101" s="49"/>
      <c r="AC101" s="49"/>
      <c r="AD101" s="49"/>
    </row>
    <row r="102">
      <c r="A102" s="56"/>
      <c r="B102" s="56"/>
      <c r="C102" s="59"/>
      <c r="D102" s="59"/>
      <c r="E102" s="109"/>
      <c r="F102" s="57"/>
      <c r="G102" s="56"/>
      <c r="H102" s="47"/>
      <c r="I102" s="56"/>
      <c r="J102" s="47"/>
      <c r="K102" s="47"/>
      <c r="L102" s="47"/>
      <c r="M102" s="47"/>
      <c r="N102" s="43"/>
      <c r="O102" s="80"/>
      <c r="P102" s="47"/>
      <c r="Q102" s="80"/>
      <c r="R102" s="80"/>
      <c r="S102" s="107"/>
      <c r="T102" s="49"/>
      <c r="U102" s="49"/>
      <c r="V102" s="49"/>
      <c r="W102" s="49"/>
      <c r="X102" s="49"/>
      <c r="Y102" s="49"/>
      <c r="Z102" s="49"/>
      <c r="AA102" s="49"/>
      <c r="AB102" s="49"/>
      <c r="AC102" s="49"/>
      <c r="AD102" s="49"/>
    </row>
    <row r="103">
      <c r="A103" s="56"/>
      <c r="B103" s="56"/>
      <c r="C103" s="59"/>
      <c r="D103" s="59"/>
      <c r="E103" s="108"/>
      <c r="F103" s="57"/>
      <c r="G103" s="56"/>
      <c r="H103" s="43"/>
      <c r="I103" s="46"/>
      <c r="J103" s="43"/>
      <c r="K103" s="43"/>
      <c r="L103" s="47"/>
      <c r="M103" s="47"/>
      <c r="N103" s="43"/>
      <c r="O103" s="43"/>
      <c r="P103" s="43"/>
      <c r="Q103" s="80"/>
      <c r="R103" s="80"/>
      <c r="S103" s="107"/>
      <c r="T103" s="49"/>
      <c r="U103" s="49"/>
      <c r="V103" s="49"/>
      <c r="W103" s="49"/>
      <c r="X103" s="49"/>
      <c r="Y103" s="49"/>
      <c r="Z103" s="49"/>
      <c r="AA103" s="49"/>
      <c r="AB103" s="49"/>
      <c r="AC103" s="49"/>
      <c r="AD103" s="49"/>
    </row>
    <row r="104">
      <c r="A104" s="111"/>
      <c r="B104" s="111"/>
      <c r="C104" s="59"/>
      <c r="D104" s="90"/>
      <c r="E104" s="112"/>
      <c r="F104" s="57"/>
      <c r="G104" s="111"/>
      <c r="H104" s="113"/>
      <c r="I104" s="111"/>
      <c r="J104" s="114"/>
      <c r="K104" s="113"/>
      <c r="L104" s="113"/>
      <c r="M104" s="47"/>
      <c r="N104" s="113"/>
      <c r="O104" s="113"/>
      <c r="P104" s="113"/>
      <c r="Q104" s="114"/>
      <c r="R104" s="114"/>
      <c r="S104" s="115"/>
      <c r="T104" s="116"/>
      <c r="U104" s="116"/>
      <c r="V104" s="116"/>
      <c r="W104" s="116"/>
      <c r="X104" s="116"/>
      <c r="Y104" s="116"/>
      <c r="Z104" s="116"/>
      <c r="AA104" s="116"/>
      <c r="AB104" s="116"/>
      <c r="AC104" s="116"/>
      <c r="AD104" s="116"/>
    </row>
    <row r="105">
      <c r="A105" s="56"/>
      <c r="B105" s="56"/>
      <c r="C105" s="59"/>
      <c r="D105" s="90"/>
      <c r="E105" s="109"/>
      <c r="F105" s="57"/>
      <c r="G105" s="56"/>
      <c r="H105" s="47"/>
      <c r="I105" s="56"/>
      <c r="J105" s="80"/>
      <c r="K105" s="47"/>
      <c r="L105" s="47"/>
      <c r="M105" s="47"/>
      <c r="N105" s="80"/>
      <c r="O105" s="47"/>
      <c r="P105" s="47"/>
      <c r="Q105" s="80"/>
      <c r="R105" s="80"/>
      <c r="S105" s="107"/>
      <c r="T105" s="49"/>
      <c r="U105" s="49"/>
      <c r="V105" s="49"/>
      <c r="W105" s="49"/>
      <c r="X105" s="49"/>
      <c r="Y105" s="49"/>
      <c r="Z105" s="49"/>
      <c r="AA105" s="49"/>
      <c r="AB105" s="49"/>
      <c r="AC105" s="49"/>
      <c r="AD105" s="49"/>
    </row>
    <row r="106">
      <c r="A106" s="56"/>
      <c r="B106" s="56"/>
      <c r="C106" s="90"/>
      <c r="D106" s="59"/>
      <c r="E106" s="109"/>
      <c r="F106" s="57"/>
      <c r="G106" s="56"/>
      <c r="H106" s="47"/>
      <c r="I106" s="56"/>
      <c r="J106" s="80"/>
      <c r="K106" s="47"/>
      <c r="L106" s="47"/>
      <c r="M106" s="47"/>
      <c r="N106" s="47"/>
      <c r="O106" s="47"/>
      <c r="P106" s="47"/>
      <c r="Q106" s="80"/>
      <c r="R106" s="80"/>
      <c r="S106" s="107"/>
      <c r="T106" s="49"/>
      <c r="U106" s="49"/>
      <c r="V106" s="49"/>
      <c r="W106" s="49"/>
      <c r="X106" s="49"/>
      <c r="Y106" s="49"/>
      <c r="Z106" s="49"/>
      <c r="AA106" s="49"/>
      <c r="AB106" s="49"/>
      <c r="AC106" s="49"/>
      <c r="AD106" s="49"/>
    </row>
    <row r="107">
      <c r="A107" s="56"/>
      <c r="B107" s="56"/>
      <c r="C107" s="59"/>
      <c r="D107" s="118"/>
      <c r="E107" s="109"/>
      <c r="F107" s="57"/>
      <c r="G107" s="56"/>
      <c r="H107" s="80"/>
      <c r="I107" s="119"/>
      <c r="J107" s="80"/>
      <c r="K107" s="80"/>
      <c r="L107" s="47"/>
      <c r="M107" s="47"/>
      <c r="N107" s="47"/>
      <c r="O107" s="80"/>
      <c r="P107" s="80"/>
      <c r="Q107" s="80"/>
      <c r="R107" s="80"/>
      <c r="S107" s="107"/>
      <c r="T107" s="49"/>
      <c r="U107" s="49"/>
      <c r="V107" s="49"/>
      <c r="W107" s="49"/>
      <c r="X107" s="49"/>
      <c r="Y107" s="49"/>
      <c r="Z107" s="49"/>
      <c r="AA107" s="49"/>
      <c r="AB107" s="49"/>
      <c r="AC107" s="49"/>
      <c r="AD107" s="49"/>
    </row>
    <row r="108">
      <c r="A108" s="56"/>
      <c r="B108" s="47"/>
      <c r="C108" s="59"/>
      <c r="D108" s="59"/>
      <c r="E108" s="109"/>
      <c r="F108" s="57"/>
      <c r="G108" s="56"/>
      <c r="H108" s="43"/>
      <c r="I108" s="46"/>
      <c r="J108" s="43"/>
      <c r="K108" s="43"/>
      <c r="L108" s="47"/>
      <c r="M108" s="47"/>
      <c r="N108" s="43"/>
      <c r="O108" s="43"/>
      <c r="P108" s="43"/>
      <c r="Q108" s="80"/>
      <c r="R108" s="80"/>
      <c r="S108" s="107"/>
      <c r="T108" s="49"/>
      <c r="U108" s="49"/>
      <c r="V108" s="49"/>
      <c r="W108" s="49"/>
      <c r="X108" s="49"/>
      <c r="Y108" s="49"/>
      <c r="Z108" s="49"/>
      <c r="AA108" s="49"/>
      <c r="AB108" s="49"/>
      <c r="AC108" s="49"/>
      <c r="AD108" s="49"/>
    </row>
    <row r="109">
      <c r="A109" s="56"/>
      <c r="B109" s="47"/>
      <c r="C109" s="59"/>
      <c r="D109" s="59"/>
      <c r="E109" s="108"/>
      <c r="F109" s="57"/>
      <c r="G109" s="56"/>
      <c r="H109" s="43"/>
      <c r="I109" s="46"/>
      <c r="J109" s="43"/>
      <c r="K109" s="43"/>
      <c r="L109" s="47"/>
      <c r="M109" s="47"/>
      <c r="N109" s="43"/>
      <c r="O109" s="47"/>
      <c r="P109" s="43"/>
      <c r="Q109" s="80"/>
      <c r="R109" s="80"/>
      <c r="S109" s="107"/>
      <c r="T109" s="49"/>
      <c r="U109" s="49"/>
      <c r="V109" s="49"/>
      <c r="W109" s="49"/>
      <c r="X109" s="49"/>
      <c r="Y109" s="49"/>
      <c r="Z109" s="49"/>
      <c r="AA109" s="49"/>
      <c r="AB109" s="49"/>
      <c r="AC109" s="49"/>
      <c r="AD109" s="49"/>
    </row>
    <row r="110">
      <c r="A110" s="56"/>
      <c r="B110" s="47"/>
      <c r="C110" s="59"/>
      <c r="D110" s="59"/>
      <c r="E110" s="108"/>
      <c r="F110" s="57"/>
      <c r="G110" s="56"/>
      <c r="H110" s="43"/>
      <c r="I110" s="46"/>
      <c r="J110" s="47"/>
      <c r="K110" s="47"/>
      <c r="L110" s="47"/>
      <c r="M110" s="47"/>
      <c r="N110" s="47"/>
      <c r="O110" s="47"/>
      <c r="P110" s="47"/>
      <c r="Q110" s="80"/>
      <c r="R110" s="80"/>
      <c r="S110" s="107"/>
      <c r="T110" s="49"/>
      <c r="U110" s="49"/>
      <c r="V110" s="49"/>
      <c r="W110" s="49"/>
      <c r="X110" s="49"/>
      <c r="Y110" s="49"/>
      <c r="Z110" s="49"/>
      <c r="AA110" s="49"/>
      <c r="AB110" s="49"/>
      <c r="AC110" s="49"/>
      <c r="AD110" s="49"/>
    </row>
    <row r="111">
      <c r="A111" s="56"/>
      <c r="B111" s="47"/>
      <c r="C111" s="59"/>
      <c r="D111" s="59"/>
      <c r="E111" s="108"/>
      <c r="F111" s="57"/>
      <c r="G111" s="56"/>
      <c r="H111" s="43"/>
      <c r="I111" s="46"/>
      <c r="J111" s="47"/>
      <c r="K111" s="47"/>
      <c r="L111" s="47"/>
      <c r="M111" s="47"/>
      <c r="N111" s="47"/>
      <c r="O111" s="47"/>
      <c r="P111" s="43"/>
      <c r="Q111" s="80"/>
      <c r="R111" s="80"/>
      <c r="S111" s="107"/>
      <c r="T111" s="49"/>
      <c r="U111" s="49"/>
      <c r="V111" s="49"/>
      <c r="W111" s="49"/>
      <c r="X111" s="49"/>
      <c r="Y111" s="49"/>
      <c r="Z111" s="49"/>
      <c r="AA111" s="49"/>
      <c r="AB111" s="49"/>
      <c r="AC111" s="49"/>
      <c r="AD111" s="49"/>
    </row>
    <row r="112">
      <c r="A112" s="56"/>
      <c r="B112" s="43"/>
      <c r="C112" s="59"/>
      <c r="D112" s="59"/>
      <c r="E112" s="108"/>
      <c r="F112" s="57"/>
      <c r="G112" s="46"/>
      <c r="H112" s="43"/>
      <c r="I112" s="47"/>
      <c r="J112" s="46"/>
      <c r="K112" s="47"/>
      <c r="L112" s="47"/>
      <c r="M112" s="47"/>
      <c r="N112" s="80"/>
      <c r="O112" s="43"/>
      <c r="P112" s="47"/>
      <c r="Q112" s="80"/>
      <c r="R112" s="80"/>
      <c r="S112" s="107"/>
      <c r="T112" s="49"/>
      <c r="U112" s="49"/>
      <c r="V112" s="49"/>
      <c r="W112" s="49"/>
      <c r="X112" s="49"/>
      <c r="Y112" s="49"/>
      <c r="Z112" s="49"/>
      <c r="AA112" s="49"/>
      <c r="AB112" s="49"/>
      <c r="AC112" s="49"/>
      <c r="AD112" s="49"/>
    </row>
    <row r="113">
      <c r="A113" s="56"/>
      <c r="B113" s="43"/>
      <c r="C113" s="59"/>
      <c r="D113" s="59"/>
      <c r="E113" s="108"/>
      <c r="F113" s="57"/>
      <c r="G113" s="46"/>
      <c r="H113" s="43"/>
      <c r="I113" s="47"/>
      <c r="J113" s="46"/>
      <c r="K113" s="47"/>
      <c r="L113" s="47"/>
      <c r="M113" s="47"/>
      <c r="N113" s="80"/>
      <c r="O113" s="43"/>
      <c r="P113" s="47"/>
      <c r="Q113" s="80"/>
      <c r="R113" s="80"/>
      <c r="S113" s="107"/>
      <c r="T113" s="49"/>
      <c r="U113" s="49"/>
      <c r="V113" s="49"/>
      <c r="W113" s="49"/>
      <c r="X113" s="49"/>
      <c r="Y113" s="49"/>
      <c r="Z113" s="49"/>
      <c r="AA113" s="49"/>
      <c r="AB113" s="49"/>
      <c r="AC113" s="49"/>
      <c r="AD113" s="49"/>
    </row>
    <row r="114">
      <c r="A114" s="56"/>
      <c r="B114" s="47"/>
      <c r="C114" s="59"/>
      <c r="D114" s="59"/>
      <c r="E114" s="109"/>
      <c r="F114" s="57"/>
      <c r="G114" s="56"/>
      <c r="H114" s="43"/>
      <c r="I114" s="46"/>
      <c r="J114" s="47"/>
      <c r="K114" s="47"/>
      <c r="L114" s="47"/>
      <c r="M114" s="47"/>
      <c r="N114" s="43"/>
      <c r="O114" s="47"/>
      <c r="P114" s="43"/>
      <c r="Q114" s="80"/>
      <c r="R114" s="80"/>
      <c r="S114" s="107"/>
      <c r="T114" s="49"/>
      <c r="U114" s="49"/>
      <c r="V114" s="49"/>
      <c r="W114" s="49"/>
      <c r="X114" s="49"/>
      <c r="Y114" s="49"/>
      <c r="Z114" s="49"/>
      <c r="AA114" s="49"/>
      <c r="AB114" s="49"/>
      <c r="AC114" s="49"/>
      <c r="AD114" s="49"/>
    </row>
    <row r="115">
      <c r="A115" s="56"/>
      <c r="B115" s="47"/>
      <c r="C115" s="59"/>
      <c r="D115" s="59"/>
      <c r="E115" s="108"/>
      <c r="F115" s="57"/>
      <c r="G115" s="56"/>
      <c r="H115" s="43"/>
      <c r="I115" s="46"/>
      <c r="J115" s="47"/>
      <c r="K115" s="47"/>
      <c r="L115" s="47"/>
      <c r="M115" s="47"/>
      <c r="N115" s="47"/>
      <c r="O115" s="47"/>
      <c r="P115" s="43"/>
      <c r="Q115" s="80"/>
      <c r="R115" s="80"/>
      <c r="S115" s="107"/>
      <c r="T115" s="49"/>
      <c r="U115" s="49"/>
      <c r="V115" s="49"/>
      <c r="W115" s="49"/>
      <c r="X115" s="49"/>
      <c r="Y115" s="49"/>
      <c r="Z115" s="49"/>
      <c r="AA115" s="49"/>
      <c r="AB115" s="49"/>
      <c r="AC115" s="49"/>
      <c r="AD115" s="49"/>
    </row>
    <row r="116">
      <c r="A116" s="56"/>
      <c r="B116" s="47"/>
      <c r="C116" s="59"/>
      <c r="D116" s="59"/>
      <c r="E116" s="109"/>
      <c r="F116" s="57"/>
      <c r="G116" s="56"/>
      <c r="H116" s="43"/>
      <c r="I116" s="46"/>
      <c r="J116" s="47"/>
      <c r="K116" s="47"/>
      <c r="L116" s="47"/>
      <c r="M116" s="47"/>
      <c r="N116" s="47"/>
      <c r="O116" s="47"/>
      <c r="P116" s="43"/>
      <c r="Q116" s="80"/>
      <c r="R116" s="80"/>
      <c r="S116" s="107"/>
      <c r="T116" s="49"/>
      <c r="U116" s="49"/>
      <c r="V116" s="49"/>
      <c r="W116" s="49"/>
      <c r="X116" s="49"/>
      <c r="Y116" s="49"/>
      <c r="Z116" s="49"/>
      <c r="AA116" s="49"/>
      <c r="AB116" s="49"/>
      <c r="AC116" s="49"/>
      <c r="AD116" s="49"/>
    </row>
    <row r="117">
      <c r="A117" s="56"/>
      <c r="B117" s="47"/>
      <c r="C117" s="59"/>
      <c r="D117" s="59"/>
      <c r="E117" s="108"/>
      <c r="F117" s="57"/>
      <c r="G117" s="56"/>
      <c r="H117" s="43"/>
      <c r="I117" s="46"/>
      <c r="J117" s="47"/>
      <c r="K117" s="47"/>
      <c r="L117" s="47"/>
      <c r="M117" s="47"/>
      <c r="N117" s="47"/>
      <c r="O117" s="47"/>
      <c r="P117" s="43"/>
      <c r="Q117" s="80"/>
      <c r="R117" s="80"/>
      <c r="S117" s="107"/>
      <c r="T117" s="49"/>
      <c r="U117" s="49"/>
      <c r="V117" s="49"/>
      <c r="W117" s="49"/>
      <c r="X117" s="49"/>
      <c r="Y117" s="49"/>
      <c r="Z117" s="49"/>
      <c r="AA117" s="49"/>
      <c r="AB117" s="49"/>
      <c r="AC117" s="49"/>
      <c r="AD117" s="49"/>
    </row>
    <row r="118">
      <c r="A118" s="76"/>
      <c r="B118" s="76"/>
      <c r="C118" s="59"/>
      <c r="D118" s="59"/>
      <c r="E118" s="108"/>
      <c r="F118" s="57"/>
      <c r="G118" s="56"/>
      <c r="H118" s="47"/>
      <c r="I118" s="56"/>
      <c r="J118" s="47"/>
      <c r="K118" s="47"/>
      <c r="L118" s="47"/>
      <c r="M118" s="47"/>
      <c r="N118" s="47"/>
      <c r="O118" s="47"/>
      <c r="P118" s="47"/>
      <c r="Q118" s="80"/>
      <c r="R118" s="80"/>
      <c r="S118" s="107"/>
      <c r="T118" s="49"/>
      <c r="U118" s="49"/>
      <c r="V118" s="49"/>
      <c r="W118" s="49"/>
      <c r="X118" s="49"/>
      <c r="Y118" s="49"/>
      <c r="Z118" s="49"/>
      <c r="AA118" s="49"/>
      <c r="AB118" s="49"/>
      <c r="AC118" s="49"/>
      <c r="AD118" s="49"/>
    </row>
    <row r="119">
      <c r="A119" s="70"/>
      <c r="B119" s="70"/>
      <c r="C119" s="59"/>
      <c r="D119" s="59"/>
      <c r="E119" s="108"/>
      <c r="F119" s="57"/>
      <c r="G119" s="56"/>
      <c r="H119" s="47"/>
      <c r="I119" s="56"/>
      <c r="J119" s="80"/>
      <c r="K119" s="47"/>
      <c r="L119" s="47"/>
      <c r="M119" s="47"/>
      <c r="N119" s="47"/>
      <c r="O119" s="47"/>
      <c r="P119" s="47"/>
      <c r="Q119" s="80"/>
      <c r="R119" s="80"/>
      <c r="S119" s="107"/>
      <c r="T119" s="49"/>
      <c r="U119" s="49"/>
      <c r="V119" s="49"/>
      <c r="W119" s="49"/>
      <c r="X119" s="49"/>
      <c r="Y119" s="49"/>
      <c r="Z119" s="49"/>
      <c r="AA119" s="49"/>
      <c r="AB119" s="49"/>
      <c r="AC119" s="49"/>
      <c r="AD119" s="49"/>
    </row>
    <row r="120">
      <c r="A120" s="70"/>
      <c r="B120" s="70"/>
      <c r="C120" s="59"/>
      <c r="D120" s="59"/>
      <c r="E120" s="108"/>
      <c r="F120" s="57"/>
      <c r="G120" s="56"/>
      <c r="H120" s="80"/>
      <c r="I120" s="119"/>
      <c r="J120" s="80"/>
      <c r="K120" s="47"/>
      <c r="L120" s="47"/>
      <c r="M120" s="47"/>
      <c r="N120" s="80"/>
      <c r="O120" s="80"/>
      <c r="P120" s="80"/>
      <c r="Q120" s="80"/>
      <c r="R120" s="80"/>
      <c r="S120" s="107"/>
      <c r="T120" s="49"/>
      <c r="U120" s="49"/>
      <c r="V120" s="49"/>
      <c r="W120" s="49"/>
      <c r="X120" s="49"/>
      <c r="Y120" s="49"/>
      <c r="Z120" s="49"/>
      <c r="AA120" s="49"/>
      <c r="AB120" s="49"/>
      <c r="AC120" s="49"/>
      <c r="AD120" s="49"/>
    </row>
    <row r="121">
      <c r="A121" s="70"/>
      <c r="B121" s="70"/>
      <c r="C121" s="59"/>
      <c r="D121" s="59"/>
      <c r="E121" s="108"/>
      <c r="F121" s="57"/>
      <c r="G121" s="56"/>
      <c r="H121" s="80"/>
      <c r="I121" s="119"/>
      <c r="J121" s="80"/>
      <c r="K121" s="80"/>
      <c r="L121" s="47"/>
      <c r="M121" s="47"/>
      <c r="N121" s="80"/>
      <c r="O121" s="80"/>
      <c r="P121" s="80"/>
      <c r="Q121" s="80"/>
      <c r="R121" s="80"/>
      <c r="S121" s="107"/>
      <c r="T121" s="49"/>
      <c r="U121" s="49"/>
      <c r="V121" s="49"/>
      <c r="W121" s="49"/>
      <c r="X121" s="49"/>
      <c r="Y121" s="49"/>
      <c r="Z121" s="49"/>
      <c r="AA121" s="49"/>
      <c r="AB121" s="49"/>
      <c r="AC121" s="49"/>
      <c r="AD121" s="49"/>
    </row>
    <row r="122">
      <c r="A122" s="70"/>
      <c r="B122" s="121"/>
      <c r="C122" s="59"/>
      <c r="D122" s="59"/>
      <c r="E122" s="108"/>
      <c r="F122" s="57"/>
      <c r="G122" s="56"/>
      <c r="H122" s="47"/>
      <c r="I122" s="56"/>
      <c r="J122" s="47"/>
      <c r="K122" s="47"/>
      <c r="L122" s="47"/>
      <c r="M122" s="47"/>
      <c r="N122" s="80"/>
      <c r="O122" s="47"/>
      <c r="P122" s="46"/>
      <c r="Q122" s="80"/>
      <c r="R122" s="80"/>
      <c r="S122" s="107"/>
      <c r="T122" s="49"/>
      <c r="U122" s="49"/>
      <c r="V122" s="49"/>
      <c r="W122" s="49"/>
      <c r="X122" s="49"/>
      <c r="Y122" s="49"/>
      <c r="Z122" s="49"/>
      <c r="AA122" s="49"/>
      <c r="AB122" s="49"/>
      <c r="AC122" s="49"/>
      <c r="AD122" s="49"/>
    </row>
    <row r="123">
      <c r="A123" s="70"/>
      <c r="B123" s="70"/>
      <c r="C123" s="45"/>
      <c r="D123" s="45"/>
      <c r="E123" s="108"/>
      <c r="F123" s="57"/>
      <c r="G123" s="56"/>
      <c r="H123" s="47"/>
      <c r="I123" s="56"/>
      <c r="J123" s="47"/>
      <c r="K123" s="47"/>
      <c r="L123" s="47"/>
      <c r="M123" s="47"/>
      <c r="N123" s="47"/>
      <c r="O123" s="47"/>
      <c r="P123" s="43"/>
      <c r="Q123" s="80"/>
      <c r="R123" s="80"/>
      <c r="S123" s="107"/>
      <c r="T123" s="49"/>
      <c r="U123" s="49"/>
      <c r="V123" s="49"/>
      <c r="W123" s="49"/>
      <c r="X123" s="49"/>
      <c r="Y123" s="49"/>
      <c r="Z123" s="49"/>
      <c r="AA123" s="49"/>
      <c r="AB123" s="49"/>
      <c r="AC123" s="49"/>
      <c r="AD123" s="49"/>
    </row>
    <row r="124" ht="50.25" customHeight="1">
      <c r="A124" s="70"/>
      <c r="B124" s="70"/>
      <c r="C124" s="45"/>
      <c r="D124" s="45"/>
      <c r="E124" s="109"/>
      <c r="F124" s="57"/>
      <c r="G124" s="56"/>
      <c r="H124" s="47"/>
      <c r="I124" s="56"/>
      <c r="J124" s="47"/>
      <c r="K124" s="47"/>
      <c r="L124" s="47"/>
      <c r="M124" s="47"/>
      <c r="N124" s="47"/>
      <c r="O124" s="47"/>
      <c r="P124" s="43"/>
      <c r="Q124" s="80"/>
      <c r="R124" s="80"/>
      <c r="S124" s="107"/>
      <c r="T124" s="49"/>
      <c r="U124" s="49"/>
      <c r="V124" s="49"/>
      <c r="W124" s="49"/>
      <c r="X124" s="49"/>
      <c r="Y124" s="49"/>
      <c r="Z124" s="49"/>
      <c r="AA124" s="49"/>
      <c r="AB124" s="49"/>
      <c r="AC124" s="49"/>
      <c r="AD124" s="49"/>
    </row>
    <row r="125">
      <c r="A125" s="70"/>
      <c r="B125" s="70"/>
      <c r="C125" s="45"/>
      <c r="D125" s="45"/>
      <c r="E125" s="109"/>
      <c r="F125" s="57"/>
      <c r="G125" s="56"/>
      <c r="H125" s="47"/>
      <c r="I125" s="56"/>
      <c r="J125" s="47"/>
      <c r="K125" s="47"/>
      <c r="L125" s="47"/>
      <c r="M125" s="47"/>
      <c r="N125" s="47"/>
      <c r="O125" s="47"/>
      <c r="P125" s="43"/>
      <c r="Q125" s="80"/>
      <c r="R125" s="80"/>
      <c r="S125" s="107"/>
      <c r="T125" s="49"/>
      <c r="U125" s="49"/>
      <c r="V125" s="49"/>
      <c r="W125" s="49"/>
      <c r="X125" s="49"/>
      <c r="Y125" s="49"/>
      <c r="Z125" s="49"/>
      <c r="AA125" s="49"/>
      <c r="AB125" s="49"/>
      <c r="AC125" s="49"/>
      <c r="AD125" s="49"/>
    </row>
    <row r="126" ht="31.5" customHeight="1">
      <c r="A126" s="70"/>
      <c r="B126" s="70"/>
      <c r="C126" s="45"/>
      <c r="D126" s="45"/>
      <c r="E126" s="109"/>
      <c r="F126" s="57"/>
      <c r="G126" s="56"/>
      <c r="H126" s="47"/>
      <c r="I126" s="56"/>
      <c r="J126" s="47"/>
      <c r="K126" s="47"/>
      <c r="L126" s="47"/>
      <c r="M126" s="47"/>
      <c r="N126" s="47"/>
      <c r="O126" s="80"/>
      <c r="P126" s="47"/>
      <c r="Q126" s="80"/>
      <c r="R126" s="47"/>
      <c r="S126" s="107"/>
      <c r="T126" s="49"/>
      <c r="U126" s="49"/>
      <c r="V126" s="49"/>
      <c r="W126" s="49"/>
      <c r="X126" s="49"/>
      <c r="Y126" s="49"/>
      <c r="Z126" s="49"/>
      <c r="AA126" s="49"/>
      <c r="AB126" s="49"/>
      <c r="AC126" s="49"/>
      <c r="AD126" s="49"/>
    </row>
    <row r="127">
      <c r="A127" s="70"/>
      <c r="B127" s="70"/>
      <c r="C127" s="45"/>
      <c r="D127" s="45"/>
      <c r="E127" s="109"/>
      <c r="F127" s="57"/>
      <c r="G127" s="56"/>
      <c r="H127" s="57"/>
      <c r="I127" s="119"/>
      <c r="J127" s="80"/>
      <c r="K127" s="80"/>
      <c r="L127" s="47"/>
      <c r="M127" s="47"/>
      <c r="N127" s="80"/>
      <c r="O127" s="80"/>
      <c r="P127" s="124"/>
      <c r="Q127" s="80"/>
      <c r="R127" s="80"/>
      <c r="S127" s="107"/>
      <c r="T127" s="49"/>
      <c r="U127" s="49"/>
      <c r="V127" s="49"/>
      <c r="W127" s="49"/>
      <c r="X127" s="49"/>
      <c r="Y127" s="49"/>
      <c r="Z127" s="49"/>
      <c r="AA127" s="49"/>
      <c r="AB127" s="49"/>
      <c r="AC127" s="49"/>
      <c r="AD127" s="49"/>
    </row>
    <row r="128">
      <c r="A128" s="70"/>
      <c r="B128" s="70"/>
      <c r="C128" s="45"/>
      <c r="D128" s="45"/>
      <c r="E128" s="109"/>
      <c r="F128" s="57"/>
      <c r="G128" s="56"/>
      <c r="H128" s="47"/>
      <c r="I128" s="119"/>
      <c r="J128" s="47"/>
      <c r="K128" s="47"/>
      <c r="L128" s="47"/>
      <c r="M128" s="47"/>
      <c r="N128" s="47"/>
      <c r="O128" s="80"/>
      <c r="P128" s="124"/>
      <c r="Q128" s="80"/>
      <c r="R128" s="80"/>
      <c r="S128" s="107"/>
      <c r="T128" s="49"/>
      <c r="U128" s="49"/>
      <c r="V128" s="49"/>
      <c r="W128" s="49"/>
      <c r="X128" s="49"/>
      <c r="Y128" s="49"/>
      <c r="Z128" s="49"/>
      <c r="AA128" s="49"/>
      <c r="AB128" s="49"/>
      <c r="AC128" s="49"/>
      <c r="AD128" s="49"/>
    </row>
    <row r="129">
      <c r="A129" s="70"/>
      <c r="B129" s="70"/>
      <c r="C129" s="45"/>
      <c r="D129" s="45"/>
      <c r="E129" s="109"/>
      <c r="F129" s="57"/>
      <c r="G129" s="56"/>
      <c r="H129" s="47"/>
      <c r="I129" s="56"/>
      <c r="J129" s="47"/>
      <c r="K129" s="47"/>
      <c r="L129" s="47"/>
      <c r="M129" s="47"/>
      <c r="N129" s="80"/>
      <c r="O129" s="47"/>
      <c r="P129" s="47"/>
      <c r="Q129" s="80"/>
      <c r="R129" s="80"/>
      <c r="S129" s="107"/>
      <c r="T129" s="49"/>
      <c r="U129" s="49"/>
      <c r="V129" s="49"/>
      <c r="W129" s="49"/>
      <c r="X129" s="49"/>
      <c r="Y129" s="49"/>
      <c r="Z129" s="49"/>
      <c r="AA129" s="49"/>
      <c r="AB129" s="49"/>
      <c r="AC129" s="49"/>
      <c r="AD129" s="49"/>
    </row>
    <row r="130">
      <c r="A130" s="70"/>
      <c r="B130" s="70"/>
      <c r="C130" s="45"/>
      <c r="D130" s="45"/>
      <c r="E130" s="109"/>
      <c r="F130" s="57"/>
      <c r="G130" s="56"/>
      <c r="H130" s="47"/>
      <c r="I130" s="56"/>
      <c r="J130" s="47"/>
      <c r="K130" s="47"/>
      <c r="L130" s="47"/>
      <c r="M130" s="47"/>
      <c r="N130" s="80"/>
      <c r="O130" s="47"/>
      <c r="P130" s="47"/>
      <c r="Q130" s="80"/>
      <c r="R130" s="80"/>
      <c r="S130" s="107"/>
      <c r="T130" s="49"/>
      <c r="U130" s="49"/>
      <c r="V130" s="49"/>
      <c r="W130" s="49"/>
      <c r="X130" s="49"/>
      <c r="Y130" s="49"/>
      <c r="Z130" s="49"/>
      <c r="AA130" s="49"/>
      <c r="AB130" s="49"/>
      <c r="AC130" s="49"/>
      <c r="AD130" s="49"/>
    </row>
    <row r="131">
      <c r="A131" s="70"/>
      <c r="B131" s="70"/>
      <c r="C131" s="45"/>
      <c r="D131" s="45"/>
      <c r="E131" s="109"/>
      <c r="F131" s="57"/>
      <c r="G131" s="56"/>
      <c r="H131" s="47"/>
      <c r="I131" s="56"/>
      <c r="J131" s="47"/>
      <c r="K131" s="47"/>
      <c r="L131" s="47"/>
      <c r="M131" s="47"/>
      <c r="N131" s="80"/>
      <c r="O131" s="47"/>
      <c r="P131" s="47"/>
      <c r="Q131" s="80"/>
      <c r="R131" s="80"/>
      <c r="S131" s="107"/>
      <c r="T131" s="49"/>
      <c r="U131" s="49"/>
      <c r="V131" s="49"/>
      <c r="W131" s="49"/>
      <c r="X131" s="49"/>
      <c r="Y131" s="49"/>
      <c r="Z131" s="49"/>
      <c r="AA131" s="49"/>
      <c r="AB131" s="49"/>
      <c r="AC131" s="49"/>
      <c r="AD131" s="49"/>
    </row>
    <row r="132">
      <c r="A132" s="70"/>
      <c r="B132" s="70"/>
      <c r="C132" s="45"/>
      <c r="D132" s="45"/>
      <c r="E132" s="109"/>
      <c r="F132" s="57"/>
      <c r="G132" s="56"/>
      <c r="H132" s="43"/>
      <c r="I132" s="46"/>
      <c r="J132" s="47"/>
      <c r="K132" s="47"/>
      <c r="L132" s="47"/>
      <c r="M132" s="47"/>
      <c r="N132" s="43"/>
      <c r="O132" s="47"/>
      <c r="P132" s="43"/>
      <c r="Q132" s="80"/>
      <c r="R132" s="80"/>
      <c r="S132" s="107"/>
      <c r="T132" s="49"/>
      <c r="U132" s="49"/>
      <c r="V132" s="49"/>
      <c r="W132" s="49"/>
      <c r="X132" s="49"/>
      <c r="Y132" s="49"/>
      <c r="Z132" s="49"/>
      <c r="AA132" s="49"/>
      <c r="AB132" s="49"/>
      <c r="AC132" s="49"/>
      <c r="AD132" s="49"/>
    </row>
    <row r="133">
      <c r="A133" s="70"/>
      <c r="B133" s="70"/>
      <c r="C133" s="44"/>
      <c r="D133" s="44"/>
      <c r="E133" s="109"/>
      <c r="F133" s="57"/>
      <c r="G133" s="56"/>
      <c r="H133" s="43"/>
      <c r="I133" s="46"/>
      <c r="J133" s="47"/>
      <c r="K133" s="47"/>
      <c r="L133" s="47"/>
      <c r="M133" s="47"/>
      <c r="N133" s="43"/>
      <c r="O133" s="47"/>
      <c r="P133" s="43"/>
      <c r="Q133" s="80"/>
      <c r="R133" s="80"/>
      <c r="S133" s="107"/>
      <c r="T133" s="49"/>
      <c r="U133" s="49"/>
      <c r="V133" s="49"/>
      <c r="W133" s="49"/>
      <c r="X133" s="49"/>
      <c r="Y133" s="49"/>
      <c r="Z133" s="49"/>
      <c r="AA133" s="49"/>
      <c r="AB133" s="49"/>
      <c r="AC133" s="49"/>
      <c r="AD133" s="49"/>
    </row>
    <row r="134">
      <c r="A134" s="70"/>
      <c r="B134" s="70"/>
      <c r="C134" s="44"/>
      <c r="D134" s="44"/>
      <c r="E134" s="109"/>
      <c r="F134" s="57"/>
      <c r="G134" s="56"/>
      <c r="H134" s="80"/>
      <c r="I134" s="119"/>
      <c r="J134" s="80"/>
      <c r="K134" s="80"/>
      <c r="L134" s="47"/>
      <c r="M134" s="47"/>
      <c r="N134" s="80"/>
      <c r="O134" s="80"/>
      <c r="P134" s="80"/>
      <c r="Q134" s="80"/>
      <c r="R134" s="80"/>
      <c r="S134" s="107"/>
      <c r="T134" s="49"/>
      <c r="U134" s="49"/>
      <c r="V134" s="49"/>
      <c r="W134" s="49"/>
      <c r="X134" s="49"/>
      <c r="Y134" s="49"/>
      <c r="Z134" s="49"/>
      <c r="AA134" s="49"/>
      <c r="AB134" s="49"/>
      <c r="AC134" s="49"/>
      <c r="AD134" s="49"/>
    </row>
    <row r="135">
      <c r="A135" s="70"/>
      <c r="B135" s="70"/>
      <c r="C135" s="44"/>
      <c r="D135" s="44"/>
      <c r="E135" s="109"/>
      <c r="F135" s="57"/>
      <c r="G135" s="56"/>
      <c r="H135" s="43"/>
      <c r="I135" s="46"/>
      <c r="J135" s="47"/>
      <c r="K135" s="47"/>
      <c r="L135" s="47"/>
      <c r="M135" s="47"/>
      <c r="N135" s="43"/>
      <c r="O135" s="47"/>
      <c r="P135" s="43"/>
      <c r="Q135" s="80"/>
      <c r="R135" s="80"/>
      <c r="S135" s="107"/>
      <c r="T135" s="49"/>
      <c r="U135" s="49"/>
      <c r="V135" s="49"/>
      <c r="W135" s="49"/>
      <c r="X135" s="49"/>
      <c r="Y135" s="49"/>
      <c r="Z135" s="49"/>
      <c r="AA135" s="49"/>
      <c r="AB135" s="49"/>
      <c r="AC135" s="49"/>
      <c r="AD135" s="49"/>
    </row>
    <row r="136">
      <c r="A136" s="46"/>
      <c r="B136" s="46"/>
      <c r="C136" s="45"/>
      <c r="D136" s="45"/>
      <c r="E136" s="109"/>
      <c r="F136" s="57"/>
      <c r="G136" s="56"/>
      <c r="H136" s="47"/>
      <c r="I136" s="56"/>
      <c r="J136" s="47"/>
      <c r="K136" s="47"/>
      <c r="L136" s="47"/>
      <c r="M136" s="47"/>
      <c r="N136" s="47"/>
      <c r="O136" s="80"/>
      <c r="P136" s="47"/>
      <c r="Q136" s="80"/>
      <c r="R136" s="80"/>
      <c r="S136" s="107"/>
      <c r="T136" s="49"/>
      <c r="U136" s="49"/>
      <c r="V136" s="49"/>
      <c r="W136" s="49"/>
      <c r="X136" s="49"/>
      <c r="Y136" s="49"/>
      <c r="Z136" s="49"/>
      <c r="AA136" s="49"/>
      <c r="AB136" s="49"/>
      <c r="AC136" s="49"/>
      <c r="AD136" s="49"/>
    </row>
    <row r="137">
      <c r="A137" s="46"/>
      <c r="B137" s="46"/>
      <c r="C137" s="45"/>
      <c r="D137" s="45"/>
      <c r="E137" s="109"/>
      <c r="F137" s="57"/>
      <c r="G137" s="56"/>
      <c r="H137" s="47"/>
      <c r="I137" s="56"/>
      <c r="J137" s="47"/>
      <c r="K137" s="47"/>
      <c r="L137" s="47"/>
      <c r="M137" s="47"/>
      <c r="N137" s="47"/>
      <c r="O137" s="80"/>
      <c r="P137" s="47"/>
      <c r="Q137" s="80"/>
      <c r="R137" s="80"/>
      <c r="S137" s="107"/>
      <c r="T137" s="49"/>
      <c r="U137" s="49"/>
      <c r="V137" s="49"/>
      <c r="W137" s="49"/>
      <c r="X137" s="49"/>
      <c r="Y137" s="49"/>
      <c r="Z137" s="49"/>
      <c r="AA137" s="49"/>
      <c r="AB137" s="49"/>
      <c r="AC137" s="49"/>
      <c r="AD137" s="49"/>
    </row>
    <row r="138">
      <c r="A138" s="46"/>
      <c r="B138" s="46"/>
      <c r="C138" s="45"/>
      <c r="D138" s="45"/>
      <c r="E138" s="109"/>
      <c r="F138" s="57"/>
      <c r="G138" s="56"/>
      <c r="H138" s="47"/>
      <c r="I138" s="56"/>
      <c r="J138" s="80"/>
      <c r="K138" s="47"/>
      <c r="L138" s="47"/>
      <c r="M138" s="47"/>
      <c r="N138" s="47"/>
      <c r="O138" s="47"/>
      <c r="P138" s="47"/>
      <c r="Q138" s="80"/>
      <c r="R138" s="80"/>
      <c r="S138" s="107"/>
      <c r="T138" s="49"/>
      <c r="U138" s="49"/>
      <c r="V138" s="49"/>
      <c r="W138" s="49"/>
      <c r="X138" s="49"/>
      <c r="Y138" s="49"/>
      <c r="Z138" s="49"/>
      <c r="AA138" s="49"/>
      <c r="AB138" s="49"/>
      <c r="AC138" s="49"/>
      <c r="AD138" s="49"/>
    </row>
    <row r="139">
      <c r="A139" s="56"/>
      <c r="B139" s="132"/>
      <c r="C139" s="45"/>
      <c r="D139" s="45"/>
      <c r="E139" s="109"/>
      <c r="F139" s="57"/>
      <c r="G139" s="56"/>
      <c r="H139" s="47"/>
      <c r="I139" s="56"/>
      <c r="J139" s="80"/>
      <c r="K139" s="47"/>
      <c r="L139" s="47"/>
      <c r="M139" s="47"/>
      <c r="N139" s="80"/>
      <c r="O139" s="47"/>
      <c r="P139" s="47"/>
      <c r="Q139" s="80"/>
      <c r="R139" s="80"/>
      <c r="S139" s="107"/>
      <c r="T139" s="49"/>
      <c r="U139" s="49"/>
      <c r="V139" s="49"/>
      <c r="W139" s="49"/>
      <c r="X139" s="49"/>
      <c r="Y139" s="49"/>
      <c r="Z139" s="49"/>
      <c r="AA139" s="49"/>
      <c r="AB139" s="49"/>
      <c r="AC139" s="49"/>
      <c r="AD139" s="49"/>
    </row>
    <row r="140">
      <c r="A140" s="46"/>
      <c r="B140" s="46"/>
      <c r="C140" s="45"/>
      <c r="D140" s="45"/>
      <c r="E140" s="108"/>
      <c r="F140" s="57"/>
      <c r="G140" s="46"/>
      <c r="H140" s="43"/>
      <c r="I140" s="46"/>
      <c r="J140" s="47"/>
      <c r="K140" s="47"/>
      <c r="L140" s="47"/>
      <c r="M140" s="47"/>
      <c r="N140" s="43"/>
      <c r="O140" s="47"/>
      <c r="P140" s="43"/>
      <c r="Q140" s="57"/>
      <c r="R140" s="57"/>
      <c r="S140" s="49"/>
      <c r="T140" s="49"/>
      <c r="U140" s="49"/>
      <c r="V140" s="49"/>
      <c r="W140" s="49"/>
      <c r="X140" s="49"/>
      <c r="Y140" s="49"/>
      <c r="Z140" s="49"/>
      <c r="AA140" s="49"/>
      <c r="AB140" s="49"/>
      <c r="AC140" s="49"/>
      <c r="AD140" s="49"/>
    </row>
    <row r="141">
      <c r="A141" s="46"/>
      <c r="B141" s="46"/>
      <c r="C141" s="45"/>
      <c r="D141" s="45"/>
      <c r="E141" s="108"/>
      <c r="F141" s="57"/>
      <c r="G141" s="46"/>
      <c r="H141" s="43"/>
      <c r="I141" s="46"/>
      <c r="J141" s="47"/>
      <c r="K141" s="47"/>
      <c r="L141" s="47"/>
      <c r="M141" s="47"/>
      <c r="N141" s="43"/>
      <c r="O141" s="47"/>
      <c r="P141" s="43"/>
      <c r="Q141" s="57"/>
      <c r="R141" s="57"/>
      <c r="S141" s="49"/>
      <c r="T141" s="49"/>
      <c r="U141" s="49"/>
      <c r="V141" s="49"/>
      <c r="W141" s="49"/>
      <c r="X141" s="49"/>
      <c r="Y141" s="49"/>
      <c r="Z141" s="49"/>
      <c r="AA141" s="49"/>
      <c r="AB141" s="49"/>
      <c r="AC141" s="49"/>
      <c r="AD141" s="49"/>
    </row>
    <row r="142">
      <c r="A142" s="46"/>
      <c r="B142" s="46"/>
      <c r="C142" s="45"/>
      <c r="D142" s="45"/>
      <c r="E142" s="108"/>
      <c r="F142" s="57"/>
      <c r="G142" s="46"/>
      <c r="H142" s="43"/>
      <c r="I142" s="46"/>
      <c r="J142" s="47"/>
      <c r="K142" s="47"/>
      <c r="L142" s="47"/>
      <c r="M142" s="47"/>
      <c r="N142" s="47"/>
      <c r="O142" s="47"/>
      <c r="P142" s="43"/>
      <c r="Q142" s="57"/>
      <c r="R142" s="57"/>
      <c r="S142" s="49"/>
      <c r="T142" s="49"/>
      <c r="U142" s="49"/>
      <c r="V142" s="49"/>
      <c r="W142" s="49"/>
      <c r="X142" s="49"/>
      <c r="Y142" s="49"/>
      <c r="Z142" s="49"/>
      <c r="AA142" s="49"/>
      <c r="AB142" s="49"/>
      <c r="AC142" s="49"/>
      <c r="AD142" s="49"/>
    </row>
    <row r="143">
      <c r="A143" s="46"/>
      <c r="B143" s="46"/>
      <c r="C143" s="45"/>
      <c r="D143" s="45"/>
      <c r="E143" s="108"/>
      <c r="F143" s="57"/>
      <c r="G143" s="46"/>
      <c r="H143" s="43"/>
      <c r="I143" s="46"/>
      <c r="J143" s="47"/>
      <c r="K143" s="47"/>
      <c r="L143" s="47"/>
      <c r="M143" s="47"/>
      <c r="N143" s="47"/>
      <c r="O143" s="47"/>
      <c r="P143" s="43"/>
      <c r="Q143" s="57"/>
      <c r="R143" s="57"/>
      <c r="S143" s="49"/>
      <c r="T143" s="49"/>
      <c r="U143" s="49"/>
      <c r="V143" s="49"/>
      <c r="W143" s="49"/>
      <c r="X143" s="49"/>
      <c r="Y143" s="49"/>
      <c r="Z143" s="49"/>
      <c r="AA143" s="49"/>
      <c r="AB143" s="49"/>
      <c r="AC143" s="49"/>
      <c r="AD143" s="49"/>
    </row>
    <row r="144">
      <c r="A144" s="46"/>
      <c r="B144" s="46"/>
      <c r="C144" s="45"/>
      <c r="D144" s="45"/>
      <c r="E144" s="108"/>
      <c r="F144" s="57"/>
      <c r="G144" s="46"/>
      <c r="H144" s="43"/>
      <c r="I144" s="46"/>
      <c r="J144" s="47"/>
      <c r="K144" s="47"/>
      <c r="L144" s="47"/>
      <c r="M144" s="47"/>
      <c r="N144" s="47"/>
      <c r="O144" s="47"/>
      <c r="P144" s="43"/>
      <c r="Q144" s="57"/>
      <c r="R144" s="57"/>
      <c r="S144" s="49"/>
      <c r="T144" s="49"/>
      <c r="U144" s="49"/>
      <c r="V144" s="49"/>
      <c r="W144" s="49"/>
      <c r="X144" s="49"/>
      <c r="Y144" s="49"/>
      <c r="Z144" s="49"/>
      <c r="AA144" s="49"/>
      <c r="AB144" s="49"/>
      <c r="AC144" s="49"/>
      <c r="AD144" s="49"/>
    </row>
    <row r="145">
      <c r="A145" s="46"/>
      <c r="B145" s="46"/>
      <c r="C145" s="45"/>
      <c r="D145" s="45"/>
      <c r="E145" s="108"/>
      <c r="F145" s="57"/>
      <c r="G145" s="46"/>
      <c r="H145" s="43"/>
      <c r="I145" s="46"/>
      <c r="J145" s="47"/>
      <c r="K145" s="47"/>
      <c r="L145" s="47"/>
      <c r="M145" s="47"/>
      <c r="N145" s="43"/>
      <c r="O145" s="47"/>
      <c r="P145" s="43"/>
      <c r="Q145" s="57"/>
      <c r="R145" s="57"/>
      <c r="S145" s="49"/>
      <c r="T145" s="49"/>
      <c r="U145" s="49"/>
      <c r="V145" s="49"/>
      <c r="W145" s="49"/>
      <c r="X145" s="49"/>
      <c r="Y145" s="49"/>
      <c r="Z145" s="49"/>
      <c r="AA145" s="49"/>
      <c r="AB145" s="49"/>
      <c r="AC145" s="49"/>
      <c r="AD145" s="49"/>
    </row>
    <row r="146">
      <c r="A146" s="134"/>
      <c r="B146" s="46"/>
      <c r="C146" s="45"/>
      <c r="D146" s="45"/>
      <c r="E146" s="108"/>
      <c r="F146" s="57"/>
      <c r="G146" s="46"/>
      <c r="H146" s="43"/>
      <c r="I146" s="46"/>
      <c r="J146" s="47"/>
      <c r="K146" s="47"/>
      <c r="L146" s="47"/>
      <c r="M146" s="47"/>
      <c r="N146" s="43"/>
      <c r="O146" s="47"/>
      <c r="P146" s="43"/>
      <c r="Q146" s="57"/>
      <c r="R146" s="57"/>
      <c r="S146" s="49"/>
      <c r="T146" s="49"/>
      <c r="U146" s="49"/>
      <c r="V146" s="49"/>
      <c r="W146" s="49"/>
      <c r="X146" s="49"/>
      <c r="Y146" s="49"/>
      <c r="Z146" s="49"/>
      <c r="AA146" s="49"/>
      <c r="AB146" s="49"/>
      <c r="AC146" s="49"/>
      <c r="AD146" s="49"/>
    </row>
    <row r="147">
      <c r="A147" s="46"/>
      <c r="B147" s="46"/>
      <c r="C147" s="45"/>
      <c r="D147" s="45"/>
      <c r="E147" s="108"/>
      <c r="F147" s="57"/>
      <c r="G147" s="46"/>
      <c r="H147" s="43"/>
      <c r="I147" s="56"/>
      <c r="J147" s="47"/>
      <c r="K147" s="47"/>
      <c r="L147" s="47"/>
      <c r="M147" s="80"/>
      <c r="N147" s="80"/>
      <c r="O147" s="47"/>
      <c r="P147" s="47"/>
      <c r="Q147" s="57"/>
      <c r="R147" s="57"/>
      <c r="S147" s="49"/>
      <c r="T147" s="49"/>
      <c r="U147" s="49"/>
      <c r="V147" s="49"/>
      <c r="W147" s="49"/>
      <c r="X147" s="49"/>
      <c r="Y147" s="49"/>
      <c r="Z147" s="49"/>
      <c r="AA147" s="49"/>
      <c r="AB147" s="49"/>
      <c r="AC147" s="49"/>
      <c r="AD147" s="49"/>
    </row>
    <row r="148">
      <c r="A148" s="46"/>
      <c r="B148" s="46"/>
      <c r="C148" s="45"/>
      <c r="D148" s="45"/>
      <c r="E148" s="108"/>
      <c r="F148" s="57"/>
      <c r="G148" s="46"/>
      <c r="H148" s="47"/>
      <c r="I148" s="56"/>
      <c r="J148" s="47"/>
      <c r="K148" s="47"/>
      <c r="L148" s="47"/>
      <c r="M148" s="80"/>
      <c r="N148" s="80"/>
      <c r="O148" s="47"/>
      <c r="P148" s="47"/>
      <c r="Q148" s="57"/>
      <c r="R148" s="57"/>
      <c r="S148" s="49"/>
      <c r="T148" s="49"/>
      <c r="U148" s="49"/>
      <c r="V148" s="49"/>
      <c r="W148" s="49"/>
      <c r="X148" s="49"/>
      <c r="Y148" s="49"/>
      <c r="Z148" s="49"/>
      <c r="AA148" s="49"/>
      <c r="AB148" s="49"/>
      <c r="AC148" s="49"/>
      <c r="AD148" s="49"/>
    </row>
    <row r="149">
      <c r="A149" s="46"/>
      <c r="B149" s="46"/>
      <c r="C149" s="45"/>
      <c r="D149" s="45"/>
      <c r="E149" s="108"/>
      <c r="F149" s="57"/>
      <c r="G149" s="46"/>
      <c r="H149" s="47"/>
      <c r="I149" s="56"/>
      <c r="J149" s="47"/>
      <c r="K149" s="47"/>
      <c r="L149" s="47"/>
      <c r="M149" s="47"/>
      <c r="N149" s="80"/>
      <c r="O149" s="47"/>
      <c r="P149" s="80"/>
      <c r="Q149" s="57"/>
      <c r="R149" s="57"/>
      <c r="S149" s="49"/>
      <c r="T149" s="49"/>
      <c r="U149" s="49"/>
      <c r="V149" s="49"/>
      <c r="W149" s="49"/>
      <c r="X149" s="49"/>
      <c r="Y149" s="49"/>
      <c r="Z149" s="49"/>
      <c r="AA149" s="49"/>
      <c r="AB149" s="49"/>
      <c r="AC149" s="49"/>
      <c r="AD149" s="49"/>
    </row>
    <row r="150">
      <c r="A150" s="46"/>
      <c r="B150" s="46"/>
      <c r="C150" s="45"/>
      <c r="D150" s="45"/>
      <c r="E150" s="108"/>
      <c r="F150" s="57"/>
      <c r="G150" s="46"/>
      <c r="H150" s="47"/>
      <c r="I150" s="56"/>
      <c r="J150" s="47"/>
      <c r="K150" s="47"/>
      <c r="L150" s="47"/>
      <c r="M150" s="47"/>
      <c r="N150" s="80"/>
      <c r="O150" s="47"/>
      <c r="P150" s="80"/>
      <c r="Q150" s="57"/>
      <c r="R150" s="57"/>
      <c r="S150" s="49"/>
      <c r="T150" s="49"/>
      <c r="U150" s="49"/>
      <c r="V150" s="49"/>
      <c r="W150" s="49"/>
      <c r="X150" s="49"/>
      <c r="Y150" s="49"/>
      <c r="Z150" s="49"/>
      <c r="AA150" s="49"/>
      <c r="AB150" s="49"/>
      <c r="AC150" s="49"/>
      <c r="AD150" s="49"/>
    </row>
    <row r="151">
      <c r="A151" s="46"/>
      <c r="B151" s="46"/>
      <c r="C151" s="45"/>
      <c r="D151" s="45"/>
      <c r="E151" s="108"/>
      <c r="F151" s="46"/>
      <c r="G151" s="46"/>
      <c r="H151" s="47"/>
      <c r="I151" s="46"/>
      <c r="J151" s="43"/>
      <c r="K151" s="46"/>
      <c r="L151" s="46"/>
      <c r="M151" s="43"/>
      <c r="N151" s="43"/>
      <c r="O151" s="43"/>
      <c r="P151" s="43"/>
      <c r="Q151" s="57"/>
      <c r="R151" s="57"/>
      <c r="S151" s="49"/>
      <c r="T151" s="49"/>
      <c r="U151" s="49"/>
      <c r="V151" s="49"/>
      <c r="W151" s="49"/>
      <c r="X151" s="49"/>
      <c r="Y151" s="49"/>
      <c r="Z151" s="49"/>
      <c r="AA151" s="49"/>
      <c r="AB151" s="49"/>
      <c r="AC151" s="49"/>
      <c r="AD151" s="49"/>
    </row>
    <row r="152">
      <c r="A152" s="76"/>
      <c r="B152" s="76"/>
      <c r="C152" s="45"/>
      <c r="D152" s="45"/>
      <c r="E152" s="108"/>
      <c r="F152" s="57"/>
      <c r="G152" s="46"/>
      <c r="H152" s="43"/>
      <c r="I152" s="46"/>
      <c r="J152" s="48"/>
      <c r="K152" s="46"/>
      <c r="L152" s="46"/>
      <c r="M152" s="43"/>
      <c r="N152" s="43"/>
      <c r="O152" s="48"/>
      <c r="P152" s="43"/>
      <c r="Q152" s="57"/>
      <c r="R152" s="57"/>
      <c r="S152" s="49"/>
      <c r="T152" s="49"/>
      <c r="U152" s="49"/>
      <c r="V152" s="49"/>
      <c r="W152" s="49"/>
      <c r="X152" s="49"/>
      <c r="Y152" s="49"/>
      <c r="Z152" s="49"/>
      <c r="AA152" s="49"/>
      <c r="AB152" s="49"/>
      <c r="AC152" s="49"/>
      <c r="AD152" s="49"/>
    </row>
    <row r="153">
      <c r="A153" s="46"/>
      <c r="B153" s="46"/>
      <c r="C153" s="45"/>
      <c r="D153" s="45"/>
      <c r="E153" s="108"/>
      <c r="F153" s="46"/>
      <c r="G153" s="46"/>
      <c r="H153" s="48"/>
      <c r="I153" s="46"/>
      <c r="J153" s="43"/>
      <c r="K153" s="46"/>
      <c r="L153" s="46"/>
      <c r="M153" s="43"/>
      <c r="N153" s="43"/>
      <c r="O153" s="48"/>
      <c r="P153" s="43"/>
      <c r="Q153" s="57"/>
      <c r="R153" s="57"/>
      <c r="S153" s="49"/>
      <c r="T153" s="49"/>
      <c r="U153" s="49"/>
      <c r="V153" s="49"/>
      <c r="W153" s="49"/>
      <c r="X153" s="49"/>
      <c r="Y153" s="49"/>
      <c r="Z153" s="49"/>
      <c r="AA153" s="49"/>
      <c r="AB153" s="49"/>
      <c r="AC153" s="49"/>
      <c r="AD153" s="49"/>
    </row>
    <row r="154">
      <c r="A154" s="46"/>
      <c r="B154" s="46"/>
      <c r="C154" s="45"/>
      <c r="D154" s="45"/>
      <c r="E154" s="108"/>
      <c r="F154" s="57"/>
      <c r="G154" s="46"/>
      <c r="H154" s="43"/>
      <c r="I154" s="46"/>
      <c r="J154" s="43"/>
      <c r="K154" s="46"/>
      <c r="L154" s="46"/>
      <c r="M154" s="43"/>
      <c r="N154" s="46"/>
      <c r="O154" s="47"/>
      <c r="P154" s="43"/>
      <c r="Q154" s="57"/>
      <c r="R154" s="57"/>
      <c r="S154" s="49"/>
      <c r="T154" s="49"/>
      <c r="U154" s="49"/>
      <c r="V154" s="49"/>
      <c r="W154" s="49"/>
      <c r="X154" s="49"/>
      <c r="Y154" s="49"/>
      <c r="Z154" s="49"/>
      <c r="AA154" s="49"/>
      <c r="AB154" s="49"/>
      <c r="AC154" s="49"/>
      <c r="AD154" s="49"/>
    </row>
    <row r="155">
      <c r="A155" s="46"/>
      <c r="B155" s="46"/>
      <c r="C155" s="45"/>
      <c r="D155" s="45"/>
      <c r="E155" s="108"/>
      <c r="F155" s="57"/>
      <c r="G155" s="46"/>
      <c r="H155" s="43"/>
      <c r="I155" s="46"/>
      <c r="J155" s="43"/>
      <c r="K155" s="46"/>
      <c r="L155" s="46"/>
      <c r="M155" s="43"/>
      <c r="N155" s="46"/>
      <c r="O155" s="47"/>
      <c r="P155" s="43"/>
      <c r="Q155" s="57"/>
      <c r="R155" s="57"/>
      <c r="S155" s="49"/>
      <c r="T155" s="49"/>
      <c r="U155" s="49"/>
      <c r="V155" s="49"/>
      <c r="W155" s="49"/>
      <c r="X155" s="49"/>
      <c r="Y155" s="49"/>
      <c r="Z155" s="49"/>
      <c r="AA155" s="49"/>
      <c r="AB155" s="49"/>
      <c r="AC155" s="49"/>
      <c r="AD155" s="49"/>
    </row>
    <row r="156">
      <c r="A156" s="46"/>
      <c r="B156" s="46"/>
      <c r="C156" s="45"/>
      <c r="D156" s="45"/>
      <c r="E156" s="108"/>
      <c r="F156" s="57"/>
      <c r="G156" s="46"/>
      <c r="H156" s="43"/>
      <c r="I156" s="46"/>
      <c r="J156" s="43"/>
      <c r="K156" s="46"/>
      <c r="L156" s="46"/>
      <c r="M156" s="43"/>
      <c r="N156" s="46"/>
      <c r="O156" s="47"/>
      <c r="P156" s="43"/>
      <c r="Q156" s="57"/>
      <c r="R156" s="57"/>
      <c r="S156" s="49"/>
      <c r="T156" s="49"/>
      <c r="U156" s="49"/>
      <c r="V156" s="49"/>
      <c r="W156" s="49"/>
      <c r="X156" s="49"/>
      <c r="Y156" s="49"/>
      <c r="Z156" s="49"/>
      <c r="AA156" s="49"/>
      <c r="AB156" s="49"/>
      <c r="AC156" s="49"/>
      <c r="AD156" s="49"/>
    </row>
    <row r="157">
      <c r="A157" s="46"/>
      <c r="B157" s="46"/>
      <c r="C157" s="45"/>
      <c r="D157" s="45"/>
      <c r="E157" s="108"/>
      <c r="F157" s="57"/>
      <c r="G157" s="46"/>
      <c r="H157" s="43"/>
      <c r="I157" s="46"/>
      <c r="J157" s="43"/>
      <c r="K157" s="46"/>
      <c r="L157" s="46"/>
      <c r="M157" s="43"/>
      <c r="N157" s="46"/>
      <c r="O157" s="47"/>
      <c r="P157" s="43"/>
      <c r="Q157" s="57"/>
      <c r="R157" s="57"/>
      <c r="S157" s="49"/>
      <c r="T157" s="49"/>
      <c r="U157" s="49"/>
      <c r="V157" s="49"/>
      <c r="W157" s="49"/>
      <c r="X157" s="49"/>
      <c r="Y157" s="49"/>
      <c r="Z157" s="49"/>
      <c r="AA157" s="49"/>
      <c r="AB157" s="49"/>
      <c r="AC157" s="49"/>
      <c r="AD157" s="49"/>
    </row>
    <row r="158">
      <c r="A158" s="46"/>
      <c r="B158" s="46"/>
      <c r="C158" s="45"/>
      <c r="D158" s="45"/>
      <c r="E158" s="108"/>
      <c r="F158" s="57"/>
      <c r="G158" s="46"/>
      <c r="H158" s="43"/>
      <c r="I158" s="46"/>
      <c r="J158" s="43"/>
      <c r="K158" s="46"/>
      <c r="L158" s="46"/>
      <c r="M158" s="43"/>
      <c r="N158" s="43"/>
      <c r="O158" s="46"/>
      <c r="P158" s="43"/>
      <c r="Q158" s="57"/>
      <c r="R158" s="57"/>
      <c r="S158" s="49"/>
      <c r="T158" s="49"/>
      <c r="U158" s="49"/>
      <c r="V158" s="49"/>
      <c r="W158" s="49"/>
      <c r="X158" s="49"/>
      <c r="Y158" s="49"/>
      <c r="Z158" s="49"/>
      <c r="AA158" s="49"/>
      <c r="AB158" s="49"/>
      <c r="AC158" s="49"/>
      <c r="AD158" s="49"/>
    </row>
    <row r="159">
      <c r="A159" s="46"/>
      <c r="B159" s="46"/>
      <c r="C159" s="45"/>
      <c r="D159" s="45"/>
      <c r="E159" s="108"/>
      <c r="F159" s="57"/>
      <c r="G159" s="46"/>
      <c r="H159" s="43"/>
      <c r="I159" s="46"/>
      <c r="J159" s="43"/>
      <c r="K159" s="46"/>
      <c r="L159" s="46"/>
      <c r="M159" s="43"/>
      <c r="N159" s="46"/>
      <c r="O159" s="47"/>
      <c r="P159" s="43"/>
      <c r="Q159" s="57"/>
      <c r="R159" s="57"/>
      <c r="S159" s="49"/>
      <c r="T159" s="49"/>
      <c r="U159" s="49"/>
      <c r="V159" s="49"/>
      <c r="W159" s="49"/>
      <c r="X159" s="49"/>
      <c r="Y159" s="49"/>
      <c r="Z159" s="49"/>
      <c r="AA159" s="49"/>
      <c r="AB159" s="49"/>
      <c r="AC159" s="49"/>
      <c r="AD159" s="49"/>
    </row>
    <row r="160">
      <c r="A160" s="46"/>
      <c r="B160" s="46"/>
      <c r="C160" s="45"/>
      <c r="D160" s="45"/>
      <c r="E160" s="108"/>
      <c r="F160" s="57"/>
      <c r="G160" s="46"/>
      <c r="H160" s="43"/>
      <c r="I160" s="46"/>
      <c r="J160" s="43"/>
      <c r="K160" s="46"/>
      <c r="L160" s="46"/>
      <c r="M160" s="43"/>
      <c r="N160" s="46"/>
      <c r="O160" s="47"/>
      <c r="P160" s="43"/>
      <c r="Q160" s="57"/>
      <c r="R160" s="57"/>
      <c r="S160" s="49"/>
      <c r="T160" s="49"/>
      <c r="U160" s="49"/>
      <c r="V160" s="49"/>
      <c r="W160" s="49"/>
      <c r="X160" s="49"/>
      <c r="Y160" s="49"/>
      <c r="Z160" s="49"/>
      <c r="AA160" s="49"/>
      <c r="AB160" s="49"/>
      <c r="AC160" s="49"/>
      <c r="AD160" s="49"/>
    </row>
    <row r="161">
      <c r="A161" s="46"/>
      <c r="B161" s="46"/>
      <c r="C161" s="45"/>
      <c r="D161" s="45"/>
      <c r="E161" s="108"/>
      <c r="F161" s="57"/>
      <c r="G161" s="46"/>
      <c r="H161" s="43"/>
      <c r="I161" s="46"/>
      <c r="J161" s="43"/>
      <c r="K161" s="46"/>
      <c r="L161" s="46"/>
      <c r="M161" s="43"/>
      <c r="N161" s="46"/>
      <c r="O161" s="47"/>
      <c r="P161" s="43"/>
      <c r="Q161" s="57"/>
      <c r="R161" s="57"/>
      <c r="S161" s="49"/>
      <c r="T161" s="49"/>
      <c r="U161" s="49"/>
      <c r="V161" s="49"/>
      <c r="W161" s="49"/>
      <c r="X161" s="49"/>
      <c r="Y161" s="49"/>
      <c r="Z161" s="49"/>
      <c r="AA161" s="49"/>
      <c r="AB161" s="49"/>
      <c r="AC161" s="49"/>
      <c r="AD161" s="49"/>
    </row>
    <row r="162">
      <c r="A162" s="46"/>
      <c r="B162" s="46"/>
      <c r="C162" s="45"/>
      <c r="D162" s="45"/>
      <c r="E162" s="108"/>
      <c r="F162" s="57"/>
      <c r="G162" s="46"/>
      <c r="H162" s="47"/>
      <c r="I162" s="46"/>
      <c r="J162" s="43"/>
      <c r="K162" s="46"/>
      <c r="L162" s="46"/>
      <c r="M162" s="43"/>
      <c r="N162" s="43"/>
      <c r="O162" s="43"/>
      <c r="P162" s="48"/>
      <c r="Q162" s="57"/>
      <c r="R162" s="57"/>
      <c r="S162" s="49"/>
      <c r="T162" s="49"/>
      <c r="U162" s="49"/>
      <c r="V162" s="49"/>
      <c r="W162" s="49"/>
      <c r="X162" s="49"/>
      <c r="Y162" s="49"/>
      <c r="Z162" s="49"/>
      <c r="AA162" s="49"/>
      <c r="AB162" s="49"/>
      <c r="AC162" s="49"/>
      <c r="AD162" s="49"/>
    </row>
    <row r="163">
      <c r="A163" s="46"/>
      <c r="B163" s="46"/>
      <c r="C163" s="45"/>
      <c r="D163" s="45"/>
      <c r="E163" s="108"/>
      <c r="F163" s="57"/>
      <c r="G163" s="46"/>
      <c r="H163" s="43"/>
      <c r="I163" s="46"/>
      <c r="J163" s="43"/>
      <c r="K163" s="46"/>
      <c r="L163" s="46"/>
      <c r="M163" s="43"/>
      <c r="N163" s="46"/>
      <c r="O163" s="43"/>
      <c r="P163" s="48"/>
      <c r="Q163" s="57"/>
      <c r="R163" s="57"/>
      <c r="S163" s="49"/>
      <c r="T163" s="49"/>
      <c r="U163" s="49"/>
      <c r="V163" s="49"/>
      <c r="W163" s="49"/>
      <c r="X163" s="49"/>
      <c r="Y163" s="49"/>
      <c r="Z163" s="49"/>
      <c r="AA163" s="49"/>
      <c r="AB163" s="49"/>
      <c r="AC163" s="49"/>
      <c r="AD163" s="49"/>
    </row>
    <row r="164">
      <c r="A164" s="46"/>
      <c r="B164" s="46"/>
      <c r="C164" s="45"/>
      <c r="D164" s="45"/>
      <c r="E164" s="108"/>
      <c r="F164" s="46"/>
      <c r="G164" s="46"/>
      <c r="H164" s="43"/>
      <c r="I164" s="46"/>
      <c r="J164" s="43"/>
      <c r="K164" s="46"/>
      <c r="L164" s="46"/>
      <c r="M164" s="43"/>
      <c r="N164" s="43"/>
      <c r="O164" s="43"/>
      <c r="P164" s="43"/>
      <c r="Q164" s="57"/>
      <c r="R164" s="57"/>
      <c r="S164" s="49"/>
      <c r="T164" s="49"/>
      <c r="U164" s="49"/>
      <c r="V164" s="49"/>
      <c r="W164" s="49"/>
      <c r="X164" s="49"/>
      <c r="Y164" s="49"/>
      <c r="Z164" s="49"/>
      <c r="AA164" s="49"/>
      <c r="AB164" s="49"/>
      <c r="AC164" s="49"/>
      <c r="AD164" s="49"/>
    </row>
    <row r="165">
      <c r="A165" s="46"/>
      <c r="B165" s="46"/>
      <c r="C165" s="45"/>
      <c r="D165" s="45"/>
      <c r="E165" s="108"/>
      <c r="F165" s="46"/>
      <c r="G165" s="46"/>
      <c r="H165" s="43"/>
      <c r="I165" s="46"/>
      <c r="J165" s="43"/>
      <c r="K165" s="46"/>
      <c r="L165" s="46"/>
      <c r="M165" s="43"/>
      <c r="N165" s="43"/>
      <c r="O165" s="47"/>
      <c r="P165" s="43"/>
      <c r="Q165" s="57"/>
      <c r="R165" s="57"/>
      <c r="S165" s="49"/>
      <c r="T165" s="49"/>
      <c r="U165" s="49"/>
      <c r="V165" s="49"/>
      <c r="W165" s="49"/>
      <c r="X165" s="49"/>
      <c r="Y165" s="49"/>
      <c r="Z165" s="49"/>
      <c r="AA165" s="49"/>
      <c r="AB165" s="49"/>
      <c r="AC165" s="49"/>
      <c r="AD165" s="49"/>
    </row>
    <row r="166">
      <c r="A166" s="46"/>
      <c r="B166" s="46"/>
      <c r="C166" s="45"/>
      <c r="D166" s="45"/>
      <c r="E166" s="108"/>
      <c r="F166" s="46"/>
      <c r="G166" s="46"/>
      <c r="H166" s="43"/>
      <c r="I166" s="46"/>
      <c r="J166" s="48"/>
      <c r="K166" s="46"/>
      <c r="L166" s="46"/>
      <c r="M166" s="48"/>
      <c r="N166" s="48"/>
      <c r="O166" s="43"/>
      <c r="P166" s="43"/>
      <c r="Q166" s="57"/>
      <c r="R166" s="57"/>
      <c r="S166" s="49"/>
      <c r="T166" s="49"/>
      <c r="U166" s="49"/>
      <c r="V166" s="49"/>
      <c r="W166" s="49"/>
      <c r="X166" s="49"/>
      <c r="Y166" s="49"/>
      <c r="Z166" s="49"/>
      <c r="AA166" s="49"/>
      <c r="AB166" s="49"/>
      <c r="AC166" s="49"/>
      <c r="AD166" s="49"/>
    </row>
    <row r="167">
      <c r="A167" s="46"/>
      <c r="B167" s="46"/>
      <c r="C167" s="45"/>
      <c r="D167" s="45"/>
      <c r="E167" s="108"/>
      <c r="F167" s="46"/>
      <c r="G167" s="46"/>
      <c r="H167" s="43"/>
      <c r="I167" s="46"/>
      <c r="J167" s="43"/>
      <c r="K167" s="46"/>
      <c r="L167" s="46"/>
      <c r="M167" s="43"/>
      <c r="N167" s="43"/>
      <c r="O167" s="46"/>
      <c r="P167" s="43"/>
      <c r="Q167" s="57"/>
      <c r="R167" s="57"/>
      <c r="S167" s="49"/>
      <c r="T167" s="49"/>
      <c r="U167" s="49"/>
      <c r="V167" s="49"/>
      <c r="W167" s="49"/>
      <c r="X167" s="49"/>
      <c r="Y167" s="49"/>
      <c r="Z167" s="49"/>
      <c r="AA167" s="49"/>
      <c r="AB167" s="49"/>
      <c r="AC167" s="49"/>
      <c r="AD167" s="49"/>
    </row>
    <row r="168">
      <c r="A168" s="46"/>
      <c r="B168" s="46"/>
      <c r="C168" s="45"/>
      <c r="D168" s="45"/>
      <c r="E168" s="108"/>
      <c r="F168" s="46"/>
      <c r="G168" s="46"/>
      <c r="H168" s="43"/>
      <c r="I168" s="46"/>
      <c r="J168" s="43"/>
      <c r="K168" s="46"/>
      <c r="L168" s="46"/>
      <c r="M168" s="43"/>
      <c r="N168" s="46"/>
      <c r="O168" s="46"/>
      <c r="P168" s="43"/>
      <c r="Q168" s="57"/>
      <c r="R168" s="57"/>
      <c r="S168" s="49"/>
      <c r="T168" s="49"/>
      <c r="U168" s="49"/>
      <c r="V168" s="49"/>
      <c r="W168" s="49"/>
      <c r="X168" s="49"/>
      <c r="Y168" s="49"/>
      <c r="Z168" s="49"/>
      <c r="AA168" s="49"/>
      <c r="AB168" s="49"/>
      <c r="AC168" s="49"/>
      <c r="AD168" s="49"/>
    </row>
    <row r="169">
      <c r="A169" s="46"/>
      <c r="B169" s="46"/>
      <c r="C169" s="45"/>
      <c r="D169" s="45"/>
      <c r="E169" s="108"/>
      <c r="F169" s="46"/>
      <c r="G169" s="46"/>
      <c r="H169" s="43"/>
      <c r="I169" s="46"/>
      <c r="J169" s="43"/>
      <c r="K169" s="46"/>
      <c r="L169" s="46"/>
      <c r="M169" s="43"/>
      <c r="N169" s="43"/>
      <c r="O169" s="46"/>
      <c r="P169" s="43"/>
      <c r="Q169" s="57"/>
      <c r="R169" s="57"/>
      <c r="S169" s="49"/>
      <c r="T169" s="49"/>
      <c r="U169" s="49"/>
      <c r="V169" s="49"/>
      <c r="W169" s="49"/>
      <c r="X169" s="49"/>
      <c r="Y169" s="49"/>
      <c r="Z169" s="49"/>
      <c r="AA169" s="49"/>
      <c r="AB169" s="49"/>
      <c r="AC169" s="49"/>
      <c r="AD169" s="49"/>
    </row>
    <row r="170">
      <c r="A170" s="46"/>
      <c r="B170" s="46"/>
      <c r="C170" s="45"/>
      <c r="D170" s="45"/>
      <c r="E170" s="108"/>
      <c r="F170" s="46"/>
      <c r="G170" s="46"/>
      <c r="H170" s="43"/>
      <c r="I170" s="46"/>
      <c r="J170" s="43"/>
      <c r="K170" s="46"/>
      <c r="L170" s="46"/>
      <c r="M170" s="43"/>
      <c r="N170" s="46"/>
      <c r="O170" s="46"/>
      <c r="P170" s="43"/>
      <c r="Q170" s="57"/>
      <c r="R170" s="57"/>
      <c r="S170" s="49"/>
      <c r="T170" s="49"/>
      <c r="U170" s="49"/>
      <c r="V170" s="49"/>
      <c r="W170" s="49"/>
      <c r="X170" s="49"/>
      <c r="Y170" s="49"/>
      <c r="Z170" s="49"/>
      <c r="AA170" s="49"/>
      <c r="AB170" s="49"/>
      <c r="AC170" s="49"/>
      <c r="AD170" s="49"/>
    </row>
    <row r="171">
      <c r="A171" s="46"/>
      <c r="B171" s="46"/>
      <c r="C171" s="45"/>
      <c r="D171" s="45"/>
      <c r="E171" s="108"/>
      <c r="F171" s="46"/>
      <c r="G171" s="46"/>
      <c r="H171" s="43"/>
      <c r="I171" s="46"/>
      <c r="J171" s="43"/>
      <c r="K171" s="46"/>
      <c r="L171" s="46"/>
      <c r="M171" s="43"/>
      <c r="N171" s="46"/>
      <c r="O171" s="46"/>
      <c r="P171" s="43"/>
      <c r="Q171" s="57"/>
      <c r="R171" s="57"/>
      <c r="S171" s="49"/>
      <c r="T171" s="49"/>
      <c r="U171" s="49"/>
      <c r="V171" s="49"/>
      <c r="W171" s="49"/>
      <c r="X171" s="49"/>
      <c r="Y171" s="49"/>
      <c r="Z171" s="49"/>
      <c r="AA171" s="49"/>
      <c r="AB171" s="49"/>
      <c r="AC171" s="49"/>
      <c r="AD171" s="49"/>
    </row>
    <row r="172">
      <c r="A172" s="46"/>
      <c r="B172" s="46"/>
      <c r="C172" s="44"/>
      <c r="D172" s="44"/>
      <c r="E172" s="108"/>
      <c r="F172" s="46"/>
      <c r="G172" s="46"/>
      <c r="H172" s="43"/>
      <c r="I172" s="46"/>
      <c r="J172" s="43"/>
      <c r="K172" s="46"/>
      <c r="L172" s="46"/>
      <c r="M172" s="43"/>
      <c r="N172" s="46"/>
      <c r="O172" s="46"/>
      <c r="P172" s="43"/>
      <c r="Q172" s="57"/>
      <c r="R172" s="57"/>
      <c r="S172" s="49"/>
      <c r="T172" s="49"/>
      <c r="U172" s="49"/>
      <c r="V172" s="49"/>
      <c r="W172" s="49"/>
      <c r="X172" s="49"/>
      <c r="Y172" s="49"/>
      <c r="Z172" s="49"/>
      <c r="AA172" s="49"/>
      <c r="AB172" s="49"/>
      <c r="AC172" s="49"/>
      <c r="AD172" s="49"/>
    </row>
    <row r="173">
      <c r="A173" s="46"/>
      <c r="B173" s="46"/>
      <c r="C173" s="45"/>
      <c r="D173" s="45"/>
      <c r="E173" s="108"/>
      <c r="F173" s="46"/>
      <c r="G173" s="46"/>
      <c r="H173" s="43"/>
      <c r="I173" s="46"/>
      <c r="J173" s="43"/>
      <c r="K173" s="46"/>
      <c r="L173" s="46"/>
      <c r="M173" s="43"/>
      <c r="N173" s="43"/>
      <c r="O173" s="46"/>
      <c r="P173" s="43"/>
      <c r="Q173" s="57"/>
      <c r="R173" s="57"/>
      <c r="S173" s="49"/>
      <c r="T173" s="49"/>
      <c r="U173" s="49"/>
      <c r="V173" s="49"/>
      <c r="W173" s="49"/>
      <c r="X173" s="49"/>
      <c r="Y173" s="49"/>
      <c r="Z173" s="49"/>
      <c r="AA173" s="49"/>
      <c r="AB173" s="49"/>
      <c r="AC173" s="49"/>
      <c r="AD173" s="49"/>
    </row>
    <row r="174">
      <c r="A174" s="46"/>
      <c r="B174" s="46"/>
      <c r="C174" s="45"/>
      <c r="D174" s="45"/>
      <c r="E174" s="46"/>
      <c r="F174" s="46"/>
      <c r="G174" s="46"/>
      <c r="H174" s="43"/>
      <c r="I174" s="46"/>
      <c r="J174" s="55"/>
      <c r="K174" s="58"/>
      <c r="L174" s="46"/>
      <c r="M174" s="43"/>
      <c r="N174" s="43"/>
      <c r="O174" s="43"/>
      <c r="P174" s="43"/>
      <c r="Q174" s="57"/>
      <c r="R174" s="57"/>
      <c r="S174" s="49"/>
      <c r="T174" s="49"/>
      <c r="U174" s="49"/>
      <c r="V174" s="49"/>
      <c r="W174" s="49"/>
      <c r="X174" s="49"/>
      <c r="Y174" s="49"/>
      <c r="Z174" s="49"/>
      <c r="AA174" s="49"/>
      <c r="AB174" s="49"/>
      <c r="AC174" s="49"/>
      <c r="AD174" s="49"/>
    </row>
    <row r="175">
      <c r="A175" s="46"/>
      <c r="B175" s="46"/>
      <c r="C175" s="44"/>
      <c r="D175" s="44"/>
      <c r="E175" s="108"/>
      <c r="F175" s="46"/>
      <c r="G175" s="46"/>
      <c r="H175" s="43"/>
      <c r="I175" s="46"/>
      <c r="J175" s="43"/>
      <c r="K175" s="46"/>
      <c r="L175" s="46"/>
      <c r="M175" s="43"/>
      <c r="N175" s="48"/>
      <c r="O175" s="46"/>
      <c r="P175" s="43"/>
      <c r="Q175" s="57"/>
      <c r="R175" s="57"/>
      <c r="S175" s="49"/>
      <c r="T175" s="49"/>
      <c r="U175" s="49"/>
      <c r="V175" s="49"/>
      <c r="W175" s="49"/>
      <c r="X175" s="49"/>
      <c r="Y175" s="49"/>
      <c r="Z175" s="49"/>
      <c r="AA175" s="49"/>
      <c r="AB175" s="49"/>
      <c r="AC175" s="49"/>
      <c r="AD175" s="49"/>
    </row>
    <row r="176">
      <c r="A176" s="46"/>
      <c r="B176" s="46"/>
      <c r="C176" s="45"/>
      <c r="D176" s="45"/>
      <c r="E176" s="108"/>
      <c r="F176" s="46"/>
      <c r="G176" s="46"/>
      <c r="H176" s="48"/>
      <c r="I176" s="57"/>
      <c r="J176" s="48"/>
      <c r="K176" s="57"/>
      <c r="L176" s="57"/>
      <c r="M176" s="48"/>
      <c r="N176" s="48"/>
      <c r="O176" s="48"/>
      <c r="P176" s="48"/>
      <c r="Q176" s="57"/>
      <c r="R176" s="57"/>
      <c r="S176" s="49"/>
      <c r="T176" s="49"/>
      <c r="U176" s="49"/>
      <c r="V176" s="49"/>
      <c r="W176" s="49"/>
      <c r="X176" s="49"/>
      <c r="Y176" s="49"/>
      <c r="Z176" s="49"/>
      <c r="AA176" s="49"/>
      <c r="AB176" s="49"/>
      <c r="AC176" s="49"/>
      <c r="AD176" s="49"/>
    </row>
    <row r="177">
      <c r="A177" s="46"/>
      <c r="B177" s="46"/>
      <c r="C177" s="45"/>
      <c r="D177" s="45"/>
      <c r="E177" s="108"/>
      <c r="F177" s="46"/>
      <c r="G177" s="46"/>
      <c r="H177" s="48"/>
      <c r="I177" s="57"/>
      <c r="J177" s="43"/>
      <c r="K177" s="46"/>
      <c r="L177" s="46"/>
      <c r="M177" s="48"/>
      <c r="N177" s="48"/>
      <c r="O177" s="43"/>
      <c r="P177" s="43"/>
      <c r="Q177" s="57"/>
      <c r="R177" s="57"/>
      <c r="S177" s="49"/>
      <c r="T177" s="49"/>
      <c r="U177" s="49"/>
      <c r="V177" s="49"/>
      <c r="W177" s="49"/>
      <c r="X177" s="49"/>
      <c r="Y177" s="49"/>
      <c r="Z177" s="49"/>
      <c r="AA177" s="49"/>
      <c r="AB177" s="49"/>
      <c r="AC177" s="49"/>
      <c r="AD177" s="49"/>
    </row>
    <row r="178">
      <c r="A178" s="46"/>
      <c r="B178" s="46"/>
      <c r="C178" s="45"/>
      <c r="D178" s="45"/>
      <c r="E178" s="108"/>
      <c r="F178" s="46"/>
      <c r="G178" s="46"/>
      <c r="H178" s="43"/>
      <c r="I178" s="46"/>
      <c r="J178" s="43"/>
      <c r="K178" s="46"/>
      <c r="L178" s="46"/>
      <c r="M178" s="48"/>
      <c r="N178" s="48"/>
      <c r="O178" s="43"/>
      <c r="P178" s="43"/>
      <c r="Q178" s="57"/>
      <c r="R178" s="57"/>
      <c r="S178" s="49"/>
      <c r="T178" s="49"/>
      <c r="U178" s="49"/>
      <c r="V178" s="49"/>
      <c r="W178" s="49"/>
      <c r="X178" s="49"/>
      <c r="Y178" s="49"/>
      <c r="Z178" s="49"/>
      <c r="AA178" s="49"/>
      <c r="AB178" s="49"/>
      <c r="AC178" s="49"/>
      <c r="AD178" s="49"/>
    </row>
    <row r="179">
      <c r="A179" s="46"/>
      <c r="B179" s="46"/>
      <c r="C179" s="45"/>
      <c r="D179" s="45"/>
      <c r="E179" s="108"/>
      <c r="F179" s="46"/>
      <c r="G179" s="46"/>
      <c r="H179" s="48"/>
      <c r="I179" s="57"/>
      <c r="J179" s="48"/>
      <c r="K179" s="57"/>
      <c r="L179" s="57"/>
      <c r="M179" s="48"/>
      <c r="N179" s="48"/>
      <c r="O179" s="48"/>
      <c r="P179" s="48"/>
      <c r="Q179" s="57"/>
      <c r="R179" s="57"/>
      <c r="S179" s="49"/>
      <c r="T179" s="49"/>
      <c r="U179" s="49"/>
      <c r="V179" s="49"/>
      <c r="W179" s="49"/>
      <c r="X179" s="49"/>
      <c r="Y179" s="49"/>
      <c r="Z179" s="49"/>
      <c r="AA179" s="49"/>
      <c r="AB179" s="49"/>
      <c r="AC179" s="49"/>
      <c r="AD179" s="49"/>
    </row>
    <row r="180">
      <c r="A180" s="46"/>
      <c r="B180" s="46"/>
      <c r="C180" s="45"/>
      <c r="D180" s="45"/>
      <c r="E180" s="108"/>
      <c r="F180" s="46"/>
      <c r="G180" s="46"/>
      <c r="H180" s="48"/>
      <c r="I180" s="57"/>
      <c r="J180" s="43"/>
      <c r="K180" s="46"/>
      <c r="L180" s="46"/>
      <c r="M180" s="48"/>
      <c r="N180" s="48"/>
      <c r="O180" s="43"/>
      <c r="P180" s="43"/>
      <c r="Q180" s="57"/>
      <c r="R180" s="57"/>
      <c r="S180" s="49"/>
      <c r="T180" s="49"/>
      <c r="U180" s="49"/>
      <c r="V180" s="49"/>
      <c r="W180" s="49"/>
      <c r="X180" s="49"/>
      <c r="Y180" s="49"/>
      <c r="Z180" s="49"/>
      <c r="AA180" s="49"/>
      <c r="AB180" s="49"/>
      <c r="AC180" s="49"/>
      <c r="AD180" s="49"/>
    </row>
    <row r="181">
      <c r="A181" s="46"/>
      <c r="B181" s="46"/>
      <c r="C181" s="45"/>
      <c r="D181" s="45"/>
      <c r="E181" s="108"/>
      <c r="F181" s="46"/>
      <c r="G181" s="46"/>
      <c r="H181" s="43"/>
      <c r="I181" s="46"/>
      <c r="J181" s="43"/>
      <c r="K181" s="46"/>
      <c r="L181" s="46"/>
      <c r="M181" s="43"/>
      <c r="N181" s="43"/>
      <c r="O181" s="43"/>
      <c r="P181" s="43"/>
      <c r="Q181" s="57"/>
      <c r="R181" s="57"/>
      <c r="S181" s="49"/>
      <c r="T181" s="49"/>
      <c r="U181" s="49"/>
      <c r="V181" s="49"/>
      <c r="W181" s="49"/>
      <c r="X181" s="49"/>
      <c r="Y181" s="49"/>
      <c r="Z181" s="49"/>
      <c r="AA181" s="49"/>
      <c r="AB181" s="49"/>
      <c r="AC181" s="49"/>
      <c r="AD181" s="49"/>
    </row>
    <row r="182">
      <c r="A182" s="46"/>
      <c r="B182" s="46"/>
      <c r="C182" s="45"/>
      <c r="D182" s="45"/>
      <c r="E182" s="46"/>
      <c r="F182" s="46"/>
      <c r="G182" s="46"/>
      <c r="H182" s="43"/>
      <c r="I182" s="46"/>
      <c r="J182" s="43"/>
      <c r="K182" s="46"/>
      <c r="L182" s="46"/>
      <c r="M182" s="48"/>
      <c r="N182" s="48"/>
      <c r="O182" s="43"/>
      <c r="P182" s="43"/>
      <c r="Q182" s="57"/>
      <c r="R182" s="57"/>
      <c r="S182" s="49"/>
      <c r="T182" s="49"/>
      <c r="U182" s="49"/>
      <c r="V182" s="49"/>
      <c r="W182" s="49"/>
      <c r="X182" s="49"/>
      <c r="Y182" s="49"/>
      <c r="Z182" s="49"/>
      <c r="AA182" s="49"/>
      <c r="AB182" s="49"/>
      <c r="AC182" s="49"/>
      <c r="AD182" s="49"/>
    </row>
    <row r="183">
      <c r="A183" s="46"/>
      <c r="B183" s="46"/>
      <c r="C183" s="57"/>
      <c r="D183" s="45"/>
      <c r="E183" s="46"/>
      <c r="F183" s="46"/>
      <c r="G183" s="46"/>
      <c r="H183" s="43"/>
      <c r="I183" s="46"/>
      <c r="J183" s="43"/>
      <c r="K183" s="46"/>
      <c r="L183" s="46"/>
      <c r="M183" s="48"/>
      <c r="N183" s="43"/>
      <c r="O183" s="43"/>
      <c r="P183" s="43"/>
      <c r="Q183" s="57"/>
      <c r="R183" s="57"/>
      <c r="S183" s="49"/>
      <c r="T183" s="49"/>
      <c r="U183" s="49"/>
      <c r="V183" s="49"/>
      <c r="W183" s="49"/>
      <c r="X183" s="49"/>
      <c r="Y183" s="49"/>
      <c r="Z183" s="49"/>
      <c r="AA183" s="49"/>
      <c r="AB183" s="49"/>
      <c r="AC183" s="49"/>
      <c r="AD183" s="49"/>
    </row>
    <row r="184">
      <c r="A184" s="46"/>
      <c r="B184" s="46"/>
      <c r="C184" s="57"/>
      <c r="D184" s="45"/>
      <c r="E184" s="108"/>
      <c r="F184" s="46"/>
      <c r="G184" s="46"/>
      <c r="H184" s="43"/>
      <c r="I184" s="46"/>
      <c r="J184" s="48"/>
      <c r="K184" s="46"/>
      <c r="L184" s="46"/>
      <c r="M184" s="43"/>
      <c r="N184" s="43"/>
      <c r="O184" s="47"/>
      <c r="P184" s="43"/>
      <c r="Q184" s="57"/>
      <c r="R184" s="57"/>
      <c r="S184" s="49"/>
      <c r="T184" s="49"/>
      <c r="U184" s="49"/>
      <c r="V184" s="49"/>
      <c r="W184" s="49"/>
      <c r="X184" s="49"/>
      <c r="Y184" s="49"/>
      <c r="Z184" s="49"/>
      <c r="AA184" s="49"/>
      <c r="AB184" s="49"/>
      <c r="AC184" s="49"/>
      <c r="AD184" s="49"/>
    </row>
    <row r="185">
      <c r="A185" s="46"/>
      <c r="B185" s="46"/>
      <c r="C185" s="45"/>
      <c r="D185" s="45"/>
      <c r="E185" s="108"/>
      <c r="F185" s="46"/>
      <c r="G185" s="46"/>
      <c r="H185" s="43"/>
      <c r="I185" s="46"/>
      <c r="J185" s="48"/>
      <c r="K185" s="46"/>
      <c r="L185" s="46"/>
      <c r="M185" s="43"/>
      <c r="N185" s="43"/>
      <c r="O185" s="47"/>
      <c r="P185" s="43"/>
      <c r="Q185" s="57"/>
      <c r="R185" s="57"/>
      <c r="S185" s="49"/>
      <c r="T185" s="49"/>
      <c r="U185" s="49"/>
      <c r="V185" s="49"/>
      <c r="W185" s="49"/>
      <c r="X185" s="49"/>
      <c r="Y185" s="49"/>
      <c r="Z185" s="49"/>
      <c r="AA185" s="49"/>
      <c r="AB185" s="49"/>
      <c r="AC185" s="49"/>
      <c r="AD185" s="49"/>
    </row>
    <row r="186">
      <c r="A186" s="46"/>
      <c r="B186" s="46"/>
      <c r="C186" s="146"/>
      <c r="D186" s="146"/>
      <c r="E186" s="108"/>
      <c r="F186" s="46"/>
      <c r="G186" s="46"/>
      <c r="H186" s="48"/>
      <c r="I186" s="58"/>
      <c r="J186" s="55"/>
      <c r="K186" s="58"/>
      <c r="L186" s="46"/>
      <c r="M186" s="48"/>
      <c r="N186" s="48"/>
      <c r="O186" s="48"/>
      <c r="P186" s="43"/>
      <c r="Q186" s="57"/>
      <c r="R186" s="57"/>
      <c r="S186" s="49"/>
      <c r="T186" s="49"/>
      <c r="U186" s="49"/>
      <c r="V186" s="49"/>
      <c r="W186" s="49"/>
      <c r="X186" s="49"/>
      <c r="Y186" s="49"/>
      <c r="Z186" s="49"/>
      <c r="AA186" s="49"/>
      <c r="AB186" s="49"/>
      <c r="AC186" s="49"/>
      <c r="AD186" s="49"/>
    </row>
    <row r="187">
      <c r="A187" s="46"/>
      <c r="B187" s="46"/>
      <c r="C187" s="146"/>
      <c r="D187" s="146"/>
      <c r="E187" s="108"/>
      <c r="F187" s="46"/>
      <c r="G187" s="46"/>
      <c r="H187" s="48"/>
      <c r="I187" s="58"/>
      <c r="J187" s="55"/>
      <c r="K187" s="58"/>
      <c r="L187" s="46"/>
      <c r="M187" s="48"/>
      <c r="N187" s="43"/>
      <c r="O187" s="43"/>
      <c r="P187" s="43"/>
      <c r="Q187" s="57"/>
      <c r="R187" s="57"/>
      <c r="S187" s="49"/>
      <c r="T187" s="49"/>
      <c r="U187" s="49"/>
      <c r="V187" s="49"/>
      <c r="W187" s="49"/>
      <c r="X187" s="49"/>
      <c r="Y187" s="49"/>
      <c r="Z187" s="49"/>
      <c r="AA187" s="49"/>
      <c r="AB187" s="49"/>
      <c r="AC187" s="49"/>
      <c r="AD187" s="49"/>
    </row>
    <row r="188">
      <c r="A188" s="46"/>
      <c r="B188" s="46"/>
      <c r="C188" s="146"/>
      <c r="D188" s="146"/>
      <c r="E188" s="108"/>
      <c r="F188" s="46"/>
      <c r="G188" s="46"/>
      <c r="H188" s="48"/>
      <c r="I188" s="46"/>
      <c r="J188" s="43"/>
      <c r="K188" s="46"/>
      <c r="L188" s="46"/>
      <c r="M188" s="43"/>
      <c r="N188" s="43"/>
      <c r="O188" s="47"/>
      <c r="P188" s="43"/>
      <c r="Q188" s="57"/>
      <c r="R188" s="57"/>
      <c r="S188" s="49"/>
      <c r="T188" s="49"/>
      <c r="U188" s="49"/>
      <c r="V188" s="49"/>
      <c r="W188" s="49"/>
      <c r="X188" s="49"/>
      <c r="Y188" s="49"/>
      <c r="Z188" s="49"/>
      <c r="AA188" s="49"/>
      <c r="AB188" s="49"/>
      <c r="AC188" s="49"/>
      <c r="AD188" s="49"/>
    </row>
    <row r="189">
      <c r="A189" s="46"/>
      <c r="B189" s="46"/>
      <c r="C189" s="146"/>
      <c r="D189" s="146"/>
      <c r="E189" s="108"/>
      <c r="F189" s="46"/>
      <c r="G189" s="46"/>
      <c r="H189" s="48"/>
      <c r="I189" s="46"/>
      <c r="J189" s="43"/>
      <c r="K189" s="46"/>
      <c r="L189" s="46"/>
      <c r="M189" s="43"/>
      <c r="N189" s="43"/>
      <c r="O189" s="47"/>
      <c r="P189" s="43"/>
      <c r="Q189" s="57"/>
      <c r="R189" s="57"/>
      <c r="S189" s="49"/>
      <c r="T189" s="49"/>
      <c r="U189" s="49"/>
      <c r="V189" s="49"/>
      <c r="W189" s="49"/>
      <c r="X189" s="49"/>
      <c r="Y189" s="49"/>
      <c r="Z189" s="49"/>
      <c r="AA189" s="49"/>
      <c r="AB189" s="49"/>
      <c r="AC189" s="49"/>
      <c r="AD189" s="49"/>
    </row>
    <row r="190">
      <c r="A190" s="99"/>
      <c r="B190" s="99"/>
      <c r="C190" s="146"/>
      <c r="D190" s="146"/>
      <c r="E190" s="99"/>
      <c r="F190" s="99"/>
      <c r="G190" s="57"/>
      <c r="H190" s="48"/>
      <c r="I190" s="57"/>
      <c r="J190" s="48"/>
      <c r="K190" s="57"/>
      <c r="L190" s="57"/>
      <c r="M190" s="48"/>
      <c r="N190" s="48"/>
      <c r="O190" s="48"/>
      <c r="P190" s="48"/>
      <c r="Q190" s="57"/>
      <c r="R190" s="57"/>
      <c r="S190" s="49"/>
      <c r="T190" s="49"/>
      <c r="U190" s="49"/>
      <c r="V190" s="49"/>
      <c r="W190" s="49"/>
      <c r="X190" s="49"/>
      <c r="Y190" s="49"/>
      <c r="Z190" s="49"/>
      <c r="AA190" s="49"/>
      <c r="AB190" s="49"/>
      <c r="AC190" s="49"/>
      <c r="AD190" s="49"/>
    </row>
    <row r="191">
      <c r="A191" s="99"/>
      <c r="B191" s="99"/>
      <c r="C191" s="146"/>
      <c r="D191" s="146"/>
      <c r="E191" s="99"/>
      <c r="F191" s="99"/>
      <c r="G191" s="57"/>
      <c r="H191" s="48"/>
      <c r="I191" s="57"/>
      <c r="J191" s="48"/>
      <c r="K191" s="57"/>
      <c r="L191" s="57"/>
      <c r="M191" s="48"/>
      <c r="N191" s="48"/>
      <c r="O191" s="48"/>
      <c r="P191" s="48"/>
      <c r="Q191" s="57"/>
      <c r="R191" s="57"/>
      <c r="S191" s="49"/>
      <c r="T191" s="49"/>
      <c r="U191" s="49"/>
      <c r="V191" s="49"/>
      <c r="W191" s="49"/>
      <c r="X191" s="49"/>
      <c r="Y191" s="49"/>
      <c r="Z191" s="49"/>
      <c r="AA191" s="49"/>
      <c r="AB191" s="49"/>
      <c r="AC191" s="49"/>
      <c r="AD191" s="49"/>
    </row>
    <row r="192">
      <c r="A192" s="99"/>
      <c r="B192" s="99"/>
      <c r="C192" s="146"/>
      <c r="D192" s="146"/>
      <c r="E192" s="99"/>
      <c r="F192" s="99"/>
      <c r="G192" s="57"/>
      <c r="H192" s="48"/>
      <c r="I192" s="57"/>
      <c r="J192" s="48"/>
      <c r="K192" s="57"/>
      <c r="L192" s="57"/>
      <c r="M192" s="48"/>
      <c r="N192" s="48"/>
      <c r="O192" s="48"/>
      <c r="P192" s="48"/>
      <c r="Q192" s="57"/>
      <c r="R192" s="57"/>
      <c r="S192" s="49"/>
      <c r="T192" s="49"/>
      <c r="U192" s="49"/>
      <c r="V192" s="49"/>
      <c r="W192" s="49"/>
      <c r="X192" s="49"/>
      <c r="Y192" s="49"/>
      <c r="Z192" s="49"/>
      <c r="AA192" s="49"/>
      <c r="AB192" s="49"/>
      <c r="AC192" s="49"/>
      <c r="AD192" s="49"/>
    </row>
    <row r="193">
      <c r="A193" s="99"/>
      <c r="B193" s="99"/>
      <c r="C193" s="146"/>
      <c r="D193" s="146"/>
      <c r="E193" s="99"/>
      <c r="F193" s="99"/>
      <c r="G193" s="57"/>
      <c r="H193" s="48"/>
      <c r="I193" s="57"/>
      <c r="J193" s="48"/>
      <c r="K193" s="57"/>
      <c r="L193" s="57"/>
      <c r="M193" s="48"/>
      <c r="N193" s="48"/>
      <c r="O193" s="48"/>
      <c r="P193" s="48"/>
      <c r="Q193" s="57"/>
      <c r="R193" s="57"/>
      <c r="S193" s="49"/>
      <c r="T193" s="49"/>
      <c r="U193" s="49"/>
      <c r="V193" s="49"/>
      <c r="W193" s="49"/>
      <c r="X193" s="49"/>
      <c r="Y193" s="49"/>
      <c r="Z193" s="49"/>
      <c r="AA193" s="49"/>
      <c r="AB193" s="49"/>
      <c r="AC193" s="49"/>
      <c r="AD193" s="49"/>
    </row>
    <row r="194">
      <c r="A194" s="99"/>
      <c r="B194" s="46"/>
      <c r="C194" s="146"/>
      <c r="D194" s="146"/>
      <c r="E194" s="99"/>
      <c r="F194" s="99"/>
      <c r="G194" s="57"/>
      <c r="H194" s="43"/>
      <c r="I194" s="46"/>
      <c r="J194" s="43"/>
      <c r="K194" s="46"/>
      <c r="L194" s="46"/>
      <c r="M194" s="43"/>
      <c r="N194" s="46"/>
      <c r="O194" s="46"/>
      <c r="P194" s="47"/>
      <c r="Q194" s="57"/>
      <c r="R194" s="57"/>
      <c r="S194" s="49"/>
      <c r="T194" s="49"/>
      <c r="U194" s="49"/>
      <c r="V194" s="49"/>
      <c r="W194" s="49"/>
      <c r="X194" s="49"/>
      <c r="Y194" s="49"/>
      <c r="Z194" s="49"/>
      <c r="AA194" s="49"/>
      <c r="AB194" s="49"/>
      <c r="AC194" s="49"/>
      <c r="AD194" s="49"/>
    </row>
    <row r="195">
      <c r="A195" s="99"/>
      <c r="B195" s="99"/>
      <c r="C195" s="146"/>
      <c r="D195" s="146"/>
      <c r="E195" s="99"/>
      <c r="F195" s="57"/>
      <c r="G195" s="57"/>
      <c r="H195" s="48"/>
      <c r="I195" s="57"/>
      <c r="J195" s="48"/>
      <c r="K195" s="57"/>
      <c r="L195" s="57"/>
      <c r="M195" s="48"/>
      <c r="N195" s="48"/>
      <c r="O195" s="48"/>
      <c r="P195" s="48"/>
      <c r="Q195" s="57"/>
      <c r="R195" s="57"/>
      <c r="S195" s="49"/>
      <c r="T195" s="49"/>
      <c r="U195" s="49"/>
      <c r="V195" s="49"/>
      <c r="W195" s="49"/>
      <c r="X195" s="49"/>
      <c r="Y195" s="49"/>
      <c r="Z195" s="49"/>
      <c r="AA195" s="49"/>
      <c r="AB195" s="49"/>
      <c r="AC195" s="49"/>
      <c r="AD195" s="49"/>
    </row>
    <row r="196">
      <c r="A196" s="99"/>
      <c r="B196" s="99"/>
      <c r="C196" s="146"/>
      <c r="D196" s="146"/>
      <c r="E196" s="99"/>
      <c r="F196" s="99"/>
      <c r="G196" s="99"/>
      <c r="H196" s="124"/>
      <c r="I196" s="99"/>
      <c r="J196" s="124"/>
      <c r="K196" s="99"/>
      <c r="L196" s="99"/>
      <c r="M196" s="124"/>
      <c r="N196" s="124"/>
      <c r="O196" s="124"/>
      <c r="P196" s="124"/>
      <c r="Q196" s="57"/>
      <c r="R196" s="57"/>
      <c r="S196" s="49"/>
      <c r="T196" s="49"/>
      <c r="U196" s="49"/>
      <c r="V196" s="49"/>
      <c r="W196" s="49"/>
      <c r="X196" s="49"/>
      <c r="Y196" s="49"/>
      <c r="Z196" s="49"/>
      <c r="AA196" s="49"/>
      <c r="AB196" s="49"/>
      <c r="AC196" s="49"/>
      <c r="AD196" s="49"/>
    </row>
    <row r="197">
      <c r="A197" s="99"/>
      <c r="B197" s="99"/>
      <c r="C197" s="146"/>
      <c r="D197" s="146"/>
      <c r="E197" s="99"/>
      <c r="F197" s="99"/>
      <c r="G197" s="99"/>
      <c r="H197" s="124"/>
      <c r="I197" s="99"/>
      <c r="J197" s="124"/>
      <c r="K197" s="99"/>
      <c r="L197" s="99"/>
      <c r="M197" s="124"/>
      <c r="N197" s="124"/>
      <c r="O197" s="124"/>
      <c r="P197" s="124"/>
      <c r="Q197" s="57"/>
      <c r="R197" s="57"/>
      <c r="S197" s="49"/>
      <c r="T197" s="49"/>
      <c r="U197" s="49"/>
      <c r="V197" s="49"/>
      <c r="W197" s="49"/>
      <c r="X197" s="49"/>
      <c r="Y197" s="49"/>
      <c r="Z197" s="49"/>
      <c r="AA197" s="49"/>
      <c r="AB197" s="49"/>
      <c r="AC197" s="49"/>
      <c r="AD197" s="49"/>
    </row>
    <row r="198">
      <c r="A198" s="99"/>
      <c r="B198" s="99"/>
      <c r="C198" s="146"/>
      <c r="D198" s="146"/>
      <c r="E198" s="99"/>
      <c r="F198" s="99"/>
      <c r="G198" s="99"/>
      <c r="H198" s="43"/>
      <c r="I198" s="46"/>
      <c r="J198" s="43"/>
      <c r="K198" s="46"/>
      <c r="L198" s="46"/>
      <c r="M198" s="43"/>
      <c r="N198" s="43"/>
      <c r="O198" s="43"/>
      <c r="P198" s="43"/>
      <c r="Q198" s="57"/>
      <c r="R198" s="57"/>
      <c r="S198" s="49"/>
      <c r="T198" s="49"/>
      <c r="U198" s="49"/>
      <c r="V198" s="49"/>
      <c r="W198" s="49"/>
      <c r="X198" s="49"/>
      <c r="Y198" s="49"/>
      <c r="Z198" s="49"/>
      <c r="AA198" s="49"/>
      <c r="AB198" s="49"/>
      <c r="AC198" s="49"/>
      <c r="AD198" s="49"/>
    </row>
    <row r="199">
      <c r="A199" s="99"/>
      <c r="B199" s="99"/>
      <c r="C199" s="146"/>
      <c r="D199" s="146"/>
      <c r="E199" s="99"/>
      <c r="F199" s="99"/>
      <c r="G199" s="99"/>
      <c r="H199" s="124"/>
      <c r="I199" s="99"/>
      <c r="J199" s="124"/>
      <c r="K199" s="99"/>
      <c r="L199" s="99"/>
      <c r="M199" s="124"/>
      <c r="N199" s="124"/>
      <c r="O199" s="124"/>
      <c r="P199" s="124"/>
      <c r="Q199" s="57"/>
      <c r="R199" s="57"/>
      <c r="S199" s="49"/>
      <c r="T199" s="49"/>
      <c r="U199" s="49"/>
      <c r="V199" s="49"/>
      <c r="W199" s="49"/>
      <c r="X199" s="49"/>
      <c r="Y199" s="49"/>
      <c r="Z199" s="49"/>
      <c r="AA199" s="49"/>
      <c r="AB199" s="49"/>
      <c r="AC199" s="49"/>
      <c r="AD199" s="49"/>
    </row>
    <row r="200">
      <c r="A200" s="99"/>
      <c r="B200" s="99"/>
      <c r="C200" s="146"/>
      <c r="D200" s="146"/>
      <c r="E200" s="99"/>
      <c r="F200" s="99"/>
      <c r="G200" s="99"/>
      <c r="H200" s="124"/>
      <c r="I200" s="99"/>
      <c r="J200" s="124"/>
      <c r="K200" s="99"/>
      <c r="L200" s="99"/>
      <c r="M200" s="124"/>
      <c r="N200" s="124"/>
      <c r="O200" s="124"/>
      <c r="P200" s="124"/>
      <c r="Q200" s="57"/>
      <c r="R200" s="57"/>
      <c r="S200" s="49"/>
      <c r="T200" s="49"/>
      <c r="U200" s="49"/>
      <c r="V200" s="49"/>
      <c r="W200" s="49"/>
      <c r="X200" s="49"/>
      <c r="Y200" s="49"/>
      <c r="Z200" s="49"/>
      <c r="AA200" s="49"/>
      <c r="AB200" s="49"/>
      <c r="AC200" s="49"/>
      <c r="AD200" s="49"/>
    </row>
    <row r="201">
      <c r="A201" s="99"/>
      <c r="B201" s="99"/>
      <c r="C201" s="146"/>
      <c r="D201" s="146"/>
      <c r="E201" s="99"/>
      <c r="F201" s="99"/>
      <c r="G201" s="99"/>
      <c r="H201" s="124"/>
      <c r="I201" s="99"/>
      <c r="J201" s="124"/>
      <c r="K201" s="99"/>
      <c r="L201" s="99"/>
      <c r="M201" s="124"/>
      <c r="N201" s="124"/>
      <c r="O201" s="124"/>
      <c r="P201" s="124"/>
      <c r="Q201" s="57"/>
      <c r="R201" s="57"/>
      <c r="S201" s="49"/>
      <c r="T201" s="49"/>
      <c r="U201" s="49"/>
      <c r="V201" s="49"/>
      <c r="W201" s="49"/>
      <c r="X201" s="49"/>
      <c r="Y201" s="49"/>
      <c r="Z201" s="49"/>
      <c r="AA201" s="49"/>
      <c r="AB201" s="49"/>
      <c r="AC201" s="49"/>
      <c r="AD201" s="49"/>
    </row>
    <row r="202">
      <c r="A202" s="99"/>
      <c r="B202" s="99"/>
      <c r="C202" s="146"/>
      <c r="D202" s="146"/>
      <c r="E202" s="99"/>
      <c r="F202" s="99"/>
      <c r="G202" s="99"/>
      <c r="H202" s="43"/>
      <c r="I202" s="46"/>
      <c r="J202" s="43"/>
      <c r="K202" s="46"/>
      <c r="L202" s="46"/>
      <c r="M202" s="43"/>
      <c r="N202" s="43"/>
      <c r="O202" s="43"/>
      <c r="P202" s="47"/>
      <c r="Q202" s="57"/>
      <c r="R202" s="57"/>
      <c r="S202" s="49"/>
      <c r="T202" s="49"/>
      <c r="U202" s="49"/>
      <c r="V202" s="49"/>
      <c r="W202" s="49"/>
      <c r="X202" s="49"/>
      <c r="Y202" s="49"/>
      <c r="Z202" s="49"/>
      <c r="AA202" s="49"/>
      <c r="AB202" s="49"/>
      <c r="AC202" s="49"/>
      <c r="AD202" s="49"/>
    </row>
    <row r="203">
      <c r="A203" s="99"/>
      <c r="B203" s="99"/>
      <c r="C203" s="146"/>
      <c r="D203" s="146"/>
      <c r="E203" s="99"/>
      <c r="F203" s="99"/>
      <c r="G203" s="99"/>
      <c r="H203" s="124"/>
      <c r="I203" s="99"/>
      <c r="J203" s="124"/>
      <c r="K203" s="99"/>
      <c r="L203" s="99"/>
      <c r="M203" s="124"/>
      <c r="N203" s="124"/>
      <c r="O203" s="124"/>
      <c r="P203" s="124"/>
      <c r="Q203" s="57"/>
      <c r="R203" s="57"/>
      <c r="S203" s="49"/>
      <c r="T203" s="49"/>
      <c r="U203" s="49"/>
      <c r="V203" s="49"/>
      <c r="W203" s="49"/>
      <c r="X203" s="49"/>
      <c r="Y203" s="49"/>
      <c r="Z203" s="49"/>
      <c r="AA203" s="49"/>
      <c r="AB203" s="49"/>
      <c r="AC203" s="49"/>
      <c r="AD203" s="49"/>
    </row>
    <row r="204">
      <c r="A204" s="57"/>
      <c r="B204" s="57"/>
      <c r="C204" s="146"/>
      <c r="D204" s="146"/>
      <c r="E204" s="57"/>
      <c r="F204" s="57"/>
      <c r="G204" s="57"/>
      <c r="H204" s="48"/>
      <c r="I204" s="57"/>
      <c r="J204" s="48"/>
      <c r="K204" s="57"/>
      <c r="L204" s="57"/>
      <c r="M204" s="48"/>
      <c r="N204" s="48"/>
      <c r="O204" s="48"/>
      <c r="P204" s="48"/>
      <c r="Q204" s="57"/>
      <c r="R204" s="57"/>
      <c r="S204" s="49"/>
      <c r="T204" s="49"/>
      <c r="U204" s="49"/>
      <c r="V204" s="49"/>
      <c r="W204" s="49"/>
      <c r="X204" s="49"/>
      <c r="Y204" s="49"/>
      <c r="Z204" s="49"/>
      <c r="AA204" s="49"/>
      <c r="AB204" s="49"/>
      <c r="AC204" s="49"/>
      <c r="AD204" s="49"/>
    </row>
    <row r="205">
      <c r="A205" s="57"/>
      <c r="B205" s="57"/>
      <c r="C205" s="146"/>
      <c r="D205" s="146"/>
      <c r="E205" s="57"/>
      <c r="F205" s="57"/>
      <c r="G205" s="57"/>
      <c r="H205" s="43"/>
      <c r="I205" s="46"/>
      <c r="J205" s="43"/>
      <c r="K205" s="46"/>
      <c r="L205" s="46"/>
      <c r="M205" s="43"/>
      <c r="N205" s="43"/>
      <c r="O205" s="43"/>
      <c r="P205" s="47"/>
      <c r="Q205" s="57"/>
      <c r="R205" s="57"/>
      <c r="S205" s="49"/>
      <c r="T205" s="49"/>
      <c r="U205" s="49"/>
      <c r="V205" s="49"/>
      <c r="W205" s="49"/>
      <c r="X205" s="49"/>
      <c r="Y205" s="49"/>
      <c r="Z205" s="49"/>
      <c r="AA205" s="49"/>
      <c r="AB205" s="49"/>
      <c r="AC205" s="49"/>
      <c r="AD205" s="49"/>
    </row>
    <row r="206">
      <c r="A206" s="57"/>
      <c r="B206" s="57"/>
      <c r="C206" s="45"/>
      <c r="D206" s="45"/>
      <c r="E206" s="57"/>
      <c r="F206" s="57"/>
      <c r="G206" s="57"/>
      <c r="H206" s="48"/>
      <c r="I206" s="57"/>
      <c r="J206" s="48"/>
      <c r="K206" s="57"/>
      <c r="L206" s="57"/>
      <c r="M206" s="48"/>
      <c r="N206" s="48"/>
      <c r="O206" s="48"/>
      <c r="P206" s="48"/>
      <c r="Q206" s="57"/>
      <c r="R206" s="57"/>
      <c r="S206" s="49"/>
      <c r="T206" s="49"/>
      <c r="U206" s="49"/>
      <c r="V206" s="49"/>
      <c r="W206" s="49"/>
      <c r="X206" s="49"/>
      <c r="Y206" s="49"/>
      <c r="Z206" s="49"/>
      <c r="AA206" s="49"/>
      <c r="AB206" s="49"/>
      <c r="AC206" s="49"/>
      <c r="AD206" s="49"/>
    </row>
    <row r="207">
      <c r="A207" s="57"/>
      <c r="B207" s="57"/>
      <c r="C207" s="45"/>
      <c r="D207" s="45"/>
      <c r="E207" s="57"/>
      <c r="F207" s="57"/>
      <c r="G207" s="57"/>
      <c r="H207" s="48"/>
      <c r="I207" s="57"/>
      <c r="J207" s="48"/>
      <c r="K207" s="57"/>
      <c r="L207" s="57"/>
      <c r="M207" s="48"/>
      <c r="N207" s="48"/>
      <c r="O207" s="48"/>
      <c r="P207" s="48"/>
      <c r="Q207" s="57"/>
      <c r="R207" s="57"/>
      <c r="S207" s="49"/>
      <c r="T207" s="49"/>
      <c r="U207" s="49"/>
      <c r="V207" s="49"/>
      <c r="W207" s="49"/>
      <c r="X207" s="49"/>
      <c r="Y207" s="49"/>
      <c r="Z207" s="49"/>
      <c r="AA207" s="49"/>
      <c r="AB207" s="49"/>
      <c r="AC207" s="49"/>
      <c r="AD207" s="49"/>
    </row>
    <row r="208">
      <c r="A208" s="57"/>
      <c r="B208" s="57"/>
      <c r="C208" s="45"/>
      <c r="D208" s="45"/>
      <c r="E208" s="57"/>
      <c r="F208" s="57"/>
      <c r="G208" s="57"/>
      <c r="H208" s="48"/>
      <c r="I208" s="57"/>
      <c r="J208" s="48"/>
      <c r="K208" s="57"/>
      <c r="L208" s="57"/>
      <c r="M208" s="48"/>
      <c r="N208" s="48"/>
      <c r="O208" s="48"/>
      <c r="P208" s="48"/>
      <c r="Q208" s="57"/>
      <c r="R208" s="57"/>
      <c r="S208" s="49"/>
      <c r="T208" s="49"/>
      <c r="U208" s="49"/>
      <c r="V208" s="49"/>
      <c r="W208" s="49"/>
      <c r="X208" s="49"/>
      <c r="Y208" s="49"/>
      <c r="Z208" s="49"/>
      <c r="AA208" s="49"/>
      <c r="AB208" s="49"/>
      <c r="AC208" s="49"/>
      <c r="AD208" s="49"/>
    </row>
    <row r="209">
      <c r="A209" s="57"/>
      <c r="B209" s="57"/>
      <c r="C209" s="45"/>
      <c r="D209" s="45"/>
      <c r="E209" s="57"/>
      <c r="F209" s="57"/>
      <c r="G209" s="57"/>
      <c r="H209" s="43"/>
      <c r="I209" s="46"/>
      <c r="J209" s="43"/>
      <c r="K209" s="46"/>
      <c r="L209" s="46"/>
      <c r="M209" s="43"/>
      <c r="N209" s="43"/>
      <c r="O209" s="43"/>
      <c r="P209" s="47"/>
      <c r="Q209" s="57"/>
      <c r="R209" s="57"/>
      <c r="S209" s="49"/>
      <c r="T209" s="49"/>
      <c r="U209" s="49"/>
      <c r="V209" s="49"/>
      <c r="W209" s="49"/>
      <c r="X209" s="49"/>
      <c r="Y209" s="49"/>
      <c r="Z209" s="49"/>
      <c r="AA209" s="49"/>
      <c r="AB209" s="49"/>
      <c r="AC209" s="49"/>
      <c r="AD209" s="49"/>
    </row>
    <row r="210">
      <c r="A210" s="46"/>
      <c r="B210" s="46"/>
      <c r="C210" s="45"/>
      <c r="D210" s="45"/>
      <c r="E210" s="57"/>
      <c r="F210" s="57"/>
      <c r="G210" s="57"/>
      <c r="H210" s="48"/>
      <c r="I210" s="57"/>
      <c r="J210" s="48"/>
      <c r="K210" s="57"/>
      <c r="L210" s="57"/>
      <c r="M210" s="48"/>
      <c r="N210" s="48"/>
      <c r="O210" s="48"/>
      <c r="P210" s="48"/>
      <c r="Q210" s="57"/>
      <c r="R210" s="57"/>
      <c r="S210" s="49"/>
      <c r="T210" s="49"/>
      <c r="U210" s="49"/>
      <c r="V210" s="49"/>
      <c r="W210" s="49"/>
      <c r="X210" s="49"/>
      <c r="Y210" s="49"/>
      <c r="Z210" s="49"/>
      <c r="AA210" s="49"/>
      <c r="AB210" s="49"/>
      <c r="AC210" s="49"/>
      <c r="AD210" s="49"/>
    </row>
    <row r="211">
      <c r="A211" s="46"/>
      <c r="B211" s="46"/>
      <c r="C211" s="45"/>
      <c r="D211" s="45"/>
      <c r="E211" s="46"/>
      <c r="F211" s="46"/>
      <c r="G211" s="46"/>
      <c r="H211" s="43"/>
      <c r="I211" s="57"/>
      <c r="J211" s="43"/>
      <c r="K211" s="46"/>
      <c r="L211" s="46"/>
      <c r="M211" s="48"/>
      <c r="N211" s="48"/>
      <c r="O211" s="48"/>
      <c r="P211" s="43"/>
      <c r="Q211" s="57"/>
      <c r="R211" s="57"/>
      <c r="S211" s="49"/>
      <c r="T211" s="49"/>
      <c r="U211" s="49"/>
      <c r="V211" s="49"/>
      <c r="W211" s="49"/>
      <c r="X211" s="49"/>
      <c r="Y211" s="49"/>
      <c r="Z211" s="49"/>
      <c r="AA211" s="49"/>
      <c r="AB211" s="49"/>
      <c r="AC211" s="49"/>
      <c r="AD211" s="49"/>
    </row>
    <row r="212">
      <c r="A212" s="46"/>
      <c r="B212" s="46"/>
      <c r="C212" s="45"/>
      <c r="D212" s="45"/>
      <c r="E212" s="46"/>
      <c r="F212" s="46"/>
      <c r="G212" s="46"/>
      <c r="H212" s="48"/>
      <c r="I212" s="57"/>
      <c r="J212" s="48"/>
      <c r="K212" s="57"/>
      <c r="L212" s="57"/>
      <c r="M212" s="48"/>
      <c r="N212" s="48"/>
      <c r="O212" s="48"/>
      <c r="P212" s="48"/>
      <c r="Q212" s="57"/>
      <c r="R212" s="57"/>
      <c r="S212" s="49"/>
      <c r="T212" s="49"/>
      <c r="U212" s="49"/>
      <c r="V212" s="49"/>
      <c r="W212" s="49"/>
      <c r="X212" s="49"/>
      <c r="Y212" s="49"/>
      <c r="Z212" s="49"/>
      <c r="AA212" s="49"/>
      <c r="AB212" s="49"/>
      <c r="AC212" s="49"/>
      <c r="AD212" s="49"/>
    </row>
    <row r="213">
      <c r="A213" s="46"/>
      <c r="B213" s="46"/>
      <c r="C213" s="45"/>
      <c r="D213" s="45"/>
      <c r="E213" s="46"/>
      <c r="F213" s="46"/>
      <c r="G213" s="46"/>
      <c r="H213" s="48"/>
      <c r="I213" s="57"/>
      <c r="J213" s="48"/>
      <c r="K213" s="57"/>
      <c r="L213" s="57"/>
      <c r="M213" s="48"/>
      <c r="N213" s="48"/>
      <c r="O213" s="48"/>
      <c r="P213" s="48"/>
      <c r="Q213" s="57"/>
      <c r="R213" s="57"/>
      <c r="S213" s="49"/>
      <c r="T213" s="49"/>
      <c r="U213" s="49"/>
      <c r="V213" s="49"/>
      <c r="W213" s="49"/>
      <c r="X213" s="49"/>
      <c r="Y213" s="49"/>
      <c r="Z213" s="49"/>
      <c r="AA213" s="49"/>
      <c r="AB213" s="49"/>
      <c r="AC213" s="49"/>
      <c r="AD213" s="49"/>
    </row>
    <row r="214">
      <c r="A214" s="46"/>
      <c r="B214" s="46"/>
      <c r="C214" s="45"/>
      <c r="D214" s="45"/>
      <c r="E214" s="46"/>
      <c r="F214" s="46"/>
      <c r="G214" s="46"/>
      <c r="H214" s="48"/>
      <c r="I214" s="57"/>
      <c r="J214" s="48"/>
      <c r="K214" s="57"/>
      <c r="L214" s="57"/>
      <c r="M214" s="48"/>
      <c r="N214" s="48"/>
      <c r="O214" s="48"/>
      <c r="P214" s="48"/>
      <c r="Q214" s="57"/>
      <c r="R214" s="57"/>
      <c r="S214" s="49"/>
      <c r="T214" s="49"/>
      <c r="U214" s="49"/>
      <c r="V214" s="49"/>
      <c r="W214" s="49"/>
      <c r="X214" s="49"/>
      <c r="Y214" s="49"/>
      <c r="Z214" s="49"/>
      <c r="AA214" s="49"/>
      <c r="AB214" s="49"/>
      <c r="AC214" s="49"/>
      <c r="AD214" s="49"/>
    </row>
    <row r="215">
      <c r="A215" s="46"/>
      <c r="B215" s="46"/>
      <c r="C215" s="45"/>
      <c r="D215" s="45"/>
      <c r="E215" s="46"/>
      <c r="F215" s="46"/>
      <c r="G215" s="46"/>
      <c r="H215" s="43"/>
      <c r="I215" s="46"/>
      <c r="J215" s="43"/>
      <c r="K215" s="46"/>
      <c r="L215" s="46"/>
      <c r="M215" s="43"/>
      <c r="N215" s="43"/>
      <c r="O215" s="43"/>
      <c r="P215" s="43"/>
      <c r="Q215" s="57"/>
      <c r="R215" s="57"/>
      <c r="S215" s="49"/>
      <c r="T215" s="49"/>
      <c r="U215" s="49"/>
      <c r="V215" s="49"/>
      <c r="W215" s="49"/>
      <c r="X215" s="49"/>
      <c r="Y215" s="49"/>
      <c r="Z215" s="49"/>
      <c r="AA215" s="49"/>
      <c r="AB215" s="49"/>
      <c r="AC215" s="49"/>
      <c r="AD215" s="49"/>
    </row>
    <row r="216">
      <c r="A216" s="46"/>
      <c r="B216" s="46"/>
      <c r="C216" s="45"/>
      <c r="D216" s="45"/>
      <c r="E216" s="46"/>
      <c r="F216" s="46"/>
      <c r="G216" s="46"/>
      <c r="H216" s="43"/>
      <c r="I216" s="46"/>
      <c r="J216" s="43"/>
      <c r="K216" s="46"/>
      <c r="L216" s="46"/>
      <c r="M216" s="43"/>
      <c r="N216" s="43"/>
      <c r="O216" s="43"/>
      <c r="P216" s="43"/>
      <c r="Q216" s="57"/>
      <c r="R216" s="57"/>
      <c r="S216" s="49"/>
      <c r="T216" s="49"/>
      <c r="U216" s="49"/>
      <c r="V216" s="49"/>
      <c r="W216" s="49"/>
      <c r="X216" s="49"/>
      <c r="Y216" s="49"/>
      <c r="Z216" s="49"/>
      <c r="AA216" s="49"/>
      <c r="AB216" s="49"/>
      <c r="AC216" s="49"/>
      <c r="AD216" s="49"/>
    </row>
    <row r="217">
      <c r="A217" s="46"/>
      <c r="B217" s="46"/>
      <c r="C217" s="45"/>
      <c r="D217" s="45"/>
      <c r="E217" s="46"/>
      <c r="F217" s="46"/>
      <c r="G217" s="46"/>
      <c r="H217" s="43"/>
      <c r="I217" s="46"/>
      <c r="J217" s="43"/>
      <c r="K217" s="46"/>
      <c r="L217" s="46"/>
      <c r="M217" s="48"/>
      <c r="N217" s="48"/>
      <c r="O217" s="48"/>
      <c r="P217" s="43"/>
      <c r="Q217" s="57"/>
      <c r="R217" s="57"/>
      <c r="S217" s="49"/>
      <c r="T217" s="49"/>
      <c r="U217" s="49"/>
      <c r="V217" s="49"/>
      <c r="W217" s="49"/>
      <c r="X217" s="49"/>
      <c r="Y217" s="49"/>
      <c r="Z217" s="49"/>
      <c r="AA217" s="49"/>
      <c r="AB217" s="49"/>
      <c r="AC217" s="49"/>
      <c r="AD217" s="49"/>
    </row>
    <row r="218">
      <c r="A218" s="46"/>
      <c r="B218" s="46"/>
      <c r="C218" s="45"/>
      <c r="D218" s="45"/>
      <c r="E218" s="46"/>
      <c r="F218" s="46"/>
      <c r="G218" s="46"/>
      <c r="H218" s="48"/>
      <c r="I218" s="57"/>
      <c r="J218" s="48"/>
      <c r="K218" s="57"/>
      <c r="L218" s="57"/>
      <c r="M218" s="48"/>
      <c r="N218" s="48"/>
      <c r="O218" s="48"/>
      <c r="P218" s="48"/>
      <c r="Q218" s="57"/>
      <c r="R218" s="57"/>
      <c r="S218" s="49"/>
      <c r="T218" s="49"/>
      <c r="U218" s="49"/>
      <c r="V218" s="49"/>
      <c r="W218" s="49"/>
      <c r="X218" s="49"/>
      <c r="Y218" s="49"/>
      <c r="Z218" s="49"/>
      <c r="AA218" s="49"/>
      <c r="AB218" s="49"/>
      <c r="AC218" s="49"/>
      <c r="AD218" s="49"/>
    </row>
    <row r="219">
      <c r="A219" s="46"/>
      <c r="B219" s="46"/>
      <c r="C219" s="45"/>
      <c r="D219" s="45"/>
      <c r="E219" s="46"/>
      <c r="F219" s="46"/>
      <c r="G219" s="46"/>
      <c r="H219" s="43"/>
      <c r="I219" s="46"/>
      <c r="J219" s="43"/>
      <c r="K219" s="46"/>
      <c r="L219" s="46"/>
      <c r="M219" s="43"/>
      <c r="N219" s="43"/>
      <c r="O219" s="43"/>
      <c r="P219" s="43"/>
      <c r="Q219" s="57"/>
      <c r="R219" s="57"/>
      <c r="S219" s="49"/>
      <c r="T219" s="49"/>
      <c r="U219" s="49"/>
      <c r="V219" s="49"/>
      <c r="W219" s="49"/>
      <c r="X219" s="49"/>
      <c r="Y219" s="49"/>
      <c r="Z219" s="49"/>
      <c r="AA219" s="49"/>
      <c r="AB219" s="49"/>
      <c r="AC219" s="49"/>
      <c r="AD219" s="49"/>
    </row>
    <row r="220">
      <c r="A220" s="46"/>
      <c r="B220" s="46"/>
      <c r="C220" s="45"/>
      <c r="D220" s="45"/>
      <c r="E220" s="108"/>
      <c r="F220" s="46"/>
      <c r="G220" s="46"/>
      <c r="H220" s="43"/>
      <c r="I220" s="46"/>
      <c r="J220" s="43"/>
      <c r="K220" s="46"/>
      <c r="L220" s="46"/>
      <c r="M220" s="48"/>
      <c r="N220" s="48"/>
      <c r="O220" s="43"/>
      <c r="P220" s="43"/>
      <c r="Q220" s="57"/>
      <c r="R220" s="57"/>
      <c r="S220" s="49"/>
      <c r="T220" s="49"/>
      <c r="U220" s="49"/>
      <c r="V220" s="49"/>
      <c r="W220" s="49"/>
      <c r="X220" s="49"/>
      <c r="Y220" s="49"/>
      <c r="Z220" s="49"/>
      <c r="AA220" s="49"/>
      <c r="AB220" s="49"/>
      <c r="AC220" s="49"/>
      <c r="AD220" s="49"/>
    </row>
    <row r="221">
      <c r="A221" s="46"/>
      <c r="B221" s="46"/>
      <c r="C221" s="45"/>
      <c r="D221" s="45"/>
      <c r="E221" s="46"/>
      <c r="F221" s="46"/>
      <c r="G221" s="46"/>
      <c r="H221" s="48"/>
      <c r="I221" s="57"/>
      <c r="J221" s="43"/>
      <c r="K221" s="46"/>
      <c r="L221" s="46"/>
      <c r="M221" s="48"/>
      <c r="N221" s="48"/>
      <c r="O221" s="48"/>
      <c r="P221" s="48"/>
      <c r="Q221" s="57"/>
      <c r="R221" s="57"/>
      <c r="S221" s="49"/>
      <c r="T221" s="49"/>
      <c r="U221" s="49"/>
      <c r="V221" s="49"/>
      <c r="W221" s="49"/>
      <c r="X221" s="49"/>
      <c r="Y221" s="49"/>
      <c r="Z221" s="49"/>
      <c r="AA221" s="49"/>
      <c r="AB221" s="49"/>
      <c r="AC221" s="49"/>
      <c r="AD221" s="49"/>
    </row>
    <row r="222">
      <c r="A222" s="46"/>
      <c r="B222" s="46"/>
      <c r="C222" s="45"/>
      <c r="D222" s="45"/>
      <c r="E222" s="46"/>
      <c r="F222" s="46"/>
      <c r="G222" s="46"/>
      <c r="H222" s="48"/>
      <c r="I222" s="57"/>
      <c r="J222" s="48"/>
      <c r="K222" s="57"/>
      <c r="L222" s="57"/>
      <c r="M222" s="48"/>
      <c r="N222" s="48"/>
      <c r="O222" s="48"/>
      <c r="P222" s="48"/>
      <c r="Q222" s="57"/>
      <c r="R222" s="57"/>
      <c r="S222" s="49"/>
      <c r="T222" s="49"/>
      <c r="U222" s="49"/>
      <c r="V222" s="49"/>
      <c r="W222" s="49"/>
      <c r="X222" s="49"/>
      <c r="Y222" s="49"/>
      <c r="Z222" s="49"/>
      <c r="AA222" s="49"/>
      <c r="AB222" s="49"/>
      <c r="AC222" s="49"/>
      <c r="AD222" s="49"/>
    </row>
    <row r="223">
      <c r="A223" s="46"/>
      <c r="B223" s="46"/>
      <c r="C223" s="45"/>
      <c r="D223" s="45"/>
      <c r="E223" s="46"/>
      <c r="F223" s="46"/>
      <c r="G223" s="46"/>
      <c r="H223" s="48"/>
      <c r="I223" s="57"/>
      <c r="J223" s="48"/>
      <c r="K223" s="57"/>
      <c r="L223" s="57"/>
      <c r="M223" s="48"/>
      <c r="N223" s="48"/>
      <c r="O223" s="48"/>
      <c r="P223" s="48"/>
      <c r="Q223" s="57"/>
      <c r="R223" s="57"/>
      <c r="S223" s="49"/>
      <c r="T223" s="49"/>
      <c r="U223" s="49"/>
      <c r="V223" s="49"/>
      <c r="W223" s="49"/>
      <c r="X223" s="49"/>
      <c r="Y223" s="49"/>
      <c r="Z223" s="49"/>
      <c r="AA223" s="49"/>
      <c r="AB223" s="49"/>
      <c r="AC223" s="49"/>
      <c r="AD223" s="49"/>
    </row>
    <row r="224">
      <c r="A224" s="46"/>
      <c r="B224" s="46"/>
      <c r="C224" s="45"/>
      <c r="D224" s="45"/>
      <c r="E224" s="46"/>
      <c r="F224" s="46"/>
      <c r="G224" s="46"/>
      <c r="H224" s="43"/>
      <c r="I224" s="46"/>
      <c r="J224" s="43"/>
      <c r="K224" s="46"/>
      <c r="L224" s="46"/>
      <c r="M224" s="43"/>
      <c r="N224" s="43"/>
      <c r="O224" s="43"/>
      <c r="P224" s="43"/>
      <c r="Q224" s="57"/>
      <c r="R224" s="57"/>
      <c r="S224" s="49"/>
      <c r="T224" s="49"/>
      <c r="U224" s="49"/>
      <c r="V224" s="49"/>
      <c r="W224" s="49"/>
      <c r="X224" s="49"/>
      <c r="Y224" s="49"/>
      <c r="Z224" s="49"/>
      <c r="AA224" s="49"/>
      <c r="AB224" s="49"/>
      <c r="AC224" s="49"/>
      <c r="AD224" s="49"/>
    </row>
    <row r="225">
      <c r="A225" s="46"/>
      <c r="B225" s="46"/>
      <c r="C225" s="45"/>
      <c r="D225" s="45"/>
      <c r="E225" s="46"/>
      <c r="F225" s="46"/>
      <c r="G225" s="46"/>
      <c r="H225" s="43"/>
      <c r="I225" s="46"/>
      <c r="J225" s="43"/>
      <c r="K225" s="46"/>
      <c r="L225" s="46"/>
      <c r="M225" s="43"/>
      <c r="N225" s="43"/>
      <c r="O225" s="43"/>
      <c r="P225" s="43"/>
      <c r="Q225" s="57"/>
      <c r="R225" s="57"/>
      <c r="S225" s="49"/>
      <c r="T225" s="49"/>
      <c r="U225" s="49"/>
      <c r="V225" s="49"/>
      <c r="W225" s="49"/>
      <c r="X225" s="49"/>
      <c r="Y225" s="49"/>
      <c r="Z225" s="49"/>
      <c r="AA225" s="49"/>
      <c r="AB225" s="49"/>
      <c r="AC225" s="49"/>
      <c r="AD225" s="49"/>
    </row>
    <row r="226">
      <c r="A226" s="46"/>
      <c r="B226" s="46"/>
      <c r="C226" s="45"/>
      <c r="D226" s="45"/>
      <c r="E226" s="46"/>
      <c r="F226" s="46"/>
      <c r="G226" s="46"/>
      <c r="H226" s="43"/>
      <c r="I226" s="46"/>
      <c r="J226" s="43"/>
      <c r="K226" s="46"/>
      <c r="L226" s="46"/>
      <c r="M226" s="43"/>
      <c r="N226" s="43"/>
      <c r="O226" s="43"/>
      <c r="P226" s="48"/>
      <c r="Q226" s="57"/>
      <c r="R226" s="57"/>
      <c r="S226" s="49"/>
      <c r="T226" s="49"/>
      <c r="U226" s="49"/>
      <c r="V226" s="49"/>
      <c r="W226" s="49"/>
      <c r="X226" s="49"/>
      <c r="Y226" s="49"/>
      <c r="Z226" s="49"/>
      <c r="AA226" s="49"/>
      <c r="AB226" s="49"/>
      <c r="AC226" s="49"/>
      <c r="AD226" s="49"/>
    </row>
    <row r="227">
      <c r="A227" s="46"/>
      <c r="B227" s="46"/>
      <c r="C227" s="45"/>
      <c r="D227" s="45"/>
      <c r="E227" s="46"/>
      <c r="F227" s="46"/>
      <c r="G227" s="46"/>
      <c r="H227" s="48"/>
      <c r="I227" s="46"/>
      <c r="J227" s="43"/>
      <c r="K227" s="46"/>
      <c r="L227" s="46"/>
      <c r="M227" s="48"/>
      <c r="N227" s="43"/>
      <c r="O227" s="48"/>
      <c r="P227" s="48"/>
      <c r="Q227" s="57"/>
      <c r="R227" s="57"/>
      <c r="S227" s="49"/>
      <c r="T227" s="49"/>
      <c r="U227" s="49"/>
      <c r="V227" s="49"/>
      <c r="W227" s="49"/>
      <c r="X227" s="49"/>
      <c r="Y227" s="49"/>
      <c r="Z227" s="49"/>
      <c r="AA227" s="49"/>
      <c r="AB227" s="49"/>
      <c r="AC227" s="49"/>
      <c r="AD227" s="49"/>
    </row>
    <row r="228">
      <c r="A228" s="46"/>
      <c r="B228" s="46"/>
      <c r="C228" s="45"/>
      <c r="D228" s="45"/>
      <c r="E228" s="46"/>
      <c r="F228" s="46"/>
      <c r="G228" s="46"/>
      <c r="H228" s="43"/>
      <c r="I228" s="46"/>
      <c r="J228" s="43"/>
      <c r="K228" s="46"/>
      <c r="L228" s="46"/>
      <c r="M228" s="43"/>
      <c r="N228" s="43"/>
      <c r="O228" s="43"/>
      <c r="P228" s="43"/>
      <c r="Q228" s="57"/>
      <c r="R228" s="57"/>
      <c r="S228" s="49"/>
      <c r="T228" s="49"/>
      <c r="U228" s="49"/>
      <c r="V228" s="49"/>
      <c r="W228" s="49"/>
      <c r="X228" s="49"/>
      <c r="Y228" s="49"/>
      <c r="Z228" s="49"/>
      <c r="AA228" s="49"/>
      <c r="AB228" s="49"/>
      <c r="AC228" s="49"/>
      <c r="AD228" s="49"/>
    </row>
    <row r="229">
      <c r="A229" s="46"/>
      <c r="B229" s="46"/>
      <c r="C229" s="45"/>
      <c r="D229" s="45"/>
      <c r="E229" s="46"/>
      <c r="F229" s="46"/>
      <c r="G229" s="46"/>
      <c r="H229" s="43"/>
      <c r="I229" s="46"/>
      <c r="J229" s="43"/>
      <c r="K229" s="46"/>
      <c r="L229" s="46"/>
      <c r="M229" s="43"/>
      <c r="N229" s="48"/>
      <c r="O229" s="43"/>
      <c r="P229" s="43"/>
      <c r="Q229" s="57"/>
      <c r="R229" s="57"/>
      <c r="S229" s="49"/>
      <c r="T229" s="49"/>
      <c r="U229" s="49"/>
      <c r="V229" s="49"/>
      <c r="W229" s="49"/>
      <c r="X229" s="49"/>
      <c r="Y229" s="49"/>
      <c r="Z229" s="49"/>
      <c r="AA229" s="49"/>
      <c r="AB229" s="49"/>
      <c r="AC229" s="49"/>
      <c r="AD229" s="49"/>
    </row>
    <row r="230">
      <c r="A230" s="46"/>
      <c r="B230" s="46"/>
      <c r="C230" s="45"/>
      <c r="D230" s="45"/>
      <c r="E230" s="46"/>
      <c r="F230" s="46"/>
      <c r="G230" s="46"/>
      <c r="H230" s="150"/>
      <c r="I230" s="46"/>
      <c r="J230" s="48"/>
      <c r="K230" s="46"/>
      <c r="L230" s="46"/>
      <c r="M230" s="48"/>
      <c r="N230" s="43"/>
      <c r="O230" s="48"/>
      <c r="P230" s="43"/>
      <c r="Q230" s="57"/>
      <c r="R230" s="57"/>
      <c r="S230" s="49"/>
      <c r="T230" s="49"/>
      <c r="U230" s="49"/>
      <c r="V230" s="49"/>
      <c r="W230" s="49"/>
      <c r="X230" s="49"/>
      <c r="Y230" s="49"/>
      <c r="Z230" s="49"/>
      <c r="AA230" s="49"/>
      <c r="AB230" s="49"/>
      <c r="AC230" s="49"/>
      <c r="AD230" s="49"/>
    </row>
    <row r="231">
      <c r="A231" s="46"/>
      <c r="B231" s="46"/>
      <c r="C231" s="45"/>
      <c r="D231" s="45"/>
      <c r="E231" s="46"/>
      <c r="F231" s="46"/>
      <c r="G231" s="46"/>
      <c r="H231" s="43"/>
      <c r="I231" s="43"/>
      <c r="J231" s="49"/>
      <c r="K231" s="46"/>
      <c r="L231" s="46"/>
      <c r="M231" s="48"/>
      <c r="N231" s="43"/>
      <c r="O231" s="43"/>
      <c r="P231" s="46"/>
      <c r="Q231" s="57"/>
      <c r="R231" s="57"/>
      <c r="S231" s="49"/>
      <c r="T231" s="49"/>
      <c r="U231" s="49"/>
      <c r="V231" s="49"/>
      <c r="W231" s="49"/>
      <c r="X231" s="49"/>
      <c r="Y231" s="49"/>
      <c r="Z231" s="49"/>
      <c r="AA231" s="49"/>
      <c r="AB231" s="49"/>
      <c r="AC231" s="49"/>
      <c r="AD231" s="49"/>
    </row>
    <row r="232">
      <c r="A232" s="46"/>
      <c r="B232" s="46"/>
      <c r="C232" s="45"/>
      <c r="D232" s="45"/>
      <c r="E232" s="46"/>
      <c r="F232" s="46"/>
      <c r="G232" s="46"/>
      <c r="H232" s="43"/>
      <c r="I232" s="57"/>
      <c r="J232" s="43"/>
      <c r="K232" s="46"/>
      <c r="L232" s="46"/>
      <c r="M232" s="48"/>
      <c r="N232" s="48"/>
      <c r="O232" s="43"/>
      <c r="P232" s="43"/>
      <c r="Q232" s="57"/>
      <c r="R232" s="57"/>
      <c r="S232" s="49"/>
      <c r="T232" s="49"/>
      <c r="U232" s="49"/>
      <c r="V232" s="49"/>
      <c r="W232" s="49"/>
      <c r="X232" s="49"/>
      <c r="Y232" s="49"/>
      <c r="Z232" s="49"/>
      <c r="AA232" s="49"/>
      <c r="AB232" s="49"/>
      <c r="AC232" s="49"/>
      <c r="AD232" s="49"/>
    </row>
    <row r="233">
      <c r="A233" s="46"/>
      <c r="B233" s="46"/>
      <c r="C233" s="45"/>
      <c r="D233" s="45"/>
      <c r="E233" s="46"/>
      <c r="F233" s="46"/>
      <c r="G233" s="46"/>
      <c r="H233" s="43"/>
      <c r="I233" s="57"/>
      <c r="J233" s="43"/>
      <c r="K233" s="46"/>
      <c r="L233" s="46"/>
      <c r="M233" s="48"/>
      <c r="N233" s="48"/>
      <c r="O233" s="43"/>
      <c r="P233" s="43"/>
      <c r="Q233" s="57"/>
      <c r="R233" s="57"/>
      <c r="S233" s="49"/>
      <c r="T233" s="49"/>
      <c r="U233" s="49"/>
      <c r="V233" s="49"/>
      <c r="W233" s="49"/>
      <c r="X233" s="49"/>
      <c r="Y233" s="49"/>
      <c r="Z233" s="49"/>
      <c r="AA233" s="49"/>
      <c r="AB233" s="49"/>
      <c r="AC233" s="49"/>
      <c r="AD233" s="49"/>
    </row>
    <row r="234">
      <c r="A234" s="49"/>
      <c r="B234" s="49"/>
      <c r="C234" s="45"/>
      <c r="D234" s="45"/>
      <c r="E234" s="49"/>
      <c r="F234" s="49"/>
      <c r="G234" s="49"/>
      <c r="H234" s="43"/>
      <c r="I234" s="49"/>
      <c r="J234" s="69"/>
      <c r="K234" s="49"/>
      <c r="L234" s="49"/>
      <c r="M234" s="69"/>
      <c r="N234" s="42"/>
      <c r="O234" s="69"/>
      <c r="P234" s="42"/>
      <c r="Q234" s="49"/>
      <c r="R234" s="49"/>
      <c r="S234" s="49"/>
      <c r="T234" s="49"/>
      <c r="U234" s="49"/>
      <c r="V234" s="49"/>
      <c r="W234" s="49"/>
      <c r="X234" s="49"/>
      <c r="Y234" s="49"/>
      <c r="Z234" s="49"/>
      <c r="AA234" s="49"/>
      <c r="AB234" s="49"/>
      <c r="AC234" s="49"/>
      <c r="AD234" s="49"/>
    </row>
    <row r="235">
      <c r="A235" s="49"/>
      <c r="B235" s="49"/>
      <c r="C235" s="45"/>
      <c r="D235" s="45"/>
      <c r="E235" s="49"/>
      <c r="F235" s="49"/>
      <c r="G235" s="49"/>
      <c r="H235" s="43"/>
      <c r="I235" s="49"/>
      <c r="J235" s="69"/>
      <c r="K235" s="49"/>
      <c r="L235" s="49"/>
      <c r="M235" s="69"/>
      <c r="N235" s="43"/>
      <c r="O235" s="43"/>
      <c r="P235" s="43"/>
      <c r="Q235" s="49"/>
      <c r="R235" s="49"/>
      <c r="S235" s="49"/>
      <c r="T235" s="49"/>
      <c r="U235" s="49"/>
      <c r="V235" s="49"/>
      <c r="W235" s="49"/>
      <c r="X235" s="49"/>
      <c r="Y235" s="49"/>
      <c r="Z235" s="49"/>
      <c r="AA235" s="49"/>
      <c r="AB235" s="49"/>
      <c r="AC235" s="49"/>
      <c r="AD235" s="49"/>
    </row>
    <row r="236">
      <c r="A236" s="49"/>
      <c r="B236" s="49"/>
      <c r="C236" s="45"/>
      <c r="D236" s="45"/>
      <c r="E236" s="49"/>
      <c r="F236" s="49"/>
      <c r="G236" s="49"/>
      <c r="H236" s="43"/>
      <c r="I236" s="49"/>
      <c r="J236" s="69"/>
      <c r="K236" s="49"/>
      <c r="L236" s="49"/>
      <c r="M236" s="69"/>
      <c r="N236" s="69"/>
      <c r="O236" s="69"/>
      <c r="P236" s="69"/>
      <c r="Q236" s="49"/>
      <c r="R236" s="49"/>
      <c r="S236" s="49"/>
      <c r="T236" s="49"/>
      <c r="U236" s="49"/>
      <c r="V236" s="49"/>
      <c r="W236" s="49"/>
      <c r="X236" s="49"/>
      <c r="Y236" s="49"/>
      <c r="Z236" s="49"/>
      <c r="AA236" s="49"/>
      <c r="AB236" s="49"/>
      <c r="AC236" s="49"/>
      <c r="AD236" s="49"/>
    </row>
    <row r="237">
      <c r="A237" s="49"/>
      <c r="B237" s="49"/>
      <c r="C237" s="45"/>
      <c r="D237" s="45"/>
      <c r="E237" s="49"/>
      <c r="F237" s="49"/>
      <c r="G237" s="49"/>
      <c r="H237" s="43"/>
      <c r="I237" s="49"/>
      <c r="J237" s="69"/>
      <c r="K237" s="49"/>
      <c r="L237" s="49"/>
      <c r="M237" s="69"/>
      <c r="N237" s="43"/>
      <c r="O237" s="43"/>
      <c r="P237" s="43"/>
      <c r="Q237" s="49"/>
      <c r="R237" s="49"/>
      <c r="S237" s="49"/>
      <c r="T237" s="49"/>
      <c r="U237" s="49"/>
      <c r="V237" s="49"/>
      <c r="W237" s="49"/>
      <c r="X237" s="49"/>
      <c r="Y237" s="49"/>
      <c r="Z237" s="49"/>
      <c r="AA237" s="49"/>
      <c r="AB237" s="49"/>
      <c r="AC237" s="49"/>
      <c r="AD237" s="49"/>
    </row>
    <row r="238">
      <c r="A238" s="49"/>
      <c r="B238" s="49"/>
      <c r="C238" s="146"/>
      <c r="D238" s="146"/>
      <c r="E238" s="49"/>
      <c r="F238" s="49"/>
      <c r="G238" s="49"/>
      <c r="H238" s="43"/>
      <c r="I238" s="49"/>
      <c r="J238" s="69"/>
      <c r="K238" s="49"/>
      <c r="L238" s="49"/>
      <c r="M238" s="69"/>
      <c r="N238" s="69"/>
      <c r="O238" s="69"/>
      <c r="P238" s="69"/>
      <c r="Q238" s="49"/>
      <c r="R238" s="49"/>
      <c r="S238" s="49"/>
      <c r="T238" s="49"/>
      <c r="U238" s="49"/>
      <c r="V238" s="49"/>
      <c r="W238" s="49"/>
      <c r="X238" s="49"/>
      <c r="Y238" s="49"/>
      <c r="Z238" s="49"/>
      <c r="AA238" s="49"/>
      <c r="AB238" s="49"/>
      <c r="AC238" s="49"/>
      <c r="AD238" s="49"/>
    </row>
    <row r="239">
      <c r="A239" s="49"/>
      <c r="B239" s="49"/>
      <c r="C239" s="146"/>
      <c r="D239" s="146"/>
      <c r="E239" s="49"/>
      <c r="F239" s="49"/>
      <c r="G239" s="49"/>
      <c r="H239" s="43"/>
      <c r="I239" s="49"/>
      <c r="J239" s="69"/>
      <c r="K239" s="49"/>
      <c r="L239" s="49"/>
      <c r="M239" s="69"/>
      <c r="N239" s="43"/>
      <c r="O239" s="43"/>
      <c r="P239" s="43"/>
      <c r="Q239" s="49"/>
      <c r="R239" s="49"/>
      <c r="S239" s="49"/>
      <c r="T239" s="49"/>
      <c r="U239" s="49"/>
      <c r="V239" s="49"/>
      <c r="W239" s="49"/>
      <c r="X239" s="49"/>
      <c r="Y239" s="49"/>
      <c r="Z239" s="49"/>
      <c r="AA239" s="49"/>
      <c r="AB239" s="49"/>
      <c r="AC239" s="49"/>
      <c r="AD239" s="49"/>
    </row>
    <row r="240">
      <c r="A240" s="49"/>
      <c r="B240" s="49"/>
      <c r="C240" s="146"/>
      <c r="D240" s="146"/>
      <c r="E240" s="49"/>
      <c r="F240" s="49"/>
      <c r="G240" s="49"/>
      <c r="H240" s="43"/>
      <c r="I240" s="49"/>
      <c r="J240" s="69"/>
      <c r="K240" s="49"/>
      <c r="L240" s="49"/>
      <c r="M240" s="69"/>
      <c r="N240" s="43"/>
      <c r="O240" s="43"/>
      <c r="P240" s="43"/>
      <c r="Q240" s="49"/>
      <c r="R240" s="49"/>
      <c r="S240" s="49"/>
      <c r="T240" s="49"/>
      <c r="U240" s="49"/>
      <c r="V240" s="49"/>
      <c r="W240" s="49"/>
      <c r="X240" s="49"/>
      <c r="Y240" s="49"/>
      <c r="Z240" s="49"/>
      <c r="AA240" s="49"/>
      <c r="AB240" s="49"/>
      <c r="AC240" s="49"/>
      <c r="AD240" s="49"/>
    </row>
    <row r="241">
      <c r="A241" s="49"/>
      <c r="B241" s="49"/>
      <c r="C241" s="146"/>
      <c r="D241" s="146"/>
      <c r="E241" s="49"/>
      <c r="F241" s="49"/>
      <c r="G241" s="49"/>
      <c r="H241" s="43"/>
      <c r="I241" s="49"/>
      <c r="J241" s="69"/>
      <c r="K241" s="49"/>
      <c r="L241" s="49"/>
      <c r="M241" s="69"/>
      <c r="N241" s="43"/>
      <c r="O241" s="43"/>
      <c r="P241" s="43"/>
      <c r="Q241" s="49"/>
      <c r="R241" s="49"/>
      <c r="S241" s="49"/>
      <c r="T241" s="49"/>
      <c r="U241" s="49"/>
      <c r="V241" s="49"/>
      <c r="W241" s="49"/>
      <c r="X241" s="49"/>
      <c r="Y241" s="49"/>
      <c r="Z241" s="49"/>
      <c r="AA241" s="49"/>
      <c r="AB241" s="49"/>
      <c r="AC241" s="49"/>
      <c r="AD241" s="49"/>
    </row>
    <row r="242">
      <c r="A242" s="49"/>
      <c r="B242" s="49"/>
      <c r="C242" s="146"/>
      <c r="D242" s="146"/>
      <c r="E242" s="49"/>
      <c r="F242" s="49"/>
      <c r="G242" s="49"/>
      <c r="H242" s="42"/>
      <c r="I242" s="49"/>
      <c r="J242" s="42"/>
      <c r="K242" s="49"/>
      <c r="L242" s="49"/>
      <c r="M242" s="42"/>
      <c r="N242" s="42"/>
      <c r="O242" s="42"/>
      <c r="P242" s="42"/>
      <c r="Q242" s="49"/>
      <c r="R242" s="49"/>
      <c r="S242" s="49"/>
      <c r="T242" s="49"/>
      <c r="U242" s="49"/>
      <c r="V242" s="49"/>
      <c r="W242" s="49"/>
      <c r="X242" s="49"/>
      <c r="Y242" s="49"/>
      <c r="Z242" s="49"/>
      <c r="AA242" s="49"/>
      <c r="AB242" s="49"/>
      <c r="AC242" s="49"/>
      <c r="AD242" s="49"/>
    </row>
    <row r="243">
      <c r="A243" s="49"/>
      <c r="B243" s="49"/>
      <c r="C243" s="146"/>
      <c r="D243" s="146"/>
      <c r="E243" s="49"/>
      <c r="F243" s="49"/>
      <c r="G243" s="49"/>
      <c r="H243" s="42"/>
      <c r="I243" s="49"/>
      <c r="J243" s="42"/>
      <c r="K243" s="49"/>
      <c r="L243" s="49"/>
      <c r="M243" s="42"/>
      <c r="N243" s="42"/>
      <c r="O243" s="42"/>
      <c r="P243" s="42"/>
      <c r="Q243" s="49"/>
      <c r="R243" s="49"/>
      <c r="S243" s="49"/>
      <c r="T243" s="49"/>
      <c r="U243" s="49"/>
      <c r="V243" s="49"/>
      <c r="W243" s="49"/>
      <c r="X243" s="49"/>
      <c r="Y243" s="49"/>
      <c r="Z243" s="49"/>
      <c r="AA243" s="49"/>
      <c r="AB243" s="49"/>
      <c r="AC243" s="49"/>
      <c r="AD243" s="49"/>
    </row>
    <row r="244">
      <c r="A244" s="49"/>
      <c r="B244" s="49"/>
      <c r="C244" s="146"/>
      <c r="D244" s="146"/>
      <c r="E244" s="49"/>
      <c r="F244" s="49"/>
      <c r="G244" s="49"/>
      <c r="H244" s="42"/>
      <c r="I244" s="49"/>
      <c r="J244" s="42"/>
      <c r="K244" s="49"/>
      <c r="L244" s="49"/>
      <c r="M244" s="42"/>
      <c r="N244" s="42"/>
      <c r="O244" s="42"/>
      <c r="P244" s="42"/>
      <c r="Q244" s="49"/>
      <c r="R244" s="49"/>
      <c r="S244" s="49"/>
      <c r="T244" s="49"/>
      <c r="U244" s="49"/>
      <c r="V244" s="49"/>
      <c r="W244" s="49"/>
      <c r="X244" s="49"/>
      <c r="Y244" s="49"/>
      <c r="Z244" s="49"/>
      <c r="AA244" s="49"/>
      <c r="AB244" s="49"/>
      <c r="AC244" s="49"/>
      <c r="AD244" s="49"/>
    </row>
    <row r="245">
      <c r="A245" s="49"/>
      <c r="B245" s="49"/>
      <c r="C245" s="146"/>
      <c r="D245" s="146"/>
      <c r="E245" s="49"/>
      <c r="F245" s="49"/>
      <c r="G245" s="49"/>
      <c r="H245" s="42"/>
      <c r="I245" s="49"/>
      <c r="J245" s="42"/>
      <c r="K245" s="49"/>
      <c r="L245" s="49"/>
      <c r="M245" s="42"/>
      <c r="N245" s="42"/>
      <c r="O245" s="42"/>
      <c r="P245" s="42"/>
      <c r="Q245" s="49"/>
      <c r="R245" s="49"/>
      <c r="S245" s="49"/>
      <c r="T245" s="49"/>
      <c r="U245" s="49"/>
      <c r="V245" s="49"/>
      <c r="W245" s="49"/>
      <c r="X245" s="49"/>
      <c r="Y245" s="49"/>
      <c r="Z245" s="49"/>
      <c r="AA245" s="49"/>
      <c r="AB245" s="49"/>
      <c r="AC245" s="49"/>
      <c r="AD245" s="49"/>
    </row>
    <row r="246">
      <c r="A246" s="49"/>
      <c r="B246" s="49"/>
      <c r="C246" s="146"/>
      <c r="D246" s="146"/>
      <c r="E246" s="49"/>
      <c r="F246" s="49"/>
      <c r="G246" s="49"/>
      <c r="H246" s="42"/>
      <c r="I246" s="49"/>
      <c r="J246" s="42"/>
      <c r="K246" s="49"/>
      <c r="L246" s="49"/>
      <c r="M246" s="42"/>
      <c r="N246" s="42"/>
      <c r="O246" s="42"/>
      <c r="P246" s="42"/>
      <c r="Q246" s="49"/>
      <c r="R246" s="49"/>
      <c r="S246" s="49"/>
      <c r="T246" s="49"/>
      <c r="U246" s="49"/>
      <c r="V246" s="49"/>
      <c r="W246" s="49"/>
      <c r="X246" s="49"/>
      <c r="Y246" s="49"/>
      <c r="Z246" s="49"/>
      <c r="AA246" s="49"/>
      <c r="AB246" s="49"/>
      <c r="AC246" s="49"/>
      <c r="AD246" s="49"/>
    </row>
    <row r="247">
      <c r="A247" s="49"/>
      <c r="B247" s="49"/>
      <c r="C247" s="146"/>
      <c r="D247" s="146"/>
      <c r="E247" s="49"/>
      <c r="F247" s="49"/>
      <c r="G247" s="49"/>
      <c r="H247" s="42"/>
      <c r="I247" s="49"/>
      <c r="J247" s="42"/>
      <c r="K247" s="49"/>
      <c r="L247" s="49"/>
      <c r="M247" s="42"/>
      <c r="N247" s="42"/>
      <c r="O247" s="42"/>
      <c r="P247" s="42"/>
      <c r="Q247" s="49"/>
      <c r="R247" s="49"/>
      <c r="S247" s="49"/>
      <c r="T247" s="49"/>
      <c r="U247" s="49"/>
      <c r="V247" s="49"/>
      <c r="W247" s="49"/>
      <c r="X247" s="49"/>
      <c r="Y247" s="49"/>
      <c r="Z247" s="49"/>
      <c r="AA247" s="49"/>
      <c r="AB247" s="49"/>
      <c r="AC247" s="49"/>
      <c r="AD247" s="49"/>
    </row>
    <row r="248">
      <c r="A248" s="49"/>
      <c r="B248" s="49"/>
      <c r="C248" s="146"/>
      <c r="D248" s="146"/>
      <c r="E248" s="49"/>
      <c r="F248" s="49"/>
      <c r="G248" s="49"/>
      <c r="H248" s="42"/>
      <c r="I248" s="49"/>
      <c r="J248" s="42"/>
      <c r="K248" s="49"/>
      <c r="L248" s="49"/>
      <c r="M248" s="42"/>
      <c r="N248" s="42"/>
      <c r="O248" s="42"/>
      <c r="P248" s="42"/>
      <c r="Q248" s="49"/>
      <c r="R248" s="49"/>
      <c r="S248" s="49"/>
      <c r="T248" s="49"/>
      <c r="U248" s="49"/>
      <c r="V248" s="49"/>
      <c r="W248" s="49"/>
      <c r="X248" s="49"/>
      <c r="Y248" s="49"/>
      <c r="Z248" s="49"/>
      <c r="AA248" s="49"/>
      <c r="AB248" s="49"/>
      <c r="AC248" s="49"/>
      <c r="AD248" s="49"/>
    </row>
    <row r="249">
      <c r="A249" s="49"/>
      <c r="B249" s="49"/>
      <c r="C249" s="146"/>
      <c r="D249" s="146"/>
      <c r="E249" s="49"/>
      <c r="F249" s="49"/>
      <c r="G249" s="49"/>
      <c r="H249" s="42"/>
      <c r="I249" s="49"/>
      <c r="J249" s="42"/>
      <c r="K249" s="49"/>
      <c r="L249" s="49"/>
      <c r="M249" s="42"/>
      <c r="N249" s="42"/>
      <c r="O249" s="42"/>
      <c r="P249" s="42"/>
      <c r="Q249" s="49"/>
      <c r="R249" s="49"/>
      <c r="S249" s="49"/>
      <c r="T249" s="49"/>
      <c r="U249" s="49"/>
      <c r="V249" s="49"/>
      <c r="W249" s="49"/>
      <c r="X249" s="49"/>
      <c r="Y249" s="49"/>
      <c r="Z249" s="49"/>
      <c r="AA249" s="49"/>
      <c r="AB249" s="49"/>
      <c r="AC249" s="49"/>
      <c r="AD249" s="49"/>
    </row>
    <row r="250">
      <c r="A250" s="49"/>
      <c r="B250" s="49"/>
      <c r="C250" s="146"/>
      <c r="D250" s="146"/>
      <c r="E250" s="49"/>
      <c r="F250" s="49"/>
      <c r="G250" s="49"/>
      <c r="H250" s="42"/>
      <c r="I250" s="49"/>
      <c r="J250" s="42"/>
      <c r="K250" s="49"/>
      <c r="L250" s="49"/>
      <c r="M250" s="42"/>
      <c r="N250" s="42"/>
      <c r="O250" s="42"/>
      <c r="P250" s="42"/>
      <c r="Q250" s="49"/>
      <c r="R250" s="49"/>
      <c r="S250" s="49"/>
      <c r="T250" s="49"/>
      <c r="U250" s="49"/>
      <c r="V250" s="49"/>
      <c r="W250" s="49"/>
      <c r="X250" s="49"/>
      <c r="Y250" s="49"/>
      <c r="Z250" s="49"/>
      <c r="AA250" s="49"/>
      <c r="AB250" s="49"/>
      <c r="AC250" s="49"/>
      <c r="AD250" s="49"/>
    </row>
    <row r="251">
      <c r="A251" s="49"/>
      <c r="B251" s="49"/>
      <c r="C251" s="146"/>
      <c r="D251" s="146"/>
      <c r="E251" s="49"/>
      <c r="F251" s="49"/>
      <c r="G251" s="49"/>
      <c r="H251" s="42"/>
      <c r="I251" s="49"/>
      <c r="J251" s="42"/>
      <c r="K251" s="49"/>
      <c r="L251" s="49"/>
      <c r="M251" s="42"/>
      <c r="N251" s="42"/>
      <c r="O251" s="42"/>
      <c r="P251" s="42"/>
      <c r="Q251" s="49"/>
      <c r="R251" s="49"/>
      <c r="S251" s="49"/>
      <c r="T251" s="49"/>
      <c r="U251" s="49"/>
      <c r="V251" s="49"/>
      <c r="W251" s="49"/>
      <c r="X251" s="49"/>
      <c r="Y251" s="49"/>
      <c r="Z251" s="49"/>
      <c r="AA251" s="49"/>
      <c r="AB251" s="49"/>
      <c r="AC251" s="49"/>
      <c r="AD251" s="49"/>
    </row>
    <row r="252">
      <c r="A252" s="49"/>
      <c r="B252" s="49"/>
      <c r="C252" s="146"/>
      <c r="D252" s="146"/>
      <c r="E252" s="49"/>
      <c r="F252" s="49"/>
      <c r="G252" s="49"/>
      <c r="H252" s="42"/>
      <c r="I252" s="49"/>
      <c r="J252" s="42"/>
      <c r="K252" s="49"/>
      <c r="L252" s="49"/>
      <c r="M252" s="42"/>
      <c r="N252" s="42"/>
      <c r="O252" s="42"/>
      <c r="P252" s="42"/>
      <c r="Q252" s="49"/>
      <c r="R252" s="49"/>
      <c r="S252" s="49"/>
      <c r="T252" s="49"/>
      <c r="U252" s="49"/>
      <c r="V252" s="49"/>
      <c r="W252" s="49"/>
      <c r="X252" s="49"/>
      <c r="Y252" s="49"/>
      <c r="Z252" s="49"/>
      <c r="AA252" s="49"/>
      <c r="AB252" s="49"/>
      <c r="AC252" s="49"/>
      <c r="AD252" s="49"/>
    </row>
    <row r="253">
      <c r="A253" s="49"/>
      <c r="B253" s="49"/>
      <c r="C253" s="146"/>
      <c r="D253" s="146"/>
      <c r="E253" s="49"/>
      <c r="F253" s="49"/>
      <c r="G253" s="49"/>
      <c r="H253" s="42"/>
      <c r="I253" s="49"/>
      <c r="J253" s="42"/>
      <c r="K253" s="49"/>
      <c r="L253" s="49"/>
      <c r="M253" s="42"/>
      <c r="N253" s="42"/>
      <c r="O253" s="42"/>
      <c r="P253" s="42"/>
      <c r="Q253" s="49"/>
      <c r="R253" s="49"/>
      <c r="S253" s="49"/>
      <c r="T253" s="49"/>
      <c r="U253" s="49"/>
      <c r="V253" s="49"/>
      <c r="W253" s="49"/>
      <c r="X253" s="49"/>
      <c r="Y253" s="49"/>
      <c r="Z253" s="49"/>
      <c r="AA253" s="49"/>
      <c r="AB253" s="49"/>
      <c r="AC253" s="49"/>
      <c r="AD253" s="49"/>
    </row>
    <row r="254">
      <c r="A254" s="49"/>
      <c r="B254" s="49"/>
      <c r="C254" s="146"/>
      <c r="D254" s="146"/>
      <c r="E254" s="49"/>
      <c r="F254" s="49"/>
      <c r="G254" s="49"/>
      <c r="H254" s="42"/>
      <c r="I254" s="49"/>
      <c r="J254" s="42"/>
      <c r="K254" s="49"/>
      <c r="L254" s="49"/>
      <c r="M254" s="42"/>
      <c r="N254" s="42"/>
      <c r="O254" s="42"/>
      <c r="P254" s="42"/>
      <c r="Q254" s="49"/>
      <c r="R254" s="49"/>
      <c r="S254" s="49"/>
      <c r="T254" s="49"/>
      <c r="U254" s="49"/>
      <c r="V254" s="49"/>
      <c r="W254" s="49"/>
      <c r="X254" s="49"/>
      <c r="Y254" s="49"/>
      <c r="Z254" s="49"/>
      <c r="AA254" s="49"/>
      <c r="AB254" s="49"/>
      <c r="AC254" s="49"/>
      <c r="AD254" s="49"/>
    </row>
    <row r="255">
      <c r="A255" s="49"/>
      <c r="B255" s="49"/>
      <c r="C255" s="146"/>
      <c r="D255" s="146"/>
      <c r="E255" s="49"/>
      <c r="F255" s="49"/>
      <c r="G255" s="49"/>
      <c r="H255" s="42"/>
      <c r="I255" s="49"/>
      <c r="J255" s="42"/>
      <c r="K255" s="49"/>
      <c r="L255" s="49"/>
      <c r="M255" s="42"/>
      <c r="N255" s="42"/>
      <c r="O255" s="42"/>
      <c r="P255" s="42"/>
      <c r="Q255" s="49"/>
      <c r="R255" s="49"/>
      <c r="S255" s="49"/>
      <c r="T255" s="49"/>
      <c r="U255" s="49"/>
      <c r="V255" s="49"/>
      <c r="W255" s="49"/>
      <c r="X255" s="49"/>
      <c r="Y255" s="49"/>
      <c r="Z255" s="49"/>
      <c r="AA255" s="49"/>
      <c r="AB255" s="49"/>
      <c r="AC255" s="49"/>
      <c r="AD255" s="49"/>
    </row>
    <row r="256">
      <c r="A256" s="49"/>
      <c r="B256" s="49"/>
      <c r="C256" s="146"/>
      <c r="D256" s="146"/>
      <c r="E256" s="49"/>
      <c r="F256" s="49"/>
      <c r="G256" s="49"/>
      <c r="H256" s="42"/>
      <c r="I256" s="49"/>
      <c r="J256" s="42"/>
      <c r="K256" s="49"/>
      <c r="L256" s="49"/>
      <c r="M256" s="42"/>
      <c r="N256" s="42"/>
      <c r="O256" s="42"/>
      <c r="P256" s="42"/>
      <c r="Q256" s="49"/>
      <c r="R256" s="49"/>
      <c r="S256" s="49"/>
      <c r="T256" s="49"/>
      <c r="U256" s="49"/>
      <c r="V256" s="49"/>
      <c r="W256" s="49"/>
      <c r="X256" s="49"/>
      <c r="Y256" s="49"/>
      <c r="Z256" s="49"/>
      <c r="AA256" s="49"/>
      <c r="AB256" s="49"/>
      <c r="AC256" s="49"/>
      <c r="AD256" s="49"/>
    </row>
    <row r="257">
      <c r="A257" s="49"/>
      <c r="B257" s="49"/>
      <c r="C257" s="146"/>
      <c r="D257" s="146"/>
      <c r="E257" s="49"/>
      <c r="F257" s="49"/>
      <c r="G257" s="49"/>
      <c r="H257" s="42"/>
      <c r="I257" s="49"/>
      <c r="J257" s="42"/>
      <c r="K257" s="49"/>
      <c r="L257" s="49"/>
      <c r="M257" s="42"/>
      <c r="N257" s="42"/>
      <c r="O257" s="42"/>
      <c r="P257" s="42"/>
      <c r="Q257" s="49"/>
      <c r="R257" s="49"/>
      <c r="S257" s="49"/>
      <c r="T257" s="49"/>
      <c r="U257" s="49"/>
      <c r="V257" s="49"/>
      <c r="W257" s="49"/>
      <c r="X257" s="49"/>
      <c r="Y257" s="49"/>
      <c r="Z257" s="49"/>
      <c r="AA257" s="49"/>
      <c r="AB257" s="49"/>
      <c r="AC257" s="49"/>
      <c r="AD257" s="49"/>
    </row>
    <row r="258">
      <c r="A258" s="49"/>
      <c r="B258" s="49"/>
      <c r="C258" s="146"/>
      <c r="D258" s="146"/>
      <c r="E258" s="49"/>
      <c r="F258" s="49"/>
      <c r="G258" s="49"/>
      <c r="H258" s="42"/>
      <c r="I258" s="49"/>
      <c r="J258" s="42"/>
      <c r="K258" s="49"/>
      <c r="L258" s="49"/>
      <c r="M258" s="42"/>
      <c r="N258" s="42"/>
      <c r="O258" s="42"/>
      <c r="P258" s="42"/>
      <c r="Q258" s="49"/>
      <c r="R258" s="49"/>
      <c r="S258" s="49"/>
      <c r="T258" s="49"/>
      <c r="U258" s="49"/>
      <c r="V258" s="49"/>
      <c r="W258" s="49"/>
      <c r="X258" s="49"/>
      <c r="Y258" s="49"/>
      <c r="Z258" s="49"/>
      <c r="AA258" s="49"/>
      <c r="AB258" s="49"/>
      <c r="AC258" s="49"/>
      <c r="AD258" s="49"/>
    </row>
    <row r="259">
      <c r="A259" s="49"/>
      <c r="B259" s="49"/>
      <c r="C259" s="146"/>
      <c r="D259" s="146"/>
      <c r="E259" s="49"/>
      <c r="F259" s="49"/>
      <c r="G259" s="49"/>
      <c r="H259" s="42"/>
      <c r="I259" s="49"/>
      <c r="J259" s="42"/>
      <c r="K259" s="49"/>
      <c r="L259" s="49"/>
      <c r="M259" s="42"/>
      <c r="N259" s="42"/>
      <c r="O259" s="42"/>
      <c r="P259" s="42"/>
      <c r="Q259" s="49"/>
      <c r="R259" s="49"/>
      <c r="S259" s="49"/>
      <c r="T259" s="49"/>
      <c r="U259" s="49"/>
      <c r="V259" s="49"/>
      <c r="W259" s="49"/>
      <c r="X259" s="49"/>
      <c r="Y259" s="49"/>
      <c r="Z259" s="49"/>
      <c r="AA259" s="49"/>
      <c r="AB259" s="49"/>
      <c r="AC259" s="49"/>
      <c r="AD259" s="49"/>
    </row>
    <row r="260">
      <c r="A260" s="49"/>
      <c r="B260" s="49"/>
      <c r="C260" s="146"/>
      <c r="D260" s="146"/>
      <c r="E260" s="49"/>
      <c r="F260" s="49"/>
      <c r="G260" s="49"/>
      <c r="H260" s="42"/>
      <c r="I260" s="49"/>
      <c r="J260" s="42"/>
      <c r="K260" s="49"/>
      <c r="L260" s="49"/>
      <c r="M260" s="42"/>
      <c r="N260" s="42"/>
      <c r="O260" s="42"/>
      <c r="P260" s="42"/>
      <c r="Q260" s="49"/>
      <c r="R260" s="49"/>
      <c r="S260" s="49"/>
      <c r="T260" s="49"/>
      <c r="U260" s="49"/>
      <c r="V260" s="49"/>
      <c r="W260" s="49"/>
      <c r="X260" s="49"/>
      <c r="Y260" s="49"/>
      <c r="Z260" s="49"/>
      <c r="AA260" s="49"/>
      <c r="AB260" s="49"/>
      <c r="AC260" s="49"/>
      <c r="AD260" s="49"/>
    </row>
    <row r="261">
      <c r="A261" s="49"/>
      <c r="B261" s="49"/>
      <c r="C261" s="146"/>
      <c r="D261" s="146"/>
      <c r="E261" s="49"/>
      <c r="F261" s="49"/>
      <c r="G261" s="49"/>
      <c r="H261" s="42"/>
      <c r="I261" s="49"/>
      <c r="J261" s="42"/>
      <c r="K261" s="49"/>
      <c r="L261" s="49"/>
      <c r="M261" s="42"/>
      <c r="N261" s="42"/>
      <c r="O261" s="42"/>
      <c r="P261" s="42"/>
      <c r="Q261" s="49"/>
      <c r="R261" s="49"/>
      <c r="S261" s="49"/>
      <c r="T261" s="49"/>
      <c r="U261" s="49"/>
      <c r="V261" s="49"/>
      <c r="W261" s="49"/>
      <c r="X261" s="49"/>
      <c r="Y261" s="49"/>
      <c r="Z261" s="49"/>
      <c r="AA261" s="49"/>
      <c r="AB261" s="49"/>
      <c r="AC261" s="49"/>
      <c r="AD261" s="49"/>
    </row>
    <row r="262">
      <c r="A262" s="49"/>
      <c r="B262" s="49"/>
      <c r="C262" s="146"/>
      <c r="D262" s="146"/>
      <c r="E262" s="49"/>
      <c r="F262" s="49"/>
      <c r="G262" s="49"/>
      <c r="H262" s="42"/>
      <c r="I262" s="49"/>
      <c r="J262" s="42"/>
      <c r="K262" s="49"/>
      <c r="L262" s="49"/>
      <c r="M262" s="42"/>
      <c r="N262" s="42"/>
      <c r="O262" s="42"/>
      <c r="P262" s="42"/>
      <c r="Q262" s="49"/>
      <c r="R262" s="49"/>
      <c r="S262" s="49"/>
      <c r="T262" s="49"/>
      <c r="U262" s="49"/>
      <c r="V262" s="49"/>
      <c r="W262" s="49"/>
      <c r="X262" s="49"/>
      <c r="Y262" s="49"/>
      <c r="Z262" s="49"/>
      <c r="AA262" s="49"/>
      <c r="AB262" s="49"/>
      <c r="AC262" s="49"/>
      <c r="AD262" s="49"/>
    </row>
    <row r="263">
      <c r="A263" s="49"/>
      <c r="B263" s="49"/>
      <c r="C263" s="146"/>
      <c r="D263" s="146"/>
      <c r="E263" s="49"/>
      <c r="F263" s="49"/>
      <c r="G263" s="49"/>
      <c r="H263" s="42"/>
      <c r="I263" s="49"/>
      <c r="J263" s="42"/>
      <c r="K263" s="49"/>
      <c r="L263" s="49"/>
      <c r="M263" s="42"/>
      <c r="N263" s="42"/>
      <c r="O263" s="42"/>
      <c r="P263" s="42"/>
      <c r="Q263" s="49"/>
      <c r="R263" s="49"/>
      <c r="S263" s="49"/>
      <c r="T263" s="49"/>
      <c r="U263" s="49"/>
      <c r="V263" s="49"/>
      <c r="W263" s="49"/>
      <c r="X263" s="49"/>
      <c r="Y263" s="49"/>
      <c r="Z263" s="49"/>
      <c r="AA263" s="49"/>
      <c r="AB263" s="49"/>
      <c r="AC263" s="49"/>
      <c r="AD263" s="49"/>
    </row>
    <row r="264">
      <c r="A264" s="49"/>
      <c r="B264" s="49"/>
      <c r="C264" s="146"/>
      <c r="D264" s="146"/>
      <c r="E264" s="49"/>
      <c r="F264" s="49"/>
      <c r="G264" s="49"/>
      <c r="H264" s="42"/>
      <c r="I264" s="49"/>
      <c r="J264" s="42"/>
      <c r="K264" s="49"/>
      <c r="L264" s="49"/>
      <c r="M264" s="42"/>
      <c r="N264" s="42"/>
      <c r="O264" s="42"/>
      <c r="P264" s="42"/>
      <c r="Q264" s="49"/>
      <c r="R264" s="49"/>
      <c r="S264" s="49"/>
      <c r="T264" s="49"/>
      <c r="U264" s="49"/>
      <c r="V264" s="49"/>
      <c r="W264" s="49"/>
      <c r="X264" s="49"/>
      <c r="Y264" s="49"/>
      <c r="Z264" s="49"/>
      <c r="AA264" s="49"/>
      <c r="AB264" s="49"/>
      <c r="AC264" s="49"/>
      <c r="AD264" s="49"/>
    </row>
    <row r="265">
      <c r="A265" s="49"/>
      <c r="B265" s="49"/>
      <c r="C265" s="146"/>
      <c r="D265" s="146"/>
      <c r="E265" s="49"/>
      <c r="F265" s="49"/>
      <c r="G265" s="49"/>
      <c r="H265" s="42"/>
      <c r="I265" s="49"/>
      <c r="J265" s="42"/>
      <c r="K265" s="49"/>
      <c r="L265" s="49"/>
      <c r="M265" s="42"/>
      <c r="N265" s="42"/>
      <c r="O265" s="42"/>
      <c r="P265" s="42"/>
      <c r="Q265" s="49"/>
      <c r="R265" s="49"/>
      <c r="S265" s="49"/>
      <c r="T265" s="49"/>
      <c r="U265" s="49"/>
      <c r="V265" s="49"/>
      <c r="W265" s="49"/>
      <c r="X265" s="49"/>
      <c r="Y265" s="49"/>
      <c r="Z265" s="49"/>
      <c r="AA265" s="49"/>
      <c r="AB265" s="49"/>
      <c r="AC265" s="49"/>
      <c r="AD265" s="49"/>
    </row>
    <row r="266">
      <c r="A266" s="49"/>
      <c r="B266" s="49"/>
      <c r="C266" s="146"/>
      <c r="D266" s="146"/>
      <c r="E266" s="49"/>
      <c r="F266" s="49"/>
      <c r="G266" s="49"/>
      <c r="H266" s="42"/>
      <c r="I266" s="49"/>
      <c r="J266" s="42"/>
      <c r="K266" s="49"/>
      <c r="L266" s="49"/>
      <c r="M266" s="42"/>
      <c r="N266" s="42"/>
      <c r="O266" s="42"/>
      <c r="P266" s="42"/>
      <c r="Q266" s="49"/>
      <c r="R266" s="49"/>
      <c r="S266" s="49"/>
      <c r="T266" s="49"/>
      <c r="U266" s="49"/>
      <c r="V266" s="49"/>
      <c r="W266" s="49"/>
      <c r="X266" s="49"/>
      <c r="Y266" s="49"/>
      <c r="Z266" s="49"/>
      <c r="AA266" s="49"/>
      <c r="AB266" s="49"/>
      <c r="AC266" s="49"/>
      <c r="AD266" s="49"/>
    </row>
    <row r="267">
      <c r="A267" s="49"/>
      <c r="B267" s="49"/>
      <c r="C267" s="146"/>
      <c r="D267" s="146"/>
      <c r="E267" s="49"/>
      <c r="F267" s="49"/>
      <c r="G267" s="49"/>
      <c r="H267" s="42"/>
      <c r="I267" s="49"/>
      <c r="J267" s="42"/>
      <c r="K267" s="49"/>
      <c r="L267" s="49"/>
      <c r="M267" s="42"/>
      <c r="N267" s="42"/>
      <c r="O267" s="42"/>
      <c r="P267" s="42"/>
      <c r="Q267" s="49"/>
      <c r="R267" s="49"/>
      <c r="S267" s="49"/>
      <c r="T267" s="49"/>
      <c r="U267" s="49"/>
      <c r="V267" s="49"/>
      <c r="W267" s="49"/>
      <c r="X267" s="49"/>
      <c r="Y267" s="49"/>
      <c r="Z267" s="49"/>
      <c r="AA267" s="49"/>
      <c r="AB267" s="49"/>
      <c r="AC267" s="49"/>
      <c r="AD267" s="49"/>
    </row>
    <row r="268">
      <c r="A268" s="49"/>
      <c r="B268" s="49"/>
      <c r="C268" s="146"/>
      <c r="D268" s="146"/>
      <c r="E268" s="49"/>
      <c r="F268" s="49"/>
      <c r="G268" s="49"/>
      <c r="H268" s="42"/>
      <c r="I268" s="49"/>
      <c r="J268" s="42"/>
      <c r="K268" s="49"/>
      <c r="L268" s="49"/>
      <c r="M268" s="42"/>
      <c r="N268" s="42"/>
      <c r="O268" s="42"/>
      <c r="P268" s="42"/>
      <c r="Q268" s="49"/>
      <c r="R268" s="49"/>
      <c r="S268" s="49"/>
      <c r="T268" s="49"/>
      <c r="U268" s="49"/>
      <c r="V268" s="49"/>
      <c r="W268" s="49"/>
      <c r="X268" s="49"/>
      <c r="Y268" s="49"/>
      <c r="Z268" s="49"/>
      <c r="AA268" s="49"/>
      <c r="AB268" s="49"/>
      <c r="AC268" s="49"/>
      <c r="AD268" s="49"/>
    </row>
    <row r="269">
      <c r="A269" s="49"/>
      <c r="B269" s="49"/>
      <c r="C269" s="146"/>
      <c r="D269" s="146"/>
      <c r="E269" s="49"/>
      <c r="F269" s="49"/>
      <c r="G269" s="49"/>
      <c r="H269" s="42"/>
      <c r="I269" s="49"/>
      <c r="J269" s="42"/>
      <c r="K269" s="49"/>
      <c r="L269" s="49"/>
      <c r="M269" s="42"/>
      <c r="N269" s="42"/>
      <c r="O269" s="42"/>
      <c r="P269" s="42"/>
      <c r="Q269" s="49"/>
      <c r="R269" s="49"/>
      <c r="S269" s="49"/>
      <c r="T269" s="49"/>
      <c r="U269" s="49"/>
      <c r="V269" s="49"/>
      <c r="W269" s="49"/>
      <c r="X269" s="49"/>
      <c r="Y269" s="49"/>
      <c r="Z269" s="49"/>
      <c r="AA269" s="49"/>
      <c r="AB269" s="49"/>
      <c r="AC269" s="49"/>
      <c r="AD269" s="49"/>
    </row>
    <row r="270">
      <c r="A270" s="49"/>
      <c r="B270" s="49"/>
      <c r="C270" s="146"/>
      <c r="D270" s="146"/>
      <c r="E270" s="49"/>
      <c r="F270" s="49"/>
      <c r="G270" s="49"/>
      <c r="H270" s="42"/>
      <c r="I270" s="49"/>
      <c r="J270" s="42"/>
      <c r="K270" s="49"/>
      <c r="L270" s="49"/>
      <c r="M270" s="42"/>
      <c r="N270" s="42"/>
      <c r="O270" s="42"/>
      <c r="P270" s="42"/>
      <c r="Q270" s="49"/>
      <c r="R270" s="49"/>
      <c r="S270" s="49"/>
      <c r="T270" s="49"/>
      <c r="U270" s="49"/>
      <c r="V270" s="49"/>
      <c r="W270" s="49"/>
      <c r="X270" s="49"/>
      <c r="Y270" s="49"/>
      <c r="Z270" s="49"/>
      <c r="AA270" s="49"/>
      <c r="AB270" s="49"/>
      <c r="AC270" s="49"/>
      <c r="AD270" s="49"/>
    </row>
    <row r="271">
      <c r="A271" s="49"/>
      <c r="B271" s="49"/>
      <c r="C271" s="146"/>
      <c r="D271" s="146"/>
      <c r="E271" s="49"/>
      <c r="F271" s="49"/>
      <c r="G271" s="49"/>
      <c r="H271" s="42"/>
      <c r="I271" s="49"/>
      <c r="J271" s="42"/>
      <c r="K271" s="49"/>
      <c r="L271" s="49"/>
      <c r="M271" s="42"/>
      <c r="N271" s="42"/>
      <c r="O271" s="42"/>
      <c r="P271" s="42"/>
      <c r="Q271" s="49"/>
      <c r="R271" s="49"/>
      <c r="S271" s="49"/>
      <c r="T271" s="49"/>
      <c r="U271" s="49"/>
      <c r="V271" s="49"/>
      <c r="W271" s="49"/>
      <c r="X271" s="49"/>
      <c r="Y271" s="49"/>
      <c r="Z271" s="49"/>
      <c r="AA271" s="49"/>
      <c r="AB271" s="49"/>
      <c r="AC271" s="49"/>
      <c r="AD271" s="49"/>
    </row>
    <row r="272">
      <c r="A272" s="49"/>
      <c r="B272" s="49"/>
      <c r="C272" s="146"/>
      <c r="D272" s="146"/>
      <c r="E272" s="49"/>
      <c r="F272" s="49"/>
      <c r="G272" s="49"/>
      <c r="H272" s="42"/>
      <c r="I272" s="49"/>
      <c r="J272" s="42"/>
      <c r="K272" s="49"/>
      <c r="L272" s="49"/>
      <c r="M272" s="42"/>
      <c r="N272" s="42"/>
      <c r="O272" s="42"/>
      <c r="P272" s="42"/>
      <c r="Q272" s="49"/>
      <c r="R272" s="49"/>
      <c r="S272" s="49"/>
      <c r="T272" s="49"/>
      <c r="U272" s="49"/>
      <c r="V272" s="49"/>
      <c r="W272" s="49"/>
      <c r="X272" s="49"/>
      <c r="Y272" s="49"/>
      <c r="Z272" s="49"/>
      <c r="AA272" s="49"/>
      <c r="AB272" s="49"/>
      <c r="AC272" s="49"/>
      <c r="AD272" s="49"/>
    </row>
    <row r="273">
      <c r="A273" s="49"/>
      <c r="B273" s="49"/>
      <c r="C273" s="146"/>
      <c r="D273" s="146"/>
      <c r="E273" s="49"/>
      <c r="F273" s="49"/>
      <c r="G273" s="49"/>
      <c r="H273" s="42"/>
      <c r="I273" s="49"/>
      <c r="J273" s="42"/>
      <c r="K273" s="49"/>
      <c r="L273" s="49"/>
      <c r="M273" s="42"/>
      <c r="N273" s="42"/>
      <c r="O273" s="42"/>
      <c r="P273" s="42"/>
      <c r="Q273" s="49"/>
      <c r="R273" s="49"/>
      <c r="S273" s="49"/>
      <c r="T273" s="49"/>
      <c r="U273" s="49"/>
      <c r="V273" s="49"/>
      <c r="W273" s="49"/>
      <c r="X273" s="49"/>
      <c r="Y273" s="49"/>
      <c r="Z273" s="49"/>
      <c r="AA273" s="49"/>
      <c r="AB273" s="49"/>
      <c r="AC273" s="49"/>
      <c r="AD273" s="49"/>
    </row>
    <row r="274">
      <c r="A274" s="49"/>
      <c r="B274" s="49"/>
      <c r="C274" s="146"/>
      <c r="D274" s="146"/>
      <c r="E274" s="49"/>
      <c r="F274" s="49"/>
      <c r="G274" s="49"/>
      <c r="H274" s="42"/>
      <c r="I274" s="49"/>
      <c r="J274" s="42"/>
      <c r="K274" s="49"/>
      <c r="L274" s="49"/>
      <c r="M274" s="42"/>
      <c r="N274" s="42"/>
      <c r="O274" s="42"/>
      <c r="P274" s="42"/>
      <c r="Q274" s="49"/>
      <c r="R274" s="49"/>
      <c r="S274" s="49"/>
      <c r="T274" s="49"/>
      <c r="U274" s="49"/>
      <c r="V274" s="49"/>
      <c r="W274" s="49"/>
      <c r="X274" s="49"/>
      <c r="Y274" s="49"/>
      <c r="Z274" s="49"/>
      <c r="AA274" s="49"/>
      <c r="AB274" s="49"/>
      <c r="AC274" s="49"/>
      <c r="AD274" s="49"/>
    </row>
    <row r="275">
      <c r="A275" s="49"/>
      <c r="B275" s="49"/>
      <c r="C275" s="146"/>
      <c r="D275" s="146"/>
      <c r="E275" s="49"/>
      <c r="F275" s="49"/>
      <c r="G275" s="49"/>
      <c r="H275" s="42"/>
      <c r="I275" s="49"/>
      <c r="J275" s="42"/>
      <c r="K275" s="49"/>
      <c r="L275" s="49"/>
      <c r="M275" s="42"/>
      <c r="N275" s="42"/>
      <c r="O275" s="42"/>
      <c r="P275" s="42"/>
      <c r="Q275" s="49"/>
      <c r="R275" s="49"/>
      <c r="S275" s="49"/>
      <c r="T275" s="49"/>
      <c r="U275" s="49"/>
      <c r="V275" s="49"/>
      <c r="W275" s="49"/>
      <c r="X275" s="49"/>
      <c r="Y275" s="49"/>
      <c r="Z275" s="49"/>
      <c r="AA275" s="49"/>
      <c r="AB275" s="49"/>
      <c r="AC275" s="49"/>
      <c r="AD275" s="49"/>
    </row>
    <row r="276">
      <c r="A276" s="49"/>
      <c r="B276" s="49"/>
      <c r="C276" s="146"/>
      <c r="D276" s="146"/>
      <c r="E276" s="49"/>
      <c r="F276" s="49"/>
      <c r="G276" s="49"/>
      <c r="H276" s="42"/>
      <c r="I276" s="49"/>
      <c r="J276" s="42"/>
      <c r="K276" s="49"/>
      <c r="L276" s="49"/>
      <c r="M276" s="42"/>
      <c r="N276" s="42"/>
      <c r="O276" s="42"/>
      <c r="P276" s="42"/>
      <c r="Q276" s="49"/>
      <c r="R276" s="49"/>
      <c r="S276" s="49"/>
      <c r="T276" s="49"/>
      <c r="U276" s="49"/>
      <c r="V276" s="49"/>
      <c r="W276" s="49"/>
      <c r="X276" s="49"/>
      <c r="Y276" s="49"/>
      <c r="Z276" s="49"/>
      <c r="AA276" s="49"/>
      <c r="AB276" s="49"/>
      <c r="AC276" s="49"/>
      <c r="AD276" s="49"/>
    </row>
    <row r="277">
      <c r="A277" s="49"/>
      <c r="B277" s="49"/>
      <c r="C277" s="146"/>
      <c r="D277" s="146"/>
      <c r="E277" s="49"/>
      <c r="F277" s="49"/>
      <c r="G277" s="49"/>
      <c r="H277" s="42"/>
      <c r="I277" s="49"/>
      <c r="J277" s="42"/>
      <c r="K277" s="49"/>
      <c r="L277" s="49"/>
      <c r="M277" s="42"/>
      <c r="N277" s="42"/>
      <c r="O277" s="42"/>
      <c r="P277" s="42"/>
      <c r="Q277" s="49"/>
      <c r="R277" s="49"/>
      <c r="S277" s="49"/>
      <c r="T277" s="49"/>
      <c r="U277" s="49"/>
      <c r="V277" s="49"/>
      <c r="W277" s="49"/>
      <c r="X277" s="49"/>
      <c r="Y277" s="49"/>
      <c r="Z277" s="49"/>
      <c r="AA277" s="49"/>
      <c r="AB277" s="49"/>
      <c r="AC277" s="49"/>
      <c r="AD277" s="49"/>
    </row>
    <row r="278">
      <c r="A278" s="49"/>
      <c r="B278" s="49"/>
      <c r="C278" s="146"/>
      <c r="D278" s="146"/>
      <c r="E278" s="49"/>
      <c r="F278" s="49"/>
      <c r="G278" s="49"/>
      <c r="H278" s="42"/>
      <c r="I278" s="49"/>
      <c r="J278" s="42"/>
      <c r="K278" s="49"/>
      <c r="L278" s="49"/>
      <c r="M278" s="42"/>
      <c r="N278" s="42"/>
      <c r="O278" s="42"/>
      <c r="P278" s="42"/>
      <c r="Q278" s="49"/>
      <c r="R278" s="49"/>
      <c r="S278" s="49"/>
      <c r="T278" s="49"/>
      <c r="U278" s="49"/>
      <c r="V278" s="49"/>
      <c r="W278" s="49"/>
      <c r="X278" s="49"/>
      <c r="Y278" s="49"/>
      <c r="Z278" s="49"/>
      <c r="AA278" s="49"/>
      <c r="AB278" s="49"/>
      <c r="AC278" s="49"/>
      <c r="AD278" s="49"/>
    </row>
    <row r="279">
      <c r="A279" s="49"/>
      <c r="B279" s="49"/>
      <c r="C279" s="146"/>
      <c r="D279" s="146"/>
      <c r="E279" s="49"/>
      <c r="F279" s="49"/>
      <c r="G279" s="49"/>
      <c r="H279" s="42"/>
      <c r="I279" s="49"/>
      <c r="J279" s="42"/>
      <c r="K279" s="49"/>
      <c r="L279" s="49"/>
      <c r="M279" s="42"/>
      <c r="N279" s="42"/>
      <c r="O279" s="42"/>
      <c r="P279" s="42"/>
      <c r="Q279" s="49"/>
      <c r="R279" s="49"/>
      <c r="S279" s="49"/>
      <c r="T279" s="49"/>
      <c r="U279" s="49"/>
      <c r="V279" s="49"/>
      <c r="W279" s="49"/>
      <c r="X279" s="49"/>
      <c r="Y279" s="49"/>
      <c r="Z279" s="49"/>
      <c r="AA279" s="49"/>
      <c r="AB279" s="49"/>
      <c r="AC279" s="49"/>
      <c r="AD279" s="49"/>
    </row>
    <row r="280">
      <c r="A280" s="49"/>
      <c r="B280" s="49"/>
      <c r="C280" s="146"/>
      <c r="D280" s="146"/>
      <c r="E280" s="49"/>
      <c r="F280" s="49"/>
      <c r="G280" s="49"/>
      <c r="H280" s="42"/>
      <c r="I280" s="49"/>
      <c r="J280" s="42"/>
      <c r="K280" s="49"/>
      <c r="L280" s="49"/>
      <c r="M280" s="42"/>
      <c r="N280" s="42"/>
      <c r="O280" s="42"/>
      <c r="P280" s="42"/>
      <c r="Q280" s="49"/>
      <c r="R280" s="49"/>
      <c r="S280" s="49"/>
      <c r="T280" s="49"/>
      <c r="U280" s="49"/>
      <c r="V280" s="49"/>
      <c r="W280" s="49"/>
      <c r="X280" s="49"/>
      <c r="Y280" s="49"/>
      <c r="Z280" s="49"/>
      <c r="AA280" s="49"/>
      <c r="AB280" s="49"/>
      <c r="AC280" s="49"/>
      <c r="AD280" s="49"/>
    </row>
    <row r="281">
      <c r="A281" s="49"/>
      <c r="B281" s="49"/>
      <c r="C281" s="146"/>
      <c r="D281" s="146"/>
      <c r="E281" s="49"/>
      <c r="F281" s="49"/>
      <c r="G281" s="49"/>
      <c r="H281" s="42"/>
      <c r="I281" s="49"/>
      <c r="J281" s="42"/>
      <c r="K281" s="49"/>
      <c r="L281" s="49"/>
      <c r="M281" s="42"/>
      <c r="N281" s="42"/>
      <c r="O281" s="42"/>
      <c r="P281" s="42"/>
      <c r="Q281" s="49"/>
      <c r="R281" s="49"/>
      <c r="S281" s="49"/>
      <c r="T281" s="49"/>
      <c r="U281" s="49"/>
      <c r="V281" s="49"/>
      <c r="W281" s="49"/>
      <c r="X281" s="49"/>
      <c r="Y281" s="49"/>
      <c r="Z281" s="49"/>
      <c r="AA281" s="49"/>
      <c r="AB281" s="49"/>
      <c r="AC281" s="49"/>
      <c r="AD281" s="49"/>
    </row>
    <row r="282">
      <c r="A282" s="49"/>
      <c r="B282" s="49"/>
      <c r="C282" s="146"/>
      <c r="D282" s="146"/>
      <c r="E282" s="49"/>
      <c r="F282" s="49"/>
      <c r="G282" s="49"/>
      <c r="H282" s="42"/>
      <c r="I282" s="49"/>
      <c r="J282" s="42"/>
      <c r="K282" s="49"/>
      <c r="L282" s="49"/>
      <c r="M282" s="42"/>
      <c r="N282" s="42"/>
      <c r="O282" s="42"/>
      <c r="P282" s="42"/>
      <c r="Q282" s="49"/>
      <c r="R282" s="49"/>
      <c r="S282" s="49"/>
      <c r="T282" s="49"/>
      <c r="U282" s="49"/>
      <c r="V282" s="49"/>
      <c r="W282" s="49"/>
      <c r="X282" s="49"/>
      <c r="Y282" s="49"/>
      <c r="Z282" s="49"/>
      <c r="AA282" s="49"/>
      <c r="AB282" s="49"/>
      <c r="AC282" s="49"/>
      <c r="AD282" s="49"/>
    </row>
    <row r="283">
      <c r="A283" s="49"/>
      <c r="B283" s="49"/>
      <c r="C283" s="146"/>
      <c r="D283" s="146"/>
      <c r="E283" s="49"/>
      <c r="F283" s="49"/>
      <c r="G283" s="49"/>
      <c r="H283" s="42"/>
      <c r="I283" s="49"/>
      <c r="J283" s="42"/>
      <c r="K283" s="49"/>
      <c r="L283" s="49"/>
      <c r="M283" s="42"/>
      <c r="N283" s="42"/>
      <c r="O283" s="42"/>
      <c r="P283" s="42"/>
      <c r="Q283" s="49"/>
      <c r="R283" s="49"/>
      <c r="S283" s="49"/>
      <c r="T283" s="49"/>
      <c r="U283" s="49"/>
      <c r="V283" s="49"/>
      <c r="W283" s="49"/>
      <c r="X283" s="49"/>
      <c r="Y283" s="49"/>
      <c r="Z283" s="49"/>
      <c r="AA283" s="49"/>
      <c r="AB283" s="49"/>
      <c r="AC283" s="49"/>
      <c r="AD283" s="49"/>
    </row>
    <row r="284">
      <c r="A284" s="49"/>
      <c r="B284" s="49"/>
      <c r="C284" s="146"/>
      <c r="D284" s="146"/>
      <c r="E284" s="49"/>
      <c r="F284" s="49"/>
      <c r="G284" s="49"/>
      <c r="H284" s="42"/>
      <c r="I284" s="49"/>
      <c r="J284" s="42"/>
      <c r="K284" s="49"/>
      <c r="L284" s="49"/>
      <c r="M284" s="42"/>
      <c r="N284" s="42"/>
      <c r="O284" s="42"/>
      <c r="P284" s="42"/>
      <c r="Q284" s="49"/>
      <c r="R284" s="49"/>
      <c r="S284" s="49"/>
      <c r="T284" s="49"/>
      <c r="U284" s="49"/>
      <c r="V284" s="49"/>
      <c r="W284" s="49"/>
      <c r="X284" s="49"/>
      <c r="Y284" s="49"/>
      <c r="Z284" s="49"/>
      <c r="AA284" s="49"/>
      <c r="AB284" s="49"/>
      <c r="AC284" s="49"/>
      <c r="AD284" s="49"/>
    </row>
    <row r="285">
      <c r="A285" s="49"/>
      <c r="B285" s="49"/>
      <c r="C285" s="146"/>
      <c r="D285" s="146"/>
      <c r="E285" s="49"/>
      <c r="F285" s="49"/>
      <c r="G285" s="49"/>
      <c r="H285" s="42"/>
      <c r="I285" s="49"/>
      <c r="J285" s="42"/>
      <c r="K285" s="49"/>
      <c r="L285" s="49"/>
      <c r="M285" s="42"/>
      <c r="N285" s="42"/>
      <c r="O285" s="42"/>
      <c r="P285" s="42"/>
      <c r="Q285" s="49"/>
      <c r="R285" s="49"/>
      <c r="S285" s="49"/>
      <c r="T285" s="49"/>
      <c r="U285" s="49"/>
      <c r="V285" s="49"/>
      <c r="W285" s="49"/>
      <c r="X285" s="49"/>
      <c r="Y285" s="49"/>
      <c r="Z285" s="49"/>
      <c r="AA285" s="49"/>
      <c r="AB285" s="49"/>
      <c r="AC285" s="49"/>
      <c r="AD285" s="49"/>
    </row>
    <row r="286">
      <c r="A286" s="49"/>
      <c r="B286" s="49"/>
      <c r="C286" s="146"/>
      <c r="D286" s="146"/>
      <c r="E286" s="49"/>
      <c r="F286" s="49"/>
      <c r="G286" s="49"/>
      <c r="H286" s="42"/>
      <c r="I286" s="49"/>
      <c r="J286" s="42"/>
      <c r="K286" s="49"/>
      <c r="L286" s="49"/>
      <c r="M286" s="42"/>
      <c r="N286" s="42"/>
      <c r="O286" s="42"/>
      <c r="P286" s="42"/>
      <c r="Q286" s="49"/>
      <c r="R286" s="49"/>
      <c r="S286" s="49"/>
      <c r="T286" s="49"/>
      <c r="U286" s="49"/>
      <c r="V286" s="49"/>
      <c r="W286" s="49"/>
      <c r="X286" s="49"/>
      <c r="Y286" s="49"/>
      <c r="Z286" s="49"/>
      <c r="AA286" s="49"/>
      <c r="AB286" s="49"/>
      <c r="AC286" s="49"/>
      <c r="AD286" s="49"/>
    </row>
    <row r="287">
      <c r="A287" s="49"/>
      <c r="B287" s="49"/>
      <c r="C287" s="146"/>
      <c r="D287" s="146"/>
      <c r="E287" s="49"/>
      <c r="F287" s="49"/>
      <c r="G287" s="49"/>
      <c r="H287" s="42"/>
      <c r="I287" s="49"/>
      <c r="J287" s="42"/>
      <c r="K287" s="49"/>
      <c r="L287" s="49"/>
      <c r="M287" s="42"/>
      <c r="N287" s="42"/>
      <c r="O287" s="42"/>
      <c r="P287" s="42"/>
      <c r="Q287" s="49"/>
      <c r="R287" s="49"/>
      <c r="S287" s="49"/>
      <c r="T287" s="49"/>
      <c r="U287" s="49"/>
      <c r="V287" s="49"/>
      <c r="W287" s="49"/>
      <c r="X287" s="49"/>
      <c r="Y287" s="49"/>
      <c r="Z287" s="49"/>
      <c r="AA287" s="49"/>
      <c r="AB287" s="49"/>
      <c r="AC287" s="49"/>
      <c r="AD287" s="49"/>
    </row>
    <row r="288">
      <c r="A288" s="49"/>
      <c r="B288" s="49"/>
      <c r="C288" s="146"/>
      <c r="D288" s="146"/>
      <c r="E288" s="49"/>
      <c r="F288" s="49"/>
      <c r="G288" s="49"/>
      <c r="H288" s="42"/>
      <c r="I288" s="49"/>
      <c r="J288" s="42"/>
      <c r="K288" s="49"/>
      <c r="L288" s="49"/>
      <c r="M288" s="42"/>
      <c r="N288" s="42"/>
      <c r="O288" s="42"/>
      <c r="P288" s="42"/>
      <c r="Q288" s="49"/>
      <c r="R288" s="49"/>
      <c r="S288" s="49"/>
      <c r="T288" s="49"/>
      <c r="U288" s="49"/>
      <c r="V288" s="49"/>
      <c r="W288" s="49"/>
      <c r="X288" s="49"/>
      <c r="Y288" s="49"/>
      <c r="Z288" s="49"/>
      <c r="AA288" s="49"/>
      <c r="AB288" s="49"/>
      <c r="AC288" s="49"/>
      <c r="AD288" s="49"/>
    </row>
    <row r="289">
      <c r="A289" s="49"/>
      <c r="B289" s="49"/>
      <c r="C289" s="146"/>
      <c r="D289" s="146"/>
      <c r="E289" s="49"/>
      <c r="F289" s="49"/>
      <c r="G289" s="49"/>
      <c r="H289" s="42"/>
      <c r="I289" s="49"/>
      <c r="J289" s="42"/>
      <c r="K289" s="49"/>
      <c r="L289" s="49"/>
      <c r="M289" s="42"/>
      <c r="N289" s="42"/>
      <c r="O289" s="42"/>
      <c r="P289" s="42"/>
      <c r="Q289" s="49"/>
      <c r="R289" s="49"/>
      <c r="S289" s="49"/>
      <c r="T289" s="49"/>
      <c r="U289" s="49"/>
      <c r="V289" s="49"/>
      <c r="W289" s="49"/>
      <c r="X289" s="49"/>
      <c r="Y289" s="49"/>
      <c r="Z289" s="49"/>
      <c r="AA289" s="49"/>
      <c r="AB289" s="49"/>
      <c r="AC289" s="49"/>
      <c r="AD289" s="49"/>
    </row>
    <row r="290">
      <c r="A290" s="49"/>
      <c r="B290" s="49"/>
      <c r="C290" s="146"/>
      <c r="D290" s="146"/>
      <c r="E290" s="49"/>
      <c r="F290" s="49"/>
      <c r="G290" s="49"/>
      <c r="H290" s="42"/>
      <c r="I290" s="49"/>
      <c r="J290" s="42"/>
      <c r="K290" s="49"/>
      <c r="L290" s="49"/>
      <c r="M290" s="42"/>
      <c r="N290" s="42"/>
      <c r="O290" s="42"/>
      <c r="P290" s="42"/>
      <c r="Q290" s="49"/>
      <c r="R290" s="49"/>
      <c r="S290" s="49"/>
      <c r="T290" s="49"/>
      <c r="U290" s="49"/>
      <c r="V290" s="49"/>
      <c r="W290" s="49"/>
      <c r="X290" s="49"/>
      <c r="Y290" s="49"/>
      <c r="Z290" s="49"/>
      <c r="AA290" s="49"/>
      <c r="AB290" s="49"/>
      <c r="AC290" s="49"/>
      <c r="AD290" s="49"/>
    </row>
    <row r="291">
      <c r="A291" s="49"/>
      <c r="B291" s="49"/>
      <c r="C291" s="146"/>
      <c r="D291" s="146"/>
      <c r="E291" s="49"/>
      <c r="F291" s="49"/>
      <c r="G291" s="49"/>
      <c r="H291" s="42"/>
      <c r="I291" s="49"/>
      <c r="J291" s="42"/>
      <c r="K291" s="49"/>
      <c r="L291" s="49"/>
      <c r="M291" s="42"/>
      <c r="N291" s="42"/>
      <c r="O291" s="42"/>
      <c r="P291" s="42"/>
      <c r="Q291" s="49"/>
      <c r="R291" s="49"/>
      <c r="S291" s="49"/>
      <c r="T291" s="49"/>
      <c r="U291" s="49"/>
      <c r="V291" s="49"/>
      <c r="W291" s="49"/>
      <c r="X291" s="49"/>
      <c r="Y291" s="49"/>
      <c r="Z291" s="49"/>
      <c r="AA291" s="49"/>
      <c r="AB291" s="49"/>
      <c r="AC291" s="49"/>
      <c r="AD291" s="49"/>
    </row>
    <row r="292">
      <c r="A292" s="49"/>
      <c r="B292" s="49"/>
      <c r="C292" s="146"/>
      <c r="D292" s="146"/>
      <c r="E292" s="49"/>
      <c r="F292" s="49"/>
      <c r="G292" s="49"/>
      <c r="H292" s="42"/>
      <c r="I292" s="49"/>
      <c r="J292" s="42"/>
      <c r="K292" s="49"/>
      <c r="L292" s="49"/>
      <c r="M292" s="42"/>
      <c r="N292" s="42"/>
      <c r="O292" s="42"/>
      <c r="P292" s="42"/>
      <c r="Q292" s="49"/>
      <c r="R292" s="49"/>
      <c r="S292" s="49"/>
      <c r="T292" s="49"/>
      <c r="U292" s="49"/>
      <c r="V292" s="49"/>
      <c r="W292" s="49"/>
      <c r="X292" s="49"/>
      <c r="Y292" s="49"/>
      <c r="Z292" s="49"/>
      <c r="AA292" s="49"/>
      <c r="AB292" s="49"/>
      <c r="AC292" s="49"/>
      <c r="AD292" s="49"/>
    </row>
    <row r="293">
      <c r="A293" s="49"/>
      <c r="B293" s="49"/>
      <c r="C293" s="146"/>
      <c r="D293" s="146"/>
      <c r="E293" s="49"/>
      <c r="F293" s="49"/>
      <c r="G293" s="49"/>
      <c r="H293" s="42"/>
      <c r="I293" s="49"/>
      <c r="J293" s="42"/>
      <c r="K293" s="49"/>
      <c r="L293" s="49"/>
      <c r="M293" s="42"/>
      <c r="N293" s="42"/>
      <c r="O293" s="42"/>
      <c r="P293" s="42"/>
      <c r="Q293" s="49"/>
      <c r="R293" s="49"/>
      <c r="S293" s="49"/>
      <c r="T293" s="49"/>
      <c r="U293" s="49"/>
      <c r="V293" s="49"/>
      <c r="W293" s="49"/>
      <c r="X293" s="49"/>
      <c r="Y293" s="49"/>
      <c r="Z293" s="49"/>
      <c r="AA293" s="49"/>
      <c r="AB293" s="49"/>
      <c r="AC293" s="49"/>
      <c r="AD293" s="49"/>
    </row>
    <row r="294">
      <c r="A294" s="49"/>
      <c r="B294" s="49"/>
      <c r="C294" s="146"/>
      <c r="D294" s="146"/>
      <c r="E294" s="49"/>
      <c r="F294" s="49"/>
      <c r="G294" s="49"/>
      <c r="H294" s="42"/>
      <c r="I294" s="49"/>
      <c r="J294" s="42"/>
      <c r="K294" s="49"/>
      <c r="L294" s="49"/>
      <c r="M294" s="42"/>
      <c r="N294" s="42"/>
      <c r="O294" s="42"/>
      <c r="P294" s="42"/>
      <c r="Q294" s="49"/>
      <c r="R294" s="49"/>
      <c r="S294" s="49"/>
      <c r="T294" s="49"/>
      <c r="U294" s="49"/>
      <c r="V294" s="49"/>
      <c r="W294" s="49"/>
      <c r="X294" s="49"/>
      <c r="Y294" s="49"/>
      <c r="Z294" s="49"/>
      <c r="AA294" s="49"/>
      <c r="AB294" s="49"/>
      <c r="AC294" s="49"/>
      <c r="AD294" s="49"/>
    </row>
    <row r="295">
      <c r="A295" s="49"/>
      <c r="B295" s="49"/>
      <c r="C295" s="146"/>
      <c r="D295" s="146"/>
      <c r="E295" s="49"/>
      <c r="F295" s="49"/>
      <c r="G295" s="49"/>
      <c r="H295" s="42"/>
      <c r="I295" s="49"/>
      <c r="J295" s="42"/>
      <c r="K295" s="49"/>
      <c r="L295" s="49"/>
      <c r="M295" s="42"/>
      <c r="N295" s="42"/>
      <c r="O295" s="42"/>
      <c r="P295" s="42"/>
      <c r="Q295" s="49"/>
      <c r="R295" s="49"/>
      <c r="S295" s="49"/>
      <c r="T295" s="49"/>
      <c r="U295" s="49"/>
      <c r="V295" s="49"/>
      <c r="W295" s="49"/>
      <c r="X295" s="49"/>
      <c r="Y295" s="49"/>
      <c r="Z295" s="49"/>
      <c r="AA295" s="49"/>
      <c r="AB295" s="49"/>
      <c r="AC295" s="49"/>
      <c r="AD295" s="49"/>
    </row>
    <row r="296">
      <c r="A296" s="49"/>
      <c r="B296" s="49"/>
      <c r="C296" s="146"/>
      <c r="D296" s="146"/>
      <c r="E296" s="49"/>
      <c r="F296" s="49"/>
      <c r="G296" s="49"/>
      <c r="H296" s="42"/>
      <c r="I296" s="49"/>
      <c r="J296" s="42"/>
      <c r="K296" s="49"/>
      <c r="L296" s="49"/>
      <c r="M296" s="42"/>
      <c r="N296" s="42"/>
      <c r="O296" s="42"/>
      <c r="P296" s="42"/>
      <c r="Q296" s="49"/>
      <c r="R296" s="49"/>
      <c r="S296" s="49"/>
      <c r="T296" s="49"/>
      <c r="U296" s="49"/>
      <c r="V296" s="49"/>
      <c r="W296" s="49"/>
      <c r="X296" s="49"/>
      <c r="Y296" s="49"/>
      <c r="Z296" s="49"/>
      <c r="AA296" s="49"/>
      <c r="AB296" s="49"/>
      <c r="AC296" s="49"/>
      <c r="AD296" s="49"/>
    </row>
    <row r="297">
      <c r="A297" s="49"/>
      <c r="B297" s="49"/>
      <c r="C297" s="146"/>
      <c r="D297" s="146"/>
      <c r="E297" s="49"/>
      <c r="F297" s="49"/>
      <c r="G297" s="49"/>
      <c r="H297" s="42"/>
      <c r="I297" s="49"/>
      <c r="J297" s="42"/>
      <c r="K297" s="49"/>
      <c r="L297" s="49"/>
      <c r="M297" s="42"/>
      <c r="N297" s="42"/>
      <c r="O297" s="42"/>
      <c r="P297" s="42"/>
      <c r="Q297" s="49"/>
      <c r="R297" s="49"/>
      <c r="S297" s="49"/>
      <c r="T297" s="49"/>
      <c r="U297" s="49"/>
      <c r="V297" s="49"/>
      <c r="W297" s="49"/>
      <c r="X297" s="49"/>
      <c r="Y297" s="49"/>
      <c r="Z297" s="49"/>
      <c r="AA297" s="49"/>
      <c r="AB297" s="49"/>
      <c r="AC297" s="49"/>
      <c r="AD297" s="49"/>
    </row>
    <row r="298">
      <c r="A298" s="49"/>
      <c r="B298" s="49"/>
      <c r="C298" s="146"/>
      <c r="D298" s="146"/>
      <c r="E298" s="49"/>
      <c r="F298" s="49"/>
      <c r="G298" s="49"/>
      <c r="H298" s="42"/>
      <c r="I298" s="49"/>
      <c r="J298" s="42"/>
      <c r="K298" s="49"/>
      <c r="L298" s="49"/>
      <c r="M298" s="42"/>
      <c r="N298" s="42"/>
      <c r="O298" s="42"/>
      <c r="P298" s="42"/>
      <c r="Q298" s="49"/>
      <c r="R298" s="49"/>
      <c r="S298" s="49"/>
      <c r="T298" s="49"/>
      <c r="U298" s="49"/>
      <c r="V298" s="49"/>
      <c r="W298" s="49"/>
      <c r="X298" s="49"/>
      <c r="Y298" s="49"/>
      <c r="Z298" s="49"/>
      <c r="AA298" s="49"/>
      <c r="AB298" s="49"/>
      <c r="AC298" s="49"/>
      <c r="AD298" s="49"/>
    </row>
    <row r="299">
      <c r="A299" s="49"/>
      <c r="B299" s="49"/>
      <c r="C299" s="146"/>
      <c r="D299" s="146"/>
      <c r="E299" s="49"/>
      <c r="F299" s="49"/>
      <c r="G299" s="49"/>
      <c r="H299" s="42"/>
      <c r="I299" s="49"/>
      <c r="J299" s="42"/>
      <c r="K299" s="49"/>
      <c r="L299" s="49"/>
      <c r="M299" s="42"/>
      <c r="N299" s="42"/>
      <c r="O299" s="42"/>
      <c r="P299" s="42"/>
      <c r="Q299" s="49"/>
      <c r="R299" s="49"/>
      <c r="S299" s="49"/>
      <c r="T299" s="49"/>
      <c r="U299" s="49"/>
      <c r="V299" s="49"/>
      <c r="W299" s="49"/>
      <c r="X299" s="49"/>
      <c r="Y299" s="49"/>
      <c r="Z299" s="49"/>
      <c r="AA299" s="49"/>
      <c r="AB299" s="49"/>
      <c r="AC299" s="49"/>
      <c r="AD299" s="49"/>
    </row>
    <row r="300">
      <c r="A300" s="49"/>
      <c r="B300" s="49"/>
      <c r="C300" s="146"/>
      <c r="D300" s="146"/>
      <c r="E300" s="49"/>
      <c r="F300" s="49"/>
      <c r="G300" s="49"/>
      <c r="H300" s="42"/>
      <c r="I300" s="49"/>
      <c r="J300" s="42"/>
      <c r="K300" s="49"/>
      <c r="L300" s="49"/>
      <c r="M300" s="42"/>
      <c r="N300" s="42"/>
      <c r="O300" s="42"/>
      <c r="P300" s="42"/>
      <c r="Q300" s="49"/>
      <c r="R300" s="49"/>
      <c r="S300" s="49"/>
      <c r="T300" s="49"/>
      <c r="U300" s="49"/>
      <c r="V300" s="49"/>
      <c r="W300" s="49"/>
      <c r="X300" s="49"/>
      <c r="Y300" s="49"/>
      <c r="Z300" s="49"/>
      <c r="AA300" s="49"/>
      <c r="AB300" s="49"/>
      <c r="AC300" s="49"/>
      <c r="AD300" s="49"/>
    </row>
    <row r="301">
      <c r="A301" s="49"/>
      <c r="B301" s="49"/>
      <c r="C301" s="146"/>
      <c r="D301" s="146"/>
      <c r="E301" s="49"/>
      <c r="F301" s="49"/>
      <c r="G301" s="49"/>
      <c r="H301" s="42"/>
      <c r="I301" s="49"/>
      <c r="J301" s="42"/>
      <c r="K301" s="49"/>
      <c r="L301" s="49"/>
      <c r="M301" s="42"/>
      <c r="N301" s="42"/>
      <c r="O301" s="42"/>
      <c r="P301" s="42"/>
      <c r="Q301" s="49"/>
      <c r="R301" s="49"/>
      <c r="S301" s="49"/>
      <c r="T301" s="49"/>
      <c r="U301" s="49"/>
      <c r="V301" s="49"/>
      <c r="W301" s="49"/>
      <c r="X301" s="49"/>
      <c r="Y301" s="49"/>
      <c r="Z301" s="49"/>
      <c r="AA301" s="49"/>
      <c r="AB301" s="49"/>
      <c r="AC301" s="49"/>
      <c r="AD301" s="49"/>
    </row>
    <row r="302">
      <c r="A302" s="49"/>
      <c r="B302" s="49"/>
      <c r="C302" s="146"/>
      <c r="D302" s="146"/>
      <c r="E302" s="49"/>
      <c r="F302" s="49"/>
      <c r="G302" s="49"/>
      <c r="H302" s="42"/>
      <c r="I302" s="49"/>
      <c r="J302" s="42"/>
      <c r="K302" s="49"/>
      <c r="L302" s="49"/>
      <c r="M302" s="42"/>
      <c r="N302" s="42"/>
      <c r="O302" s="42"/>
      <c r="P302" s="42"/>
      <c r="Q302" s="49"/>
      <c r="R302" s="49"/>
      <c r="S302" s="49"/>
      <c r="T302" s="49"/>
      <c r="U302" s="49"/>
      <c r="V302" s="49"/>
      <c r="W302" s="49"/>
      <c r="X302" s="49"/>
      <c r="Y302" s="49"/>
      <c r="Z302" s="49"/>
      <c r="AA302" s="49"/>
      <c r="AB302" s="49"/>
      <c r="AC302" s="49"/>
      <c r="AD302" s="49"/>
    </row>
    <row r="303">
      <c r="A303" s="49"/>
      <c r="B303" s="49"/>
      <c r="C303" s="146"/>
      <c r="D303" s="146"/>
      <c r="E303" s="49"/>
      <c r="F303" s="49"/>
      <c r="G303" s="49"/>
      <c r="H303" s="42"/>
      <c r="I303" s="49"/>
      <c r="J303" s="42"/>
      <c r="K303" s="49"/>
      <c r="L303" s="49"/>
      <c r="M303" s="42"/>
      <c r="N303" s="42"/>
      <c r="O303" s="42"/>
      <c r="P303" s="42"/>
      <c r="Q303" s="49"/>
      <c r="R303" s="49"/>
      <c r="S303" s="49"/>
      <c r="T303" s="49"/>
      <c r="U303" s="49"/>
      <c r="V303" s="49"/>
      <c r="W303" s="49"/>
      <c r="X303" s="49"/>
      <c r="Y303" s="49"/>
      <c r="Z303" s="49"/>
      <c r="AA303" s="49"/>
      <c r="AB303" s="49"/>
      <c r="AC303" s="49"/>
      <c r="AD303" s="49"/>
    </row>
    <row r="304">
      <c r="A304" s="49"/>
      <c r="B304" s="49"/>
      <c r="C304" s="146"/>
      <c r="D304" s="146"/>
      <c r="E304" s="49"/>
      <c r="F304" s="49"/>
      <c r="G304" s="49"/>
      <c r="H304" s="42"/>
      <c r="I304" s="49"/>
      <c r="J304" s="42"/>
      <c r="K304" s="49"/>
      <c r="L304" s="49"/>
      <c r="M304" s="42"/>
      <c r="N304" s="42"/>
      <c r="O304" s="42"/>
      <c r="P304" s="42"/>
      <c r="Q304" s="49"/>
      <c r="R304" s="49"/>
      <c r="S304" s="49"/>
      <c r="T304" s="49"/>
      <c r="U304" s="49"/>
      <c r="V304" s="49"/>
      <c r="W304" s="49"/>
      <c r="X304" s="49"/>
      <c r="Y304" s="49"/>
      <c r="Z304" s="49"/>
      <c r="AA304" s="49"/>
      <c r="AB304" s="49"/>
      <c r="AC304" s="49"/>
      <c r="AD304" s="49"/>
    </row>
    <row r="305">
      <c r="A305" s="49"/>
      <c r="B305" s="49"/>
      <c r="C305" s="146"/>
      <c r="D305" s="146"/>
      <c r="E305" s="49"/>
      <c r="F305" s="49"/>
      <c r="G305" s="49"/>
      <c r="H305" s="42"/>
      <c r="I305" s="49"/>
      <c r="J305" s="42"/>
      <c r="K305" s="49"/>
      <c r="L305" s="49"/>
      <c r="M305" s="42"/>
      <c r="N305" s="42"/>
      <c r="O305" s="42"/>
      <c r="P305" s="42"/>
      <c r="Q305" s="49"/>
      <c r="R305" s="49"/>
      <c r="S305" s="49"/>
      <c r="T305" s="49"/>
      <c r="U305" s="49"/>
      <c r="V305" s="49"/>
      <c r="W305" s="49"/>
      <c r="X305" s="49"/>
      <c r="Y305" s="49"/>
      <c r="Z305" s="49"/>
      <c r="AA305" s="49"/>
      <c r="AB305" s="49"/>
      <c r="AC305" s="49"/>
      <c r="AD305" s="49"/>
    </row>
    <row r="306">
      <c r="A306" s="49"/>
      <c r="B306" s="49"/>
      <c r="C306" s="146"/>
      <c r="D306" s="146"/>
      <c r="E306" s="49"/>
      <c r="F306" s="49"/>
      <c r="G306" s="49"/>
      <c r="H306" s="42"/>
      <c r="I306" s="49"/>
      <c r="J306" s="42"/>
      <c r="K306" s="49"/>
      <c r="L306" s="49"/>
      <c r="M306" s="42"/>
      <c r="N306" s="42"/>
      <c r="O306" s="42"/>
      <c r="P306" s="42"/>
      <c r="Q306" s="49"/>
      <c r="R306" s="49"/>
      <c r="S306" s="49"/>
      <c r="T306" s="49"/>
      <c r="U306" s="49"/>
      <c r="V306" s="49"/>
      <c r="W306" s="49"/>
      <c r="X306" s="49"/>
      <c r="Y306" s="49"/>
      <c r="Z306" s="49"/>
      <c r="AA306" s="49"/>
      <c r="AB306" s="49"/>
      <c r="AC306" s="49"/>
      <c r="AD306" s="49"/>
    </row>
    <row r="307">
      <c r="A307" s="49"/>
      <c r="B307" s="49"/>
      <c r="C307" s="146"/>
      <c r="D307" s="146"/>
      <c r="E307" s="49"/>
      <c r="F307" s="49"/>
      <c r="G307" s="49"/>
      <c r="H307" s="42"/>
      <c r="I307" s="49"/>
      <c r="J307" s="42"/>
      <c r="K307" s="49"/>
      <c r="L307" s="49"/>
      <c r="M307" s="42"/>
      <c r="N307" s="42"/>
      <c r="O307" s="42"/>
      <c r="P307" s="42"/>
      <c r="Q307" s="49"/>
      <c r="R307" s="49"/>
      <c r="S307" s="49"/>
      <c r="T307" s="49"/>
      <c r="U307" s="49"/>
      <c r="V307" s="49"/>
      <c r="W307" s="49"/>
      <c r="X307" s="49"/>
      <c r="Y307" s="49"/>
      <c r="Z307" s="49"/>
      <c r="AA307" s="49"/>
      <c r="AB307" s="49"/>
      <c r="AC307" s="49"/>
      <c r="AD307" s="49"/>
    </row>
    <row r="308">
      <c r="A308" s="49"/>
      <c r="B308" s="49"/>
      <c r="C308" s="146"/>
      <c r="D308" s="146"/>
      <c r="E308" s="49"/>
      <c r="F308" s="49"/>
      <c r="G308" s="49"/>
      <c r="H308" s="42"/>
      <c r="I308" s="49"/>
      <c r="J308" s="42"/>
      <c r="K308" s="49"/>
      <c r="L308" s="49"/>
      <c r="M308" s="42"/>
      <c r="N308" s="42"/>
      <c r="O308" s="42"/>
      <c r="P308" s="42"/>
      <c r="Q308" s="49"/>
      <c r="R308" s="49"/>
      <c r="S308" s="49"/>
      <c r="T308" s="49"/>
      <c r="U308" s="49"/>
      <c r="V308" s="49"/>
      <c r="W308" s="49"/>
      <c r="X308" s="49"/>
      <c r="Y308" s="49"/>
      <c r="Z308" s="49"/>
      <c r="AA308" s="49"/>
      <c r="AB308" s="49"/>
      <c r="AC308" s="49"/>
      <c r="AD308" s="49"/>
    </row>
    <row r="309">
      <c r="A309" s="49"/>
      <c r="B309" s="49"/>
      <c r="C309" s="146"/>
      <c r="D309" s="146"/>
      <c r="E309" s="49"/>
      <c r="F309" s="49"/>
      <c r="G309" s="49"/>
      <c r="H309" s="42"/>
      <c r="I309" s="49"/>
      <c r="J309" s="42"/>
      <c r="K309" s="49"/>
      <c r="L309" s="49"/>
      <c r="M309" s="42"/>
      <c r="N309" s="42"/>
      <c r="O309" s="42"/>
      <c r="P309" s="42"/>
      <c r="Q309" s="49"/>
      <c r="R309" s="49"/>
      <c r="S309" s="49"/>
      <c r="T309" s="49"/>
      <c r="U309" s="49"/>
      <c r="V309" s="49"/>
      <c r="W309" s="49"/>
      <c r="X309" s="49"/>
      <c r="Y309" s="49"/>
      <c r="Z309" s="49"/>
      <c r="AA309" s="49"/>
      <c r="AB309" s="49"/>
      <c r="AC309" s="49"/>
      <c r="AD309" s="49"/>
    </row>
    <row r="310">
      <c r="A310" s="49"/>
      <c r="B310" s="49"/>
      <c r="C310" s="146"/>
      <c r="D310" s="146"/>
      <c r="E310" s="49"/>
      <c r="F310" s="49"/>
      <c r="G310" s="49"/>
      <c r="H310" s="42"/>
      <c r="I310" s="49"/>
      <c r="J310" s="42"/>
      <c r="K310" s="49"/>
      <c r="L310" s="49"/>
      <c r="M310" s="42"/>
      <c r="N310" s="42"/>
      <c r="O310" s="42"/>
      <c r="P310" s="42"/>
      <c r="Q310" s="49"/>
      <c r="R310" s="49"/>
      <c r="S310" s="49"/>
      <c r="T310" s="49"/>
      <c r="U310" s="49"/>
      <c r="V310" s="49"/>
      <c r="W310" s="49"/>
      <c r="X310" s="49"/>
      <c r="Y310" s="49"/>
      <c r="Z310" s="49"/>
      <c r="AA310" s="49"/>
      <c r="AB310" s="49"/>
      <c r="AC310" s="49"/>
      <c r="AD310" s="49"/>
    </row>
    <row r="311">
      <c r="A311" s="49"/>
      <c r="B311" s="49"/>
      <c r="C311" s="146"/>
      <c r="D311" s="146"/>
      <c r="E311" s="49"/>
      <c r="F311" s="49"/>
      <c r="G311" s="49"/>
      <c r="H311" s="42"/>
      <c r="I311" s="49"/>
      <c r="J311" s="42"/>
      <c r="K311" s="49"/>
      <c r="L311" s="49"/>
      <c r="M311" s="42"/>
      <c r="N311" s="42"/>
      <c r="O311" s="42"/>
      <c r="P311" s="42"/>
      <c r="Q311" s="49"/>
      <c r="R311" s="49"/>
      <c r="S311" s="49"/>
      <c r="T311" s="49"/>
      <c r="U311" s="49"/>
      <c r="V311" s="49"/>
      <c r="W311" s="49"/>
      <c r="X311" s="49"/>
      <c r="Y311" s="49"/>
      <c r="Z311" s="49"/>
      <c r="AA311" s="49"/>
      <c r="AB311" s="49"/>
      <c r="AC311" s="49"/>
      <c r="AD311" s="49"/>
    </row>
    <row r="312">
      <c r="A312" s="49"/>
      <c r="B312" s="49"/>
      <c r="C312" s="146"/>
      <c r="D312" s="146"/>
      <c r="E312" s="49"/>
      <c r="F312" s="49"/>
      <c r="G312" s="49"/>
      <c r="H312" s="42"/>
      <c r="I312" s="49"/>
      <c r="J312" s="42"/>
      <c r="K312" s="49"/>
      <c r="L312" s="49"/>
      <c r="M312" s="42"/>
      <c r="N312" s="42"/>
      <c r="O312" s="42"/>
      <c r="P312" s="42"/>
      <c r="Q312" s="49"/>
      <c r="R312" s="49"/>
      <c r="S312" s="49"/>
      <c r="T312" s="49"/>
      <c r="U312" s="49"/>
      <c r="V312" s="49"/>
      <c r="W312" s="49"/>
      <c r="X312" s="49"/>
      <c r="Y312" s="49"/>
      <c r="Z312" s="49"/>
      <c r="AA312" s="49"/>
      <c r="AB312" s="49"/>
      <c r="AC312" s="49"/>
      <c r="AD312" s="49"/>
    </row>
    <row r="313">
      <c r="A313" s="49"/>
      <c r="B313" s="49"/>
      <c r="C313" s="146"/>
      <c r="D313" s="146"/>
      <c r="E313" s="49"/>
      <c r="F313" s="49"/>
      <c r="G313" s="49"/>
      <c r="H313" s="42"/>
      <c r="I313" s="49"/>
      <c r="J313" s="42"/>
      <c r="K313" s="49"/>
      <c r="L313" s="49"/>
      <c r="M313" s="42"/>
      <c r="N313" s="42"/>
      <c r="O313" s="42"/>
      <c r="P313" s="42"/>
      <c r="Q313" s="49"/>
      <c r="R313" s="49"/>
      <c r="S313" s="49"/>
      <c r="T313" s="49"/>
      <c r="U313" s="49"/>
      <c r="V313" s="49"/>
      <c r="W313" s="49"/>
      <c r="X313" s="49"/>
      <c r="Y313" s="49"/>
      <c r="Z313" s="49"/>
      <c r="AA313" s="49"/>
      <c r="AB313" s="49"/>
      <c r="AC313" s="49"/>
      <c r="AD313" s="49"/>
    </row>
    <row r="314">
      <c r="A314" s="49"/>
      <c r="B314" s="49"/>
      <c r="C314" s="146"/>
      <c r="D314" s="146"/>
      <c r="E314" s="49"/>
      <c r="F314" s="49"/>
      <c r="G314" s="49"/>
      <c r="H314" s="42"/>
      <c r="I314" s="49"/>
      <c r="J314" s="42"/>
      <c r="K314" s="49"/>
      <c r="L314" s="49"/>
      <c r="M314" s="42"/>
      <c r="N314" s="42"/>
      <c r="O314" s="42"/>
      <c r="P314" s="42"/>
      <c r="Q314" s="49"/>
      <c r="R314" s="49"/>
      <c r="S314" s="49"/>
      <c r="T314" s="49"/>
      <c r="U314" s="49"/>
      <c r="V314" s="49"/>
      <c r="W314" s="49"/>
      <c r="X314" s="49"/>
      <c r="Y314" s="49"/>
      <c r="Z314" s="49"/>
      <c r="AA314" s="49"/>
      <c r="AB314" s="49"/>
      <c r="AC314" s="49"/>
      <c r="AD314" s="49"/>
    </row>
    <row r="315">
      <c r="A315" s="49"/>
      <c r="B315" s="49"/>
      <c r="C315" s="146"/>
      <c r="D315" s="146"/>
      <c r="E315" s="49"/>
      <c r="F315" s="49"/>
      <c r="G315" s="49"/>
      <c r="H315" s="42"/>
      <c r="I315" s="49"/>
      <c r="J315" s="42"/>
      <c r="K315" s="49"/>
      <c r="L315" s="49"/>
      <c r="M315" s="42"/>
      <c r="N315" s="42"/>
      <c r="O315" s="42"/>
      <c r="P315" s="42"/>
      <c r="Q315" s="49"/>
      <c r="R315" s="49"/>
      <c r="S315" s="49"/>
      <c r="T315" s="49"/>
      <c r="U315" s="49"/>
      <c r="V315" s="49"/>
      <c r="W315" s="49"/>
      <c r="X315" s="49"/>
      <c r="Y315" s="49"/>
      <c r="Z315" s="49"/>
      <c r="AA315" s="49"/>
      <c r="AB315" s="49"/>
      <c r="AC315" s="49"/>
      <c r="AD315" s="49"/>
    </row>
    <row r="316">
      <c r="A316" s="49"/>
      <c r="B316" s="49"/>
      <c r="C316" s="146"/>
      <c r="D316" s="146"/>
      <c r="E316" s="49"/>
      <c r="F316" s="49"/>
      <c r="G316" s="49"/>
      <c r="H316" s="42"/>
      <c r="I316" s="49"/>
      <c r="J316" s="42"/>
      <c r="K316" s="49"/>
      <c r="L316" s="49"/>
      <c r="M316" s="42"/>
      <c r="N316" s="42"/>
      <c r="O316" s="42"/>
      <c r="P316" s="42"/>
      <c r="Q316" s="49"/>
      <c r="R316" s="49"/>
      <c r="S316" s="49"/>
      <c r="T316" s="49"/>
      <c r="U316" s="49"/>
      <c r="V316" s="49"/>
      <c r="W316" s="49"/>
      <c r="X316" s="49"/>
      <c r="Y316" s="49"/>
      <c r="Z316" s="49"/>
      <c r="AA316" s="49"/>
      <c r="AB316" s="49"/>
      <c r="AC316" s="49"/>
      <c r="AD316" s="49"/>
    </row>
    <row r="317">
      <c r="A317" s="49"/>
      <c r="B317" s="49"/>
      <c r="C317" s="146"/>
      <c r="D317" s="146"/>
      <c r="E317" s="49"/>
      <c r="F317" s="49"/>
      <c r="G317" s="49"/>
      <c r="H317" s="42"/>
      <c r="I317" s="49"/>
      <c r="J317" s="42"/>
      <c r="K317" s="49"/>
      <c r="L317" s="49"/>
      <c r="M317" s="42"/>
      <c r="N317" s="42"/>
      <c r="O317" s="42"/>
      <c r="P317" s="42"/>
      <c r="Q317" s="49"/>
      <c r="R317" s="49"/>
      <c r="S317" s="49"/>
      <c r="T317" s="49"/>
      <c r="U317" s="49"/>
      <c r="V317" s="49"/>
      <c r="W317" s="49"/>
      <c r="X317" s="49"/>
      <c r="Y317" s="49"/>
      <c r="Z317" s="49"/>
      <c r="AA317" s="49"/>
      <c r="AB317" s="49"/>
      <c r="AC317" s="49"/>
      <c r="AD317" s="49"/>
    </row>
    <row r="318">
      <c r="A318" s="49"/>
      <c r="B318" s="49"/>
      <c r="C318" s="146"/>
      <c r="D318" s="146"/>
      <c r="E318" s="49"/>
      <c r="F318" s="49"/>
      <c r="G318" s="49"/>
      <c r="H318" s="42"/>
      <c r="I318" s="49"/>
      <c r="J318" s="42"/>
      <c r="K318" s="49"/>
      <c r="L318" s="49"/>
      <c r="M318" s="42"/>
      <c r="N318" s="42"/>
      <c r="O318" s="42"/>
      <c r="P318" s="42"/>
      <c r="Q318" s="49"/>
      <c r="R318" s="49"/>
      <c r="S318" s="49"/>
      <c r="T318" s="49"/>
      <c r="U318" s="49"/>
      <c r="V318" s="49"/>
      <c r="W318" s="49"/>
      <c r="X318" s="49"/>
      <c r="Y318" s="49"/>
      <c r="Z318" s="49"/>
      <c r="AA318" s="49"/>
      <c r="AB318" s="49"/>
      <c r="AC318" s="49"/>
      <c r="AD318" s="49"/>
    </row>
    <row r="319">
      <c r="A319" s="49"/>
      <c r="B319" s="49"/>
      <c r="C319" s="146"/>
      <c r="D319" s="146"/>
      <c r="E319" s="49"/>
      <c r="F319" s="49"/>
      <c r="G319" s="49"/>
      <c r="H319" s="42"/>
      <c r="I319" s="49"/>
      <c r="J319" s="42"/>
      <c r="K319" s="49"/>
      <c r="L319" s="49"/>
      <c r="M319" s="42"/>
      <c r="N319" s="42"/>
      <c r="O319" s="42"/>
      <c r="P319" s="42"/>
      <c r="Q319" s="49"/>
      <c r="R319" s="49"/>
      <c r="S319" s="49"/>
      <c r="T319" s="49"/>
      <c r="U319" s="49"/>
      <c r="V319" s="49"/>
      <c r="W319" s="49"/>
      <c r="X319" s="49"/>
      <c r="Y319" s="49"/>
      <c r="Z319" s="49"/>
      <c r="AA319" s="49"/>
      <c r="AB319" s="49"/>
      <c r="AC319" s="49"/>
      <c r="AD319" s="49"/>
    </row>
    <row r="320">
      <c r="A320" s="49"/>
      <c r="B320" s="49"/>
      <c r="C320" s="146"/>
      <c r="D320" s="146"/>
      <c r="E320" s="49"/>
      <c r="F320" s="49"/>
      <c r="G320" s="49"/>
      <c r="H320" s="42"/>
      <c r="I320" s="49"/>
      <c r="J320" s="42"/>
      <c r="K320" s="49"/>
      <c r="L320" s="49"/>
      <c r="M320" s="42"/>
      <c r="N320" s="42"/>
      <c r="O320" s="42"/>
      <c r="P320" s="42"/>
      <c r="Q320" s="49"/>
      <c r="R320" s="49"/>
      <c r="S320" s="49"/>
      <c r="T320" s="49"/>
      <c r="U320" s="49"/>
      <c r="V320" s="49"/>
      <c r="W320" s="49"/>
      <c r="X320" s="49"/>
      <c r="Y320" s="49"/>
      <c r="Z320" s="49"/>
      <c r="AA320" s="49"/>
      <c r="AB320" s="49"/>
      <c r="AC320" s="49"/>
      <c r="AD320" s="49"/>
    </row>
    <row r="321">
      <c r="A321" s="49"/>
      <c r="B321" s="49"/>
      <c r="C321" s="146"/>
      <c r="D321" s="146"/>
      <c r="E321" s="49"/>
      <c r="F321" s="49"/>
      <c r="G321" s="49"/>
      <c r="H321" s="42"/>
      <c r="I321" s="49"/>
      <c r="J321" s="42"/>
      <c r="K321" s="49"/>
      <c r="L321" s="49"/>
      <c r="M321" s="42"/>
      <c r="N321" s="42"/>
      <c r="O321" s="42"/>
      <c r="P321" s="42"/>
      <c r="Q321" s="49"/>
      <c r="R321" s="49"/>
      <c r="S321" s="49"/>
      <c r="T321" s="49"/>
      <c r="U321" s="49"/>
      <c r="V321" s="49"/>
      <c r="W321" s="49"/>
      <c r="X321" s="49"/>
      <c r="Y321" s="49"/>
      <c r="Z321" s="49"/>
      <c r="AA321" s="49"/>
      <c r="AB321" s="49"/>
      <c r="AC321" s="49"/>
      <c r="AD321" s="49"/>
    </row>
    <row r="322">
      <c r="A322" s="49"/>
      <c r="B322" s="49"/>
      <c r="C322" s="146"/>
      <c r="D322" s="146"/>
      <c r="E322" s="49"/>
      <c r="F322" s="49"/>
      <c r="G322" s="49"/>
      <c r="H322" s="42"/>
      <c r="I322" s="49"/>
      <c r="J322" s="42"/>
      <c r="K322" s="49"/>
      <c r="L322" s="49"/>
      <c r="M322" s="42"/>
      <c r="N322" s="42"/>
      <c r="O322" s="42"/>
      <c r="P322" s="42"/>
      <c r="Q322" s="49"/>
      <c r="R322" s="49"/>
      <c r="S322" s="49"/>
      <c r="T322" s="49"/>
      <c r="U322" s="49"/>
      <c r="V322" s="49"/>
      <c r="W322" s="49"/>
      <c r="X322" s="49"/>
      <c r="Y322" s="49"/>
      <c r="Z322" s="49"/>
      <c r="AA322" s="49"/>
      <c r="AB322" s="49"/>
      <c r="AC322" s="49"/>
      <c r="AD322" s="49"/>
    </row>
    <row r="323">
      <c r="A323" s="49"/>
      <c r="B323" s="49"/>
      <c r="C323" s="146"/>
      <c r="D323" s="146"/>
      <c r="E323" s="49"/>
      <c r="F323" s="49"/>
      <c r="G323" s="49"/>
      <c r="H323" s="42"/>
      <c r="I323" s="49"/>
      <c r="J323" s="42"/>
      <c r="K323" s="49"/>
      <c r="L323" s="49"/>
      <c r="M323" s="42"/>
      <c r="N323" s="42"/>
      <c r="O323" s="42"/>
      <c r="P323" s="42"/>
      <c r="Q323" s="49"/>
      <c r="R323" s="49"/>
      <c r="S323" s="49"/>
      <c r="T323" s="49"/>
      <c r="U323" s="49"/>
      <c r="V323" s="49"/>
      <c r="W323" s="49"/>
      <c r="X323" s="49"/>
      <c r="Y323" s="49"/>
      <c r="Z323" s="49"/>
      <c r="AA323" s="49"/>
      <c r="AB323" s="49"/>
      <c r="AC323" s="49"/>
      <c r="AD323" s="49"/>
    </row>
    <row r="324">
      <c r="A324" s="49"/>
      <c r="B324" s="49"/>
      <c r="C324" s="146"/>
      <c r="D324" s="146"/>
      <c r="E324" s="49"/>
      <c r="F324" s="49"/>
      <c r="G324" s="49"/>
      <c r="H324" s="42"/>
      <c r="I324" s="49"/>
      <c r="J324" s="42"/>
      <c r="K324" s="49"/>
      <c r="L324" s="49"/>
      <c r="M324" s="42"/>
      <c r="N324" s="42"/>
      <c r="O324" s="42"/>
      <c r="P324" s="42"/>
      <c r="Q324" s="49"/>
      <c r="R324" s="49"/>
      <c r="S324" s="49"/>
      <c r="T324" s="49"/>
      <c r="U324" s="49"/>
      <c r="V324" s="49"/>
      <c r="W324" s="49"/>
      <c r="X324" s="49"/>
      <c r="Y324" s="49"/>
      <c r="Z324" s="49"/>
      <c r="AA324" s="49"/>
      <c r="AB324" s="49"/>
      <c r="AC324" s="49"/>
      <c r="AD324" s="49"/>
    </row>
    <row r="325">
      <c r="A325" s="49"/>
      <c r="B325" s="49"/>
      <c r="C325" s="146"/>
      <c r="D325" s="146"/>
      <c r="E325" s="49"/>
      <c r="F325" s="49"/>
      <c r="G325" s="49"/>
      <c r="H325" s="42"/>
      <c r="I325" s="49"/>
      <c r="J325" s="42"/>
      <c r="K325" s="49"/>
      <c r="L325" s="49"/>
      <c r="M325" s="42"/>
      <c r="N325" s="42"/>
      <c r="O325" s="42"/>
      <c r="P325" s="42"/>
      <c r="Q325" s="49"/>
      <c r="R325" s="49"/>
      <c r="S325" s="49"/>
      <c r="T325" s="49"/>
      <c r="U325" s="49"/>
      <c r="V325" s="49"/>
      <c r="W325" s="49"/>
      <c r="X325" s="49"/>
      <c r="Y325" s="49"/>
      <c r="Z325" s="49"/>
      <c r="AA325" s="49"/>
      <c r="AB325" s="49"/>
      <c r="AC325" s="49"/>
      <c r="AD325" s="49"/>
    </row>
    <row r="326">
      <c r="A326" s="49"/>
      <c r="B326" s="49"/>
      <c r="C326" s="146"/>
      <c r="D326" s="146"/>
      <c r="E326" s="49"/>
      <c r="F326" s="49"/>
      <c r="G326" s="49"/>
      <c r="H326" s="42"/>
      <c r="I326" s="49"/>
      <c r="J326" s="42"/>
      <c r="K326" s="49"/>
      <c r="L326" s="49"/>
      <c r="M326" s="42"/>
      <c r="N326" s="42"/>
      <c r="O326" s="42"/>
      <c r="P326" s="42"/>
      <c r="Q326" s="49"/>
      <c r="R326" s="49"/>
      <c r="S326" s="49"/>
      <c r="T326" s="49"/>
      <c r="U326" s="49"/>
      <c r="V326" s="49"/>
      <c r="W326" s="49"/>
      <c r="X326" s="49"/>
      <c r="Y326" s="49"/>
      <c r="Z326" s="49"/>
      <c r="AA326" s="49"/>
      <c r="AB326" s="49"/>
      <c r="AC326" s="49"/>
      <c r="AD326" s="49"/>
    </row>
    <row r="327">
      <c r="A327" s="49"/>
      <c r="B327" s="49"/>
      <c r="C327" s="146"/>
      <c r="D327" s="146"/>
      <c r="E327" s="49"/>
      <c r="F327" s="49"/>
      <c r="G327" s="49"/>
      <c r="H327" s="42"/>
      <c r="I327" s="49"/>
      <c r="J327" s="42"/>
      <c r="K327" s="49"/>
      <c r="L327" s="49"/>
      <c r="M327" s="42"/>
      <c r="N327" s="42"/>
      <c r="O327" s="42"/>
      <c r="P327" s="42"/>
      <c r="Q327" s="49"/>
      <c r="R327" s="49"/>
      <c r="S327" s="49"/>
      <c r="T327" s="49"/>
      <c r="U327" s="49"/>
      <c r="V327" s="49"/>
      <c r="W327" s="49"/>
      <c r="X327" s="49"/>
      <c r="Y327" s="49"/>
      <c r="Z327" s="49"/>
      <c r="AA327" s="49"/>
      <c r="AB327" s="49"/>
      <c r="AC327" s="49"/>
      <c r="AD327" s="49"/>
    </row>
    <row r="328">
      <c r="A328" s="49"/>
      <c r="B328" s="49"/>
      <c r="C328" s="146"/>
      <c r="D328" s="146"/>
      <c r="E328" s="49"/>
      <c r="F328" s="49"/>
      <c r="G328" s="49"/>
      <c r="H328" s="42"/>
      <c r="I328" s="49"/>
      <c r="J328" s="42"/>
      <c r="K328" s="49"/>
      <c r="L328" s="49"/>
      <c r="M328" s="42"/>
      <c r="N328" s="42"/>
      <c r="O328" s="42"/>
      <c r="P328" s="42"/>
      <c r="Q328" s="49"/>
      <c r="R328" s="49"/>
      <c r="S328" s="49"/>
      <c r="T328" s="49"/>
      <c r="U328" s="49"/>
      <c r="V328" s="49"/>
      <c r="W328" s="49"/>
      <c r="X328" s="49"/>
      <c r="Y328" s="49"/>
      <c r="Z328" s="49"/>
      <c r="AA328" s="49"/>
      <c r="AB328" s="49"/>
      <c r="AC328" s="49"/>
      <c r="AD328" s="49"/>
    </row>
    <row r="329">
      <c r="A329" s="49"/>
      <c r="B329" s="49"/>
      <c r="C329" s="146"/>
      <c r="D329" s="146"/>
      <c r="E329" s="49"/>
      <c r="F329" s="49"/>
      <c r="G329" s="49"/>
      <c r="H329" s="42"/>
      <c r="I329" s="49"/>
      <c r="J329" s="42"/>
      <c r="K329" s="49"/>
      <c r="L329" s="49"/>
      <c r="M329" s="42"/>
      <c r="N329" s="42"/>
      <c r="O329" s="42"/>
      <c r="P329" s="42"/>
      <c r="Q329" s="49"/>
      <c r="R329" s="49"/>
      <c r="S329" s="49"/>
      <c r="T329" s="49"/>
      <c r="U329" s="49"/>
      <c r="V329" s="49"/>
      <c r="W329" s="49"/>
      <c r="X329" s="49"/>
      <c r="Y329" s="49"/>
      <c r="Z329" s="49"/>
      <c r="AA329" s="49"/>
      <c r="AB329" s="49"/>
      <c r="AC329" s="49"/>
      <c r="AD329" s="49"/>
    </row>
    <row r="330">
      <c r="A330" s="49"/>
      <c r="B330" s="49"/>
      <c r="C330" s="146"/>
      <c r="D330" s="146"/>
      <c r="E330" s="49"/>
      <c r="F330" s="49"/>
      <c r="G330" s="49"/>
      <c r="H330" s="42"/>
      <c r="I330" s="49"/>
      <c r="J330" s="42"/>
      <c r="K330" s="49"/>
      <c r="L330" s="49"/>
      <c r="M330" s="42"/>
      <c r="N330" s="42"/>
      <c r="O330" s="42"/>
      <c r="P330" s="42"/>
      <c r="Q330" s="49"/>
      <c r="R330" s="49"/>
      <c r="S330" s="49"/>
      <c r="T330" s="49"/>
      <c r="U330" s="49"/>
      <c r="V330" s="49"/>
      <c r="W330" s="49"/>
      <c r="X330" s="49"/>
      <c r="Y330" s="49"/>
      <c r="Z330" s="49"/>
      <c r="AA330" s="49"/>
      <c r="AB330" s="49"/>
      <c r="AC330" s="49"/>
      <c r="AD330" s="49"/>
    </row>
    <row r="331">
      <c r="A331" s="49"/>
      <c r="B331" s="49"/>
      <c r="C331" s="146"/>
      <c r="D331" s="146"/>
      <c r="E331" s="49"/>
      <c r="F331" s="49"/>
      <c r="G331" s="49"/>
      <c r="H331" s="42"/>
      <c r="I331" s="49"/>
      <c r="J331" s="42"/>
      <c r="K331" s="49"/>
      <c r="L331" s="49"/>
      <c r="M331" s="42"/>
      <c r="N331" s="42"/>
      <c r="O331" s="42"/>
      <c r="P331" s="42"/>
      <c r="Q331" s="49"/>
      <c r="R331" s="49"/>
      <c r="S331" s="49"/>
      <c r="T331" s="49"/>
      <c r="U331" s="49"/>
      <c r="V331" s="49"/>
      <c r="W331" s="49"/>
      <c r="X331" s="49"/>
      <c r="Y331" s="49"/>
      <c r="Z331" s="49"/>
      <c r="AA331" s="49"/>
      <c r="AB331" s="49"/>
      <c r="AC331" s="49"/>
      <c r="AD331" s="49"/>
    </row>
    <row r="332">
      <c r="A332" s="49"/>
      <c r="B332" s="49"/>
      <c r="C332" s="146"/>
      <c r="D332" s="146"/>
      <c r="E332" s="49"/>
      <c r="F332" s="49"/>
      <c r="G332" s="49"/>
      <c r="H332" s="42"/>
      <c r="I332" s="49"/>
      <c r="J332" s="42"/>
      <c r="K332" s="49"/>
      <c r="L332" s="49"/>
      <c r="M332" s="42"/>
      <c r="N332" s="42"/>
      <c r="O332" s="42"/>
      <c r="P332" s="42"/>
      <c r="Q332" s="49"/>
      <c r="R332" s="49"/>
      <c r="S332" s="49"/>
      <c r="T332" s="49"/>
      <c r="U332" s="49"/>
      <c r="V332" s="49"/>
      <c r="W332" s="49"/>
      <c r="X332" s="49"/>
      <c r="Y332" s="49"/>
      <c r="Z332" s="49"/>
      <c r="AA332" s="49"/>
      <c r="AB332" s="49"/>
      <c r="AC332" s="49"/>
      <c r="AD332" s="49"/>
    </row>
    <row r="333">
      <c r="A333" s="49"/>
      <c r="B333" s="49"/>
      <c r="C333" s="146"/>
      <c r="D333" s="146"/>
      <c r="E333" s="49"/>
      <c r="F333" s="49"/>
      <c r="G333" s="49"/>
      <c r="H333" s="42"/>
      <c r="I333" s="49"/>
      <c r="J333" s="42"/>
      <c r="K333" s="49"/>
      <c r="L333" s="49"/>
      <c r="M333" s="42"/>
      <c r="N333" s="42"/>
      <c r="O333" s="42"/>
      <c r="P333" s="42"/>
      <c r="Q333" s="49"/>
      <c r="R333" s="49"/>
      <c r="S333" s="49"/>
      <c r="T333" s="49"/>
      <c r="U333" s="49"/>
      <c r="V333" s="49"/>
      <c r="W333" s="49"/>
      <c r="X333" s="49"/>
      <c r="Y333" s="49"/>
      <c r="Z333" s="49"/>
      <c r="AA333" s="49"/>
      <c r="AB333" s="49"/>
      <c r="AC333" s="49"/>
      <c r="AD333" s="49"/>
    </row>
    <row r="334">
      <c r="A334" s="49"/>
      <c r="B334" s="49"/>
      <c r="C334" s="146"/>
      <c r="D334" s="146"/>
      <c r="E334" s="49"/>
      <c r="F334" s="49"/>
      <c r="G334" s="49"/>
      <c r="H334" s="42"/>
      <c r="I334" s="49"/>
      <c r="J334" s="42"/>
      <c r="K334" s="49"/>
      <c r="L334" s="49"/>
      <c r="M334" s="42"/>
      <c r="N334" s="42"/>
      <c r="O334" s="42"/>
      <c r="P334" s="42"/>
      <c r="Q334" s="49"/>
      <c r="R334" s="49"/>
      <c r="S334" s="49"/>
      <c r="T334" s="49"/>
      <c r="U334" s="49"/>
      <c r="V334" s="49"/>
      <c r="W334" s="49"/>
      <c r="X334" s="49"/>
      <c r="Y334" s="49"/>
      <c r="Z334" s="49"/>
      <c r="AA334" s="49"/>
      <c r="AB334" s="49"/>
      <c r="AC334" s="49"/>
      <c r="AD334" s="49"/>
    </row>
    <row r="335">
      <c r="A335" s="49"/>
      <c r="B335" s="49"/>
      <c r="C335" s="146"/>
      <c r="D335" s="146"/>
      <c r="E335" s="49"/>
      <c r="F335" s="49"/>
      <c r="G335" s="49"/>
      <c r="H335" s="42"/>
      <c r="I335" s="49"/>
      <c r="J335" s="42"/>
      <c r="K335" s="49"/>
      <c r="L335" s="49"/>
      <c r="M335" s="42"/>
      <c r="N335" s="42"/>
      <c r="O335" s="42"/>
      <c r="P335" s="42"/>
      <c r="Q335" s="49"/>
      <c r="R335" s="49"/>
      <c r="S335" s="49"/>
      <c r="T335" s="49"/>
      <c r="U335" s="49"/>
      <c r="V335" s="49"/>
      <c r="W335" s="49"/>
      <c r="X335" s="49"/>
      <c r="Y335" s="49"/>
      <c r="Z335" s="49"/>
      <c r="AA335" s="49"/>
      <c r="AB335" s="49"/>
      <c r="AC335" s="49"/>
      <c r="AD335" s="49"/>
    </row>
    <row r="336">
      <c r="A336" s="49"/>
      <c r="B336" s="49"/>
      <c r="C336" s="146"/>
      <c r="D336" s="146"/>
      <c r="E336" s="49"/>
      <c r="F336" s="49"/>
      <c r="G336" s="49"/>
      <c r="H336" s="42"/>
      <c r="I336" s="49"/>
      <c r="J336" s="42"/>
      <c r="K336" s="49"/>
      <c r="L336" s="49"/>
      <c r="M336" s="42"/>
      <c r="N336" s="42"/>
      <c r="O336" s="42"/>
      <c r="P336" s="42"/>
      <c r="Q336" s="49"/>
      <c r="R336" s="49"/>
      <c r="S336" s="49"/>
      <c r="T336" s="49"/>
      <c r="U336" s="49"/>
      <c r="V336" s="49"/>
      <c r="W336" s="49"/>
      <c r="X336" s="49"/>
      <c r="Y336" s="49"/>
      <c r="Z336" s="49"/>
      <c r="AA336" s="49"/>
      <c r="AB336" s="49"/>
      <c r="AC336" s="49"/>
      <c r="AD336" s="49"/>
    </row>
    <row r="337">
      <c r="A337" s="49"/>
      <c r="B337" s="49"/>
      <c r="C337" s="146"/>
      <c r="D337" s="146"/>
      <c r="E337" s="49"/>
      <c r="F337" s="49"/>
      <c r="G337" s="49"/>
      <c r="H337" s="42"/>
      <c r="I337" s="49"/>
      <c r="J337" s="42"/>
      <c r="K337" s="49"/>
      <c r="L337" s="49"/>
      <c r="M337" s="42"/>
      <c r="N337" s="42"/>
      <c r="O337" s="42"/>
      <c r="P337" s="42"/>
      <c r="Q337" s="49"/>
      <c r="R337" s="49"/>
      <c r="S337" s="49"/>
      <c r="T337" s="49"/>
      <c r="U337" s="49"/>
      <c r="V337" s="49"/>
      <c r="W337" s="49"/>
      <c r="X337" s="49"/>
      <c r="Y337" s="49"/>
      <c r="Z337" s="49"/>
      <c r="AA337" s="49"/>
      <c r="AB337" s="49"/>
      <c r="AC337" s="49"/>
      <c r="AD337" s="49"/>
    </row>
    <row r="338">
      <c r="A338" s="49"/>
      <c r="B338" s="49"/>
      <c r="C338" s="146"/>
      <c r="D338" s="146"/>
      <c r="E338" s="49"/>
      <c r="F338" s="49"/>
      <c r="G338" s="49"/>
      <c r="H338" s="42"/>
      <c r="I338" s="49"/>
      <c r="J338" s="42"/>
      <c r="K338" s="49"/>
      <c r="L338" s="49"/>
      <c r="M338" s="42"/>
      <c r="N338" s="42"/>
      <c r="O338" s="42"/>
      <c r="P338" s="42"/>
      <c r="Q338" s="49"/>
      <c r="R338" s="49"/>
      <c r="S338" s="49"/>
      <c r="T338" s="49"/>
      <c r="U338" s="49"/>
      <c r="V338" s="49"/>
      <c r="W338" s="49"/>
      <c r="X338" s="49"/>
      <c r="Y338" s="49"/>
      <c r="Z338" s="49"/>
      <c r="AA338" s="49"/>
      <c r="AB338" s="49"/>
      <c r="AC338" s="49"/>
      <c r="AD338" s="49"/>
    </row>
    <row r="339">
      <c r="A339" s="49"/>
      <c r="B339" s="49"/>
      <c r="C339" s="146"/>
      <c r="D339" s="146"/>
      <c r="E339" s="49"/>
      <c r="F339" s="49"/>
      <c r="G339" s="49"/>
      <c r="H339" s="42"/>
      <c r="I339" s="49"/>
      <c r="J339" s="42"/>
      <c r="K339" s="49"/>
      <c r="L339" s="49"/>
      <c r="M339" s="42"/>
      <c r="N339" s="42"/>
      <c r="O339" s="42"/>
      <c r="P339" s="42"/>
      <c r="Q339" s="49"/>
      <c r="R339" s="49"/>
      <c r="S339" s="49"/>
      <c r="T339" s="49"/>
      <c r="U339" s="49"/>
      <c r="V339" s="49"/>
      <c r="W339" s="49"/>
      <c r="X339" s="49"/>
      <c r="Y339" s="49"/>
      <c r="Z339" s="49"/>
      <c r="AA339" s="49"/>
      <c r="AB339" s="49"/>
      <c r="AC339" s="49"/>
      <c r="AD339" s="49"/>
    </row>
    <row r="340">
      <c r="A340" s="49"/>
      <c r="B340" s="49"/>
      <c r="C340" s="146"/>
      <c r="D340" s="146"/>
      <c r="E340" s="49"/>
      <c r="F340" s="49"/>
      <c r="G340" s="49"/>
      <c r="H340" s="42"/>
      <c r="I340" s="49"/>
      <c r="J340" s="42"/>
      <c r="K340" s="49"/>
      <c r="L340" s="49"/>
      <c r="M340" s="42"/>
      <c r="N340" s="42"/>
      <c r="O340" s="42"/>
      <c r="P340" s="42"/>
      <c r="Q340" s="49"/>
      <c r="R340" s="49"/>
      <c r="S340" s="49"/>
      <c r="T340" s="49"/>
      <c r="U340" s="49"/>
      <c r="V340" s="49"/>
      <c r="W340" s="49"/>
      <c r="X340" s="49"/>
      <c r="Y340" s="49"/>
      <c r="Z340" s="49"/>
      <c r="AA340" s="49"/>
      <c r="AB340" s="49"/>
      <c r="AC340" s="49"/>
      <c r="AD340" s="49"/>
    </row>
    <row r="341">
      <c r="A341" s="49"/>
      <c r="B341" s="49"/>
      <c r="C341" s="146"/>
      <c r="D341" s="146"/>
      <c r="E341" s="49"/>
      <c r="F341" s="49"/>
      <c r="G341" s="49"/>
      <c r="H341" s="42"/>
      <c r="I341" s="49"/>
      <c r="J341" s="42"/>
      <c r="K341" s="49"/>
      <c r="L341" s="49"/>
      <c r="M341" s="42"/>
      <c r="N341" s="42"/>
      <c r="O341" s="42"/>
      <c r="P341" s="42"/>
      <c r="Q341" s="49"/>
      <c r="R341" s="49"/>
      <c r="S341" s="49"/>
      <c r="T341" s="49"/>
      <c r="U341" s="49"/>
      <c r="V341" s="49"/>
      <c r="W341" s="49"/>
      <c r="X341" s="49"/>
      <c r="Y341" s="49"/>
      <c r="Z341" s="49"/>
      <c r="AA341" s="49"/>
      <c r="AB341" s="49"/>
      <c r="AC341" s="49"/>
      <c r="AD341" s="49"/>
    </row>
    <row r="342">
      <c r="A342" s="49"/>
      <c r="B342" s="49"/>
      <c r="C342" s="146"/>
      <c r="D342" s="146"/>
      <c r="E342" s="49"/>
      <c r="F342" s="49"/>
      <c r="G342" s="49"/>
      <c r="H342" s="42"/>
      <c r="I342" s="49"/>
      <c r="J342" s="42"/>
      <c r="K342" s="49"/>
      <c r="L342" s="49"/>
      <c r="M342" s="42"/>
      <c r="N342" s="42"/>
      <c r="O342" s="42"/>
      <c r="P342" s="42"/>
      <c r="Q342" s="49"/>
      <c r="R342" s="49"/>
      <c r="S342" s="49"/>
      <c r="T342" s="49"/>
      <c r="U342" s="49"/>
      <c r="V342" s="49"/>
      <c r="W342" s="49"/>
      <c r="X342" s="49"/>
      <c r="Y342" s="49"/>
      <c r="Z342" s="49"/>
      <c r="AA342" s="49"/>
      <c r="AB342" s="49"/>
      <c r="AC342" s="49"/>
      <c r="AD342" s="49"/>
    </row>
    <row r="343">
      <c r="A343" s="49"/>
      <c r="B343" s="49"/>
      <c r="C343" s="146"/>
      <c r="D343" s="146"/>
      <c r="E343" s="49"/>
      <c r="F343" s="49"/>
      <c r="G343" s="49"/>
      <c r="H343" s="42"/>
      <c r="I343" s="49"/>
      <c r="J343" s="42"/>
      <c r="K343" s="49"/>
      <c r="L343" s="49"/>
      <c r="M343" s="42"/>
      <c r="N343" s="42"/>
      <c r="O343" s="42"/>
      <c r="P343" s="42"/>
      <c r="Q343" s="49"/>
      <c r="R343" s="49"/>
      <c r="S343" s="49"/>
      <c r="T343" s="49"/>
      <c r="U343" s="49"/>
      <c r="V343" s="49"/>
      <c r="W343" s="49"/>
      <c r="X343" s="49"/>
      <c r="Y343" s="49"/>
      <c r="Z343" s="49"/>
      <c r="AA343" s="49"/>
      <c r="AB343" s="49"/>
      <c r="AC343" s="49"/>
      <c r="AD343" s="49"/>
    </row>
    <row r="344">
      <c r="A344" s="49"/>
      <c r="B344" s="49"/>
      <c r="C344" s="146"/>
      <c r="D344" s="146"/>
      <c r="E344" s="49"/>
      <c r="F344" s="49"/>
      <c r="G344" s="49"/>
      <c r="H344" s="42"/>
      <c r="I344" s="49"/>
      <c r="J344" s="42"/>
      <c r="K344" s="49"/>
      <c r="L344" s="49"/>
      <c r="M344" s="42"/>
      <c r="N344" s="42"/>
      <c r="O344" s="42"/>
      <c r="P344" s="42"/>
      <c r="Q344" s="49"/>
      <c r="R344" s="49"/>
      <c r="S344" s="49"/>
      <c r="T344" s="49"/>
      <c r="U344" s="49"/>
      <c r="V344" s="49"/>
      <c r="W344" s="49"/>
      <c r="X344" s="49"/>
      <c r="Y344" s="49"/>
      <c r="Z344" s="49"/>
      <c r="AA344" s="49"/>
      <c r="AB344" s="49"/>
      <c r="AC344" s="49"/>
      <c r="AD344" s="49"/>
    </row>
    <row r="345">
      <c r="A345" s="49"/>
      <c r="B345" s="49"/>
      <c r="C345" s="146"/>
      <c r="D345" s="146"/>
      <c r="E345" s="49"/>
      <c r="F345" s="49"/>
      <c r="G345" s="49"/>
      <c r="H345" s="42"/>
      <c r="I345" s="49"/>
      <c r="J345" s="42"/>
      <c r="K345" s="49"/>
      <c r="L345" s="49"/>
      <c r="M345" s="42"/>
      <c r="N345" s="42"/>
      <c r="O345" s="42"/>
      <c r="P345" s="42"/>
      <c r="Q345" s="49"/>
      <c r="R345" s="49"/>
      <c r="S345" s="49"/>
      <c r="T345" s="49"/>
      <c r="U345" s="49"/>
      <c r="V345" s="49"/>
      <c r="W345" s="49"/>
      <c r="X345" s="49"/>
      <c r="Y345" s="49"/>
      <c r="Z345" s="49"/>
      <c r="AA345" s="49"/>
      <c r="AB345" s="49"/>
      <c r="AC345" s="49"/>
      <c r="AD345" s="49"/>
    </row>
    <row r="346">
      <c r="A346" s="49"/>
      <c r="B346" s="49"/>
      <c r="C346" s="146"/>
      <c r="D346" s="146"/>
      <c r="E346" s="49"/>
      <c r="F346" s="49"/>
      <c r="G346" s="49"/>
      <c r="H346" s="42"/>
      <c r="I346" s="49"/>
      <c r="J346" s="42"/>
      <c r="K346" s="49"/>
      <c r="L346" s="49"/>
      <c r="M346" s="42"/>
      <c r="N346" s="42"/>
      <c r="O346" s="42"/>
      <c r="P346" s="42"/>
      <c r="Q346" s="49"/>
      <c r="R346" s="49"/>
      <c r="S346" s="49"/>
      <c r="T346" s="49"/>
      <c r="U346" s="49"/>
      <c r="V346" s="49"/>
      <c r="W346" s="49"/>
      <c r="X346" s="49"/>
      <c r="Y346" s="49"/>
      <c r="Z346" s="49"/>
      <c r="AA346" s="49"/>
      <c r="AB346" s="49"/>
      <c r="AC346" s="49"/>
      <c r="AD346" s="49"/>
    </row>
    <row r="347">
      <c r="A347" s="49"/>
      <c r="B347" s="49"/>
      <c r="C347" s="146"/>
      <c r="D347" s="146"/>
      <c r="E347" s="49"/>
      <c r="F347" s="49"/>
      <c r="G347" s="49"/>
      <c r="H347" s="42"/>
      <c r="I347" s="49"/>
      <c r="J347" s="42"/>
      <c r="K347" s="49"/>
      <c r="L347" s="49"/>
      <c r="M347" s="42"/>
      <c r="N347" s="42"/>
      <c r="O347" s="42"/>
      <c r="P347" s="42"/>
      <c r="Q347" s="49"/>
      <c r="R347" s="49"/>
      <c r="S347" s="49"/>
      <c r="T347" s="49"/>
      <c r="U347" s="49"/>
      <c r="V347" s="49"/>
      <c r="W347" s="49"/>
      <c r="X347" s="49"/>
      <c r="Y347" s="49"/>
      <c r="Z347" s="49"/>
      <c r="AA347" s="49"/>
      <c r="AB347" s="49"/>
      <c r="AC347" s="49"/>
      <c r="AD347" s="49"/>
    </row>
    <row r="348">
      <c r="A348" s="49"/>
      <c r="B348" s="49"/>
      <c r="C348" s="146"/>
      <c r="D348" s="146"/>
      <c r="E348" s="49"/>
      <c r="F348" s="49"/>
      <c r="G348" s="49"/>
      <c r="H348" s="42"/>
      <c r="I348" s="49"/>
      <c r="J348" s="42"/>
      <c r="K348" s="49"/>
      <c r="L348" s="49"/>
      <c r="M348" s="42"/>
      <c r="N348" s="42"/>
      <c r="O348" s="42"/>
      <c r="P348" s="42"/>
      <c r="Q348" s="49"/>
      <c r="R348" s="49"/>
      <c r="S348" s="49"/>
      <c r="T348" s="49"/>
      <c r="U348" s="49"/>
      <c r="V348" s="49"/>
      <c r="W348" s="49"/>
      <c r="X348" s="49"/>
      <c r="Y348" s="49"/>
      <c r="Z348" s="49"/>
      <c r="AA348" s="49"/>
      <c r="AB348" s="49"/>
      <c r="AC348" s="49"/>
      <c r="AD348" s="49"/>
    </row>
    <row r="349">
      <c r="A349" s="49"/>
      <c r="B349" s="49"/>
      <c r="C349" s="146"/>
      <c r="D349" s="146"/>
      <c r="E349" s="49"/>
      <c r="F349" s="49"/>
      <c r="G349" s="49"/>
      <c r="H349" s="42"/>
      <c r="I349" s="49"/>
      <c r="J349" s="42"/>
      <c r="K349" s="49"/>
      <c r="L349" s="49"/>
      <c r="M349" s="42"/>
      <c r="N349" s="42"/>
      <c r="O349" s="42"/>
      <c r="P349" s="42"/>
      <c r="Q349" s="49"/>
      <c r="R349" s="49"/>
      <c r="S349" s="49"/>
      <c r="T349" s="49"/>
      <c r="U349" s="49"/>
      <c r="V349" s="49"/>
      <c r="W349" s="49"/>
      <c r="X349" s="49"/>
      <c r="Y349" s="49"/>
      <c r="Z349" s="49"/>
      <c r="AA349" s="49"/>
      <c r="AB349" s="49"/>
      <c r="AC349" s="49"/>
      <c r="AD349" s="49"/>
    </row>
    <row r="350">
      <c r="A350" s="49"/>
      <c r="B350" s="49"/>
      <c r="C350" s="146"/>
      <c r="D350" s="146"/>
      <c r="E350" s="49"/>
      <c r="F350" s="49"/>
      <c r="G350" s="49"/>
      <c r="H350" s="42"/>
      <c r="I350" s="49"/>
      <c r="J350" s="42"/>
      <c r="K350" s="49"/>
      <c r="L350" s="49"/>
      <c r="M350" s="42"/>
      <c r="N350" s="42"/>
      <c r="O350" s="42"/>
      <c r="P350" s="42"/>
      <c r="Q350" s="49"/>
      <c r="R350" s="49"/>
      <c r="S350" s="49"/>
      <c r="T350" s="49"/>
      <c r="U350" s="49"/>
      <c r="V350" s="49"/>
      <c r="W350" s="49"/>
      <c r="X350" s="49"/>
      <c r="Y350" s="49"/>
      <c r="Z350" s="49"/>
      <c r="AA350" s="49"/>
      <c r="AB350" s="49"/>
      <c r="AC350" s="49"/>
      <c r="AD350" s="49"/>
    </row>
    <row r="351">
      <c r="A351" s="49"/>
      <c r="B351" s="49"/>
      <c r="C351" s="146"/>
      <c r="D351" s="146"/>
      <c r="E351" s="49"/>
      <c r="F351" s="49"/>
      <c r="G351" s="49"/>
      <c r="H351" s="42"/>
      <c r="I351" s="49"/>
      <c r="J351" s="42"/>
      <c r="K351" s="49"/>
      <c r="L351" s="49"/>
      <c r="M351" s="42"/>
      <c r="N351" s="42"/>
      <c r="O351" s="42"/>
      <c r="P351" s="42"/>
      <c r="Q351" s="49"/>
      <c r="R351" s="49"/>
      <c r="S351" s="49"/>
      <c r="T351" s="49"/>
      <c r="U351" s="49"/>
      <c r="V351" s="49"/>
      <c r="W351" s="49"/>
      <c r="X351" s="49"/>
      <c r="Y351" s="49"/>
      <c r="Z351" s="49"/>
      <c r="AA351" s="49"/>
      <c r="AB351" s="49"/>
      <c r="AC351" s="49"/>
      <c r="AD351" s="49"/>
    </row>
    <row r="352">
      <c r="A352" s="49"/>
      <c r="B352" s="49"/>
      <c r="C352" s="146"/>
      <c r="D352" s="146"/>
      <c r="E352" s="49"/>
      <c r="F352" s="49"/>
      <c r="G352" s="49"/>
      <c r="H352" s="42"/>
      <c r="I352" s="49"/>
      <c r="J352" s="42"/>
      <c r="K352" s="49"/>
      <c r="L352" s="49"/>
      <c r="M352" s="42"/>
      <c r="N352" s="42"/>
      <c r="O352" s="42"/>
      <c r="P352" s="42"/>
      <c r="Q352" s="49"/>
      <c r="R352" s="49"/>
      <c r="S352" s="49"/>
      <c r="T352" s="49"/>
      <c r="U352" s="49"/>
      <c r="V352" s="49"/>
      <c r="W352" s="49"/>
      <c r="X352" s="49"/>
      <c r="Y352" s="49"/>
      <c r="Z352" s="49"/>
      <c r="AA352" s="49"/>
      <c r="AB352" s="49"/>
      <c r="AC352" s="49"/>
      <c r="AD352" s="49"/>
    </row>
    <row r="353">
      <c r="A353" s="49"/>
      <c r="B353" s="49"/>
      <c r="C353" s="146"/>
      <c r="D353" s="146"/>
      <c r="E353" s="49"/>
      <c r="F353" s="49"/>
      <c r="G353" s="49"/>
      <c r="H353" s="42"/>
      <c r="I353" s="49"/>
      <c r="J353" s="42"/>
      <c r="K353" s="49"/>
      <c r="L353" s="49"/>
      <c r="M353" s="42"/>
      <c r="N353" s="42"/>
      <c r="O353" s="42"/>
      <c r="P353" s="42"/>
      <c r="Q353" s="49"/>
      <c r="R353" s="49"/>
      <c r="S353" s="49"/>
      <c r="T353" s="49"/>
      <c r="U353" s="49"/>
      <c r="V353" s="49"/>
      <c r="W353" s="49"/>
      <c r="X353" s="49"/>
      <c r="Y353" s="49"/>
      <c r="Z353" s="49"/>
      <c r="AA353" s="49"/>
      <c r="AB353" s="49"/>
      <c r="AC353" s="49"/>
      <c r="AD353" s="49"/>
    </row>
    <row r="354">
      <c r="A354" s="49"/>
      <c r="B354" s="49"/>
      <c r="C354" s="146"/>
      <c r="D354" s="146"/>
      <c r="E354" s="49"/>
      <c r="F354" s="49"/>
      <c r="G354" s="49"/>
      <c r="H354" s="42"/>
      <c r="I354" s="49"/>
      <c r="J354" s="42"/>
      <c r="K354" s="49"/>
      <c r="L354" s="49"/>
      <c r="M354" s="42"/>
      <c r="N354" s="42"/>
      <c r="O354" s="42"/>
      <c r="P354" s="42"/>
      <c r="Q354" s="49"/>
      <c r="R354" s="49"/>
      <c r="S354" s="49"/>
      <c r="T354" s="49"/>
      <c r="U354" s="49"/>
      <c r="V354" s="49"/>
      <c r="W354" s="49"/>
      <c r="X354" s="49"/>
      <c r="Y354" s="49"/>
      <c r="Z354" s="49"/>
      <c r="AA354" s="49"/>
      <c r="AB354" s="49"/>
      <c r="AC354" s="49"/>
      <c r="AD354" s="49"/>
    </row>
    <row r="355">
      <c r="A355" s="49"/>
      <c r="B355" s="49"/>
      <c r="C355" s="146"/>
      <c r="D355" s="146"/>
      <c r="E355" s="49"/>
      <c r="F355" s="49"/>
      <c r="G355" s="49"/>
      <c r="H355" s="42"/>
      <c r="I355" s="49"/>
      <c r="J355" s="42"/>
      <c r="K355" s="49"/>
      <c r="L355" s="49"/>
      <c r="M355" s="42"/>
      <c r="N355" s="42"/>
      <c r="O355" s="42"/>
      <c r="P355" s="42"/>
      <c r="Q355" s="49"/>
      <c r="R355" s="49"/>
      <c r="S355" s="49"/>
      <c r="T355" s="49"/>
      <c r="U355" s="49"/>
      <c r="V355" s="49"/>
      <c r="W355" s="49"/>
      <c r="X355" s="49"/>
      <c r="Y355" s="49"/>
      <c r="Z355" s="49"/>
      <c r="AA355" s="49"/>
      <c r="AB355" s="49"/>
      <c r="AC355" s="49"/>
      <c r="AD355" s="49"/>
    </row>
    <row r="356">
      <c r="A356" s="49"/>
      <c r="B356" s="49"/>
      <c r="C356" s="146"/>
      <c r="D356" s="146"/>
      <c r="E356" s="49"/>
      <c r="F356" s="49"/>
      <c r="G356" s="49"/>
      <c r="H356" s="42"/>
      <c r="I356" s="49"/>
      <c r="J356" s="42"/>
      <c r="K356" s="49"/>
      <c r="L356" s="49"/>
      <c r="M356" s="42"/>
      <c r="N356" s="42"/>
      <c r="O356" s="42"/>
      <c r="P356" s="42"/>
      <c r="Q356" s="49"/>
      <c r="R356" s="49"/>
      <c r="S356" s="49"/>
      <c r="T356" s="49"/>
      <c r="U356" s="49"/>
      <c r="V356" s="49"/>
      <c r="W356" s="49"/>
      <c r="X356" s="49"/>
      <c r="Y356" s="49"/>
      <c r="Z356" s="49"/>
      <c r="AA356" s="49"/>
      <c r="AB356" s="49"/>
      <c r="AC356" s="49"/>
      <c r="AD356" s="49"/>
    </row>
    <row r="357">
      <c r="A357" s="49"/>
      <c r="B357" s="49"/>
      <c r="C357" s="146"/>
      <c r="D357" s="146"/>
      <c r="E357" s="49"/>
      <c r="F357" s="49"/>
      <c r="G357" s="49"/>
      <c r="H357" s="42"/>
      <c r="I357" s="49"/>
      <c r="J357" s="42"/>
      <c r="K357" s="49"/>
      <c r="L357" s="49"/>
      <c r="M357" s="42"/>
      <c r="N357" s="42"/>
      <c r="O357" s="42"/>
      <c r="P357" s="42"/>
      <c r="Q357" s="49"/>
      <c r="R357" s="49"/>
      <c r="S357" s="49"/>
      <c r="T357" s="49"/>
      <c r="U357" s="49"/>
      <c r="V357" s="49"/>
      <c r="W357" s="49"/>
      <c r="X357" s="49"/>
      <c r="Y357" s="49"/>
      <c r="Z357" s="49"/>
      <c r="AA357" s="49"/>
      <c r="AB357" s="49"/>
      <c r="AC357" s="49"/>
      <c r="AD357" s="49"/>
    </row>
    <row r="358">
      <c r="A358" s="49"/>
      <c r="B358" s="49"/>
      <c r="C358" s="146"/>
      <c r="D358" s="146"/>
      <c r="E358" s="49"/>
      <c r="F358" s="49"/>
      <c r="G358" s="49"/>
      <c r="H358" s="42"/>
      <c r="I358" s="49"/>
      <c r="J358" s="42"/>
      <c r="K358" s="49"/>
      <c r="L358" s="49"/>
      <c r="M358" s="42"/>
      <c r="N358" s="42"/>
      <c r="O358" s="42"/>
      <c r="P358" s="42"/>
      <c r="Q358" s="49"/>
      <c r="R358" s="49"/>
      <c r="S358" s="49"/>
      <c r="T358" s="49"/>
      <c r="U358" s="49"/>
      <c r="V358" s="49"/>
      <c r="W358" s="49"/>
      <c r="X358" s="49"/>
      <c r="Y358" s="49"/>
      <c r="Z358" s="49"/>
      <c r="AA358" s="49"/>
      <c r="AB358" s="49"/>
      <c r="AC358" s="49"/>
      <c r="AD358" s="49"/>
    </row>
    <row r="359">
      <c r="A359" s="49"/>
      <c r="B359" s="49"/>
      <c r="C359" s="146"/>
      <c r="D359" s="146"/>
      <c r="E359" s="49"/>
      <c r="F359" s="49"/>
      <c r="G359" s="49"/>
      <c r="H359" s="42"/>
      <c r="I359" s="49"/>
      <c r="J359" s="42"/>
      <c r="K359" s="49"/>
      <c r="L359" s="49"/>
      <c r="M359" s="42"/>
      <c r="N359" s="42"/>
      <c r="O359" s="42"/>
      <c r="P359" s="42"/>
      <c r="Q359" s="49"/>
      <c r="R359" s="49"/>
      <c r="S359" s="49"/>
      <c r="T359" s="49"/>
      <c r="U359" s="49"/>
      <c r="V359" s="49"/>
      <c r="W359" s="49"/>
      <c r="X359" s="49"/>
      <c r="Y359" s="49"/>
      <c r="Z359" s="49"/>
      <c r="AA359" s="49"/>
      <c r="AB359" s="49"/>
      <c r="AC359" s="49"/>
      <c r="AD359" s="49"/>
    </row>
    <row r="360">
      <c r="A360" s="49"/>
      <c r="B360" s="49"/>
      <c r="C360" s="146"/>
      <c r="D360" s="146"/>
      <c r="E360" s="49"/>
      <c r="F360" s="49"/>
      <c r="G360" s="49"/>
      <c r="H360" s="42"/>
      <c r="I360" s="49"/>
      <c r="J360" s="42"/>
      <c r="K360" s="49"/>
      <c r="L360" s="49"/>
      <c r="M360" s="42"/>
      <c r="N360" s="42"/>
      <c r="O360" s="42"/>
      <c r="P360" s="42"/>
      <c r="Q360" s="49"/>
      <c r="R360" s="49"/>
      <c r="S360" s="49"/>
      <c r="T360" s="49"/>
      <c r="U360" s="49"/>
      <c r="V360" s="49"/>
      <c r="W360" s="49"/>
      <c r="X360" s="49"/>
      <c r="Y360" s="49"/>
      <c r="Z360" s="49"/>
      <c r="AA360" s="49"/>
      <c r="AB360" s="49"/>
      <c r="AC360" s="49"/>
      <c r="AD360" s="49"/>
    </row>
    <row r="361">
      <c r="A361" s="49"/>
      <c r="B361" s="49"/>
      <c r="C361" s="146"/>
      <c r="D361" s="146"/>
      <c r="E361" s="49"/>
      <c r="F361" s="49"/>
      <c r="G361" s="49"/>
      <c r="H361" s="42"/>
      <c r="I361" s="49"/>
      <c r="J361" s="42"/>
      <c r="K361" s="49"/>
      <c r="L361" s="49"/>
      <c r="M361" s="42"/>
      <c r="N361" s="42"/>
      <c r="O361" s="42"/>
      <c r="P361" s="42"/>
      <c r="Q361" s="49"/>
      <c r="R361" s="49"/>
      <c r="S361" s="49"/>
      <c r="T361" s="49"/>
      <c r="U361" s="49"/>
      <c r="V361" s="49"/>
      <c r="W361" s="49"/>
      <c r="X361" s="49"/>
      <c r="Y361" s="49"/>
      <c r="Z361" s="49"/>
      <c r="AA361" s="49"/>
      <c r="AB361" s="49"/>
      <c r="AC361" s="49"/>
      <c r="AD361" s="49"/>
    </row>
    <row r="362">
      <c r="A362" s="49"/>
      <c r="B362" s="49"/>
      <c r="C362" s="146"/>
      <c r="D362" s="146"/>
      <c r="E362" s="49"/>
      <c r="F362" s="49"/>
      <c r="G362" s="49"/>
      <c r="H362" s="42"/>
      <c r="I362" s="49"/>
      <c r="J362" s="42"/>
      <c r="K362" s="49"/>
      <c r="L362" s="49"/>
      <c r="M362" s="42"/>
      <c r="N362" s="42"/>
      <c r="O362" s="42"/>
      <c r="P362" s="42"/>
      <c r="Q362" s="49"/>
      <c r="R362" s="49"/>
      <c r="S362" s="49"/>
      <c r="T362" s="49"/>
      <c r="U362" s="49"/>
      <c r="V362" s="49"/>
      <c r="W362" s="49"/>
      <c r="X362" s="49"/>
      <c r="Y362" s="49"/>
      <c r="Z362" s="49"/>
      <c r="AA362" s="49"/>
      <c r="AB362" s="49"/>
      <c r="AC362" s="49"/>
      <c r="AD362" s="49"/>
    </row>
    <row r="363">
      <c r="A363" s="49"/>
      <c r="B363" s="49"/>
      <c r="C363" s="146"/>
      <c r="D363" s="146"/>
      <c r="E363" s="49"/>
      <c r="F363" s="49"/>
      <c r="G363" s="49"/>
      <c r="H363" s="42"/>
      <c r="I363" s="49"/>
      <c r="J363" s="42"/>
      <c r="K363" s="49"/>
      <c r="L363" s="49"/>
      <c r="M363" s="42"/>
      <c r="N363" s="42"/>
      <c r="O363" s="42"/>
      <c r="P363" s="42"/>
      <c r="Q363" s="49"/>
      <c r="R363" s="49"/>
      <c r="S363" s="49"/>
      <c r="T363" s="49"/>
      <c r="U363" s="49"/>
      <c r="V363" s="49"/>
      <c r="W363" s="49"/>
      <c r="X363" s="49"/>
      <c r="Y363" s="49"/>
      <c r="Z363" s="49"/>
      <c r="AA363" s="49"/>
      <c r="AB363" s="49"/>
      <c r="AC363" s="49"/>
      <c r="AD363" s="49"/>
    </row>
    <row r="364">
      <c r="A364" s="49"/>
      <c r="B364" s="49"/>
      <c r="C364" s="146"/>
      <c r="D364" s="146"/>
      <c r="E364" s="49"/>
      <c r="F364" s="49"/>
      <c r="G364" s="49"/>
      <c r="H364" s="42"/>
      <c r="I364" s="49"/>
      <c r="J364" s="42"/>
      <c r="K364" s="49"/>
      <c r="L364" s="49"/>
      <c r="M364" s="42"/>
      <c r="N364" s="42"/>
      <c r="O364" s="42"/>
      <c r="P364" s="42"/>
      <c r="Q364" s="49"/>
      <c r="R364" s="49"/>
      <c r="S364" s="49"/>
      <c r="T364" s="49"/>
      <c r="U364" s="49"/>
      <c r="V364" s="49"/>
      <c r="W364" s="49"/>
      <c r="X364" s="49"/>
      <c r="Y364" s="49"/>
      <c r="Z364" s="49"/>
      <c r="AA364" s="49"/>
      <c r="AB364" s="49"/>
      <c r="AC364" s="49"/>
      <c r="AD364" s="49"/>
    </row>
    <row r="365">
      <c r="A365" s="49"/>
      <c r="B365" s="49"/>
      <c r="C365" s="146"/>
      <c r="D365" s="146"/>
      <c r="E365" s="49"/>
      <c r="F365" s="49"/>
      <c r="G365" s="49"/>
      <c r="H365" s="42"/>
      <c r="I365" s="49"/>
      <c r="J365" s="42"/>
      <c r="K365" s="49"/>
      <c r="L365" s="49"/>
      <c r="M365" s="42"/>
      <c r="N365" s="42"/>
      <c r="O365" s="42"/>
      <c r="P365" s="42"/>
      <c r="Q365" s="49"/>
      <c r="R365" s="49"/>
      <c r="S365" s="49"/>
      <c r="T365" s="49"/>
      <c r="U365" s="49"/>
      <c r="V365" s="49"/>
      <c r="W365" s="49"/>
      <c r="X365" s="49"/>
      <c r="Y365" s="49"/>
      <c r="Z365" s="49"/>
      <c r="AA365" s="49"/>
      <c r="AB365" s="49"/>
      <c r="AC365" s="49"/>
      <c r="AD365" s="49"/>
    </row>
    <row r="366">
      <c r="A366" s="49"/>
      <c r="B366" s="49"/>
      <c r="C366" s="146"/>
      <c r="D366" s="146"/>
      <c r="E366" s="49"/>
      <c r="F366" s="49"/>
      <c r="G366" s="49"/>
      <c r="H366" s="42"/>
      <c r="I366" s="49"/>
      <c r="J366" s="42"/>
      <c r="K366" s="49"/>
      <c r="L366" s="49"/>
      <c r="M366" s="42"/>
      <c r="N366" s="42"/>
      <c r="O366" s="42"/>
      <c r="P366" s="42"/>
      <c r="Q366" s="49"/>
      <c r="R366" s="49"/>
      <c r="S366" s="49"/>
      <c r="T366" s="49"/>
      <c r="U366" s="49"/>
      <c r="V366" s="49"/>
      <c r="W366" s="49"/>
      <c r="X366" s="49"/>
      <c r="Y366" s="49"/>
      <c r="Z366" s="49"/>
      <c r="AA366" s="49"/>
      <c r="AB366" s="49"/>
      <c r="AC366" s="49"/>
      <c r="AD366" s="49"/>
    </row>
    <row r="367">
      <c r="A367" s="49"/>
      <c r="B367" s="49"/>
      <c r="C367" s="146"/>
      <c r="D367" s="146"/>
      <c r="E367" s="49"/>
      <c r="F367" s="49"/>
      <c r="G367" s="49"/>
      <c r="H367" s="42"/>
      <c r="I367" s="49"/>
      <c r="J367" s="42"/>
      <c r="K367" s="49"/>
      <c r="L367" s="49"/>
      <c r="M367" s="42"/>
      <c r="N367" s="42"/>
      <c r="O367" s="42"/>
      <c r="P367" s="42"/>
      <c r="Q367" s="49"/>
      <c r="R367" s="49"/>
      <c r="S367" s="49"/>
      <c r="T367" s="49"/>
      <c r="U367" s="49"/>
      <c r="V367" s="49"/>
      <c r="W367" s="49"/>
      <c r="X367" s="49"/>
      <c r="Y367" s="49"/>
      <c r="Z367" s="49"/>
      <c r="AA367" s="49"/>
      <c r="AB367" s="49"/>
      <c r="AC367" s="49"/>
      <c r="AD367" s="49"/>
    </row>
    <row r="368">
      <c r="A368" s="49"/>
      <c r="B368" s="49"/>
      <c r="C368" s="146"/>
      <c r="D368" s="146"/>
      <c r="E368" s="49"/>
      <c r="F368" s="49"/>
      <c r="G368" s="49"/>
      <c r="H368" s="42"/>
      <c r="I368" s="49"/>
      <c r="J368" s="42"/>
      <c r="K368" s="49"/>
      <c r="L368" s="49"/>
      <c r="M368" s="42"/>
      <c r="N368" s="42"/>
      <c r="O368" s="42"/>
      <c r="P368" s="42"/>
      <c r="Q368" s="49"/>
      <c r="R368" s="49"/>
      <c r="S368" s="49"/>
      <c r="T368" s="49"/>
      <c r="U368" s="49"/>
      <c r="V368" s="49"/>
      <c r="W368" s="49"/>
      <c r="X368" s="49"/>
      <c r="Y368" s="49"/>
      <c r="Z368" s="49"/>
      <c r="AA368" s="49"/>
      <c r="AB368" s="49"/>
      <c r="AC368" s="49"/>
      <c r="AD368" s="49"/>
    </row>
    <row r="369">
      <c r="A369" s="49"/>
      <c r="B369" s="49"/>
      <c r="C369" s="146"/>
      <c r="D369" s="146"/>
      <c r="E369" s="49"/>
      <c r="F369" s="49"/>
      <c r="G369" s="49"/>
      <c r="H369" s="42"/>
      <c r="I369" s="49"/>
      <c r="J369" s="42"/>
      <c r="K369" s="49"/>
      <c r="L369" s="49"/>
      <c r="M369" s="42"/>
      <c r="N369" s="42"/>
      <c r="O369" s="42"/>
      <c r="P369" s="42"/>
      <c r="Q369" s="49"/>
      <c r="R369" s="49"/>
      <c r="S369" s="49"/>
      <c r="T369" s="49"/>
      <c r="U369" s="49"/>
      <c r="V369" s="49"/>
      <c r="W369" s="49"/>
      <c r="X369" s="49"/>
      <c r="Y369" s="49"/>
      <c r="Z369" s="49"/>
      <c r="AA369" s="49"/>
      <c r="AB369" s="49"/>
      <c r="AC369" s="49"/>
      <c r="AD369" s="49"/>
    </row>
    <row r="370">
      <c r="A370" s="49"/>
      <c r="B370" s="49"/>
      <c r="C370" s="146"/>
      <c r="D370" s="146"/>
      <c r="E370" s="49"/>
      <c r="F370" s="49"/>
      <c r="G370" s="49"/>
      <c r="H370" s="42"/>
      <c r="I370" s="49"/>
      <c r="J370" s="42"/>
      <c r="K370" s="49"/>
      <c r="L370" s="49"/>
      <c r="M370" s="42"/>
      <c r="N370" s="42"/>
      <c r="O370" s="42"/>
      <c r="P370" s="42"/>
      <c r="Q370" s="49"/>
      <c r="R370" s="49"/>
      <c r="S370" s="49"/>
      <c r="T370" s="49"/>
      <c r="U370" s="49"/>
      <c r="V370" s="49"/>
      <c r="W370" s="49"/>
      <c r="X370" s="49"/>
      <c r="Y370" s="49"/>
      <c r="Z370" s="49"/>
      <c r="AA370" s="49"/>
      <c r="AB370" s="49"/>
      <c r="AC370" s="49"/>
      <c r="AD370" s="49"/>
    </row>
    <row r="371">
      <c r="A371" s="49"/>
      <c r="B371" s="49"/>
      <c r="C371" s="146"/>
      <c r="D371" s="146"/>
      <c r="E371" s="49"/>
      <c r="F371" s="49"/>
      <c r="G371" s="49"/>
      <c r="H371" s="42"/>
      <c r="I371" s="49"/>
      <c r="J371" s="42"/>
      <c r="K371" s="49"/>
      <c r="L371" s="49"/>
      <c r="M371" s="42"/>
      <c r="N371" s="42"/>
      <c r="O371" s="42"/>
      <c r="P371" s="42"/>
      <c r="Q371" s="49"/>
      <c r="R371" s="49"/>
      <c r="S371" s="49"/>
      <c r="T371" s="49"/>
      <c r="U371" s="49"/>
      <c r="V371" s="49"/>
      <c r="W371" s="49"/>
      <c r="X371" s="49"/>
      <c r="Y371" s="49"/>
      <c r="Z371" s="49"/>
      <c r="AA371" s="49"/>
      <c r="AB371" s="49"/>
      <c r="AC371" s="49"/>
      <c r="AD371" s="49"/>
    </row>
    <row r="372">
      <c r="A372" s="49"/>
      <c r="B372" s="49"/>
      <c r="C372" s="146"/>
      <c r="D372" s="146"/>
      <c r="E372" s="49"/>
      <c r="F372" s="49"/>
      <c r="G372" s="49"/>
      <c r="H372" s="42"/>
      <c r="I372" s="49"/>
      <c r="J372" s="42"/>
      <c r="K372" s="49"/>
      <c r="L372" s="49"/>
      <c r="M372" s="42"/>
      <c r="N372" s="42"/>
      <c r="O372" s="42"/>
      <c r="P372" s="42"/>
      <c r="Q372" s="49"/>
      <c r="R372" s="49"/>
      <c r="S372" s="49"/>
      <c r="T372" s="49"/>
      <c r="U372" s="49"/>
      <c r="V372" s="49"/>
      <c r="W372" s="49"/>
      <c r="X372" s="49"/>
      <c r="Y372" s="49"/>
      <c r="Z372" s="49"/>
      <c r="AA372" s="49"/>
      <c r="AB372" s="49"/>
      <c r="AC372" s="49"/>
      <c r="AD372" s="49"/>
    </row>
    <row r="373">
      <c r="A373" s="49"/>
      <c r="B373" s="49"/>
      <c r="C373" s="146"/>
      <c r="D373" s="146"/>
      <c r="E373" s="49"/>
      <c r="F373" s="49"/>
      <c r="G373" s="49"/>
      <c r="H373" s="42"/>
      <c r="I373" s="49"/>
      <c r="J373" s="42"/>
      <c r="K373" s="49"/>
      <c r="L373" s="49"/>
      <c r="M373" s="42"/>
      <c r="N373" s="42"/>
      <c r="O373" s="42"/>
      <c r="P373" s="42"/>
      <c r="Q373" s="49"/>
      <c r="R373" s="49"/>
      <c r="S373" s="49"/>
      <c r="T373" s="49"/>
      <c r="U373" s="49"/>
      <c r="V373" s="49"/>
      <c r="W373" s="49"/>
      <c r="X373" s="49"/>
      <c r="Y373" s="49"/>
      <c r="Z373" s="49"/>
      <c r="AA373" s="49"/>
      <c r="AB373" s="49"/>
      <c r="AC373" s="49"/>
      <c r="AD373" s="49"/>
    </row>
    <row r="374">
      <c r="A374" s="49"/>
      <c r="B374" s="49"/>
      <c r="C374" s="146"/>
      <c r="D374" s="146"/>
      <c r="E374" s="49"/>
      <c r="F374" s="49"/>
      <c r="G374" s="49"/>
      <c r="H374" s="42"/>
      <c r="I374" s="49"/>
      <c r="J374" s="42"/>
      <c r="K374" s="49"/>
      <c r="L374" s="49"/>
      <c r="M374" s="42"/>
      <c r="N374" s="42"/>
      <c r="O374" s="42"/>
      <c r="P374" s="42"/>
      <c r="Q374" s="49"/>
      <c r="R374" s="49"/>
      <c r="S374" s="49"/>
      <c r="T374" s="49"/>
      <c r="U374" s="49"/>
      <c r="V374" s="49"/>
      <c r="W374" s="49"/>
      <c r="X374" s="49"/>
      <c r="Y374" s="49"/>
      <c r="Z374" s="49"/>
      <c r="AA374" s="49"/>
      <c r="AB374" s="49"/>
      <c r="AC374" s="49"/>
      <c r="AD374" s="49"/>
    </row>
    <row r="375">
      <c r="A375" s="49"/>
      <c r="B375" s="49"/>
      <c r="C375" s="146"/>
      <c r="D375" s="146"/>
      <c r="E375" s="49"/>
      <c r="F375" s="49"/>
      <c r="G375" s="49"/>
      <c r="H375" s="42"/>
      <c r="I375" s="49"/>
      <c r="J375" s="42"/>
      <c r="K375" s="49"/>
      <c r="L375" s="49"/>
      <c r="M375" s="42"/>
      <c r="N375" s="42"/>
      <c r="O375" s="42"/>
      <c r="P375" s="42"/>
      <c r="Q375" s="49"/>
      <c r="R375" s="49"/>
      <c r="S375" s="49"/>
      <c r="T375" s="49"/>
      <c r="U375" s="49"/>
      <c r="V375" s="49"/>
      <c r="W375" s="49"/>
      <c r="X375" s="49"/>
      <c r="Y375" s="49"/>
      <c r="Z375" s="49"/>
      <c r="AA375" s="49"/>
      <c r="AB375" s="49"/>
      <c r="AC375" s="49"/>
      <c r="AD375" s="49"/>
    </row>
    <row r="376">
      <c r="A376" s="49"/>
      <c r="B376" s="49"/>
      <c r="C376" s="146"/>
      <c r="D376" s="146"/>
      <c r="E376" s="49"/>
      <c r="F376" s="49"/>
      <c r="G376" s="49"/>
      <c r="H376" s="42"/>
      <c r="I376" s="49"/>
      <c r="J376" s="42"/>
      <c r="K376" s="49"/>
      <c r="L376" s="49"/>
      <c r="M376" s="42"/>
      <c r="N376" s="42"/>
      <c r="O376" s="42"/>
      <c r="P376" s="42"/>
      <c r="Q376" s="49"/>
      <c r="R376" s="49"/>
      <c r="S376" s="49"/>
      <c r="T376" s="49"/>
      <c r="U376" s="49"/>
      <c r="V376" s="49"/>
      <c r="W376" s="49"/>
      <c r="X376" s="49"/>
      <c r="Y376" s="49"/>
      <c r="Z376" s="49"/>
      <c r="AA376" s="49"/>
      <c r="AB376" s="49"/>
      <c r="AC376" s="49"/>
      <c r="AD376" s="49"/>
    </row>
    <row r="377">
      <c r="A377" s="49"/>
      <c r="B377" s="49"/>
      <c r="C377" s="146"/>
      <c r="D377" s="146"/>
      <c r="E377" s="49"/>
      <c r="F377" s="49"/>
      <c r="G377" s="49"/>
      <c r="H377" s="42"/>
      <c r="I377" s="49"/>
      <c r="J377" s="42"/>
      <c r="K377" s="49"/>
      <c r="L377" s="49"/>
      <c r="M377" s="42"/>
      <c r="N377" s="42"/>
      <c r="O377" s="42"/>
      <c r="P377" s="42"/>
      <c r="Q377" s="49"/>
      <c r="R377" s="49"/>
      <c r="S377" s="49"/>
      <c r="T377" s="49"/>
      <c r="U377" s="49"/>
      <c r="V377" s="49"/>
      <c r="W377" s="49"/>
      <c r="X377" s="49"/>
      <c r="Y377" s="49"/>
      <c r="Z377" s="49"/>
      <c r="AA377" s="49"/>
      <c r="AB377" s="49"/>
      <c r="AC377" s="49"/>
      <c r="AD377" s="49"/>
    </row>
    <row r="378">
      <c r="A378" s="49"/>
      <c r="B378" s="49"/>
      <c r="C378" s="146"/>
      <c r="D378" s="146"/>
      <c r="E378" s="49"/>
      <c r="F378" s="49"/>
      <c r="G378" s="49"/>
      <c r="H378" s="42"/>
      <c r="I378" s="49"/>
      <c r="J378" s="42"/>
      <c r="K378" s="49"/>
      <c r="L378" s="49"/>
      <c r="M378" s="42"/>
      <c r="N378" s="42"/>
      <c r="O378" s="42"/>
      <c r="P378" s="42"/>
      <c r="Q378" s="49"/>
      <c r="R378" s="49"/>
      <c r="S378" s="49"/>
      <c r="T378" s="49"/>
      <c r="U378" s="49"/>
      <c r="V378" s="49"/>
      <c r="W378" s="49"/>
      <c r="X378" s="49"/>
      <c r="Y378" s="49"/>
      <c r="Z378" s="49"/>
      <c r="AA378" s="49"/>
      <c r="AB378" s="49"/>
      <c r="AC378" s="49"/>
      <c r="AD378" s="49"/>
    </row>
    <row r="379">
      <c r="A379" s="49"/>
      <c r="B379" s="49"/>
      <c r="C379" s="146"/>
      <c r="D379" s="146"/>
      <c r="E379" s="49"/>
      <c r="F379" s="49"/>
      <c r="G379" s="49"/>
      <c r="H379" s="42"/>
      <c r="I379" s="49"/>
      <c r="J379" s="42"/>
      <c r="K379" s="49"/>
      <c r="L379" s="49"/>
      <c r="M379" s="42"/>
      <c r="N379" s="42"/>
      <c r="O379" s="42"/>
      <c r="P379" s="42"/>
      <c r="Q379" s="49"/>
      <c r="R379" s="49"/>
      <c r="S379" s="49"/>
      <c r="T379" s="49"/>
      <c r="U379" s="49"/>
      <c r="V379" s="49"/>
      <c r="W379" s="49"/>
      <c r="X379" s="49"/>
      <c r="Y379" s="49"/>
      <c r="Z379" s="49"/>
      <c r="AA379" s="49"/>
      <c r="AB379" s="49"/>
      <c r="AC379" s="49"/>
      <c r="AD379" s="49"/>
    </row>
    <row r="380">
      <c r="A380" s="49"/>
      <c r="B380" s="49"/>
      <c r="C380" s="146"/>
      <c r="D380" s="146"/>
      <c r="E380" s="49"/>
      <c r="F380" s="49"/>
      <c r="G380" s="49"/>
      <c r="H380" s="42"/>
      <c r="I380" s="49"/>
      <c r="J380" s="42"/>
      <c r="K380" s="49"/>
      <c r="L380" s="49"/>
      <c r="M380" s="42"/>
      <c r="N380" s="42"/>
      <c r="O380" s="42"/>
      <c r="P380" s="42"/>
      <c r="Q380" s="49"/>
      <c r="R380" s="49"/>
      <c r="S380" s="49"/>
      <c r="T380" s="49"/>
      <c r="U380" s="49"/>
      <c r="V380" s="49"/>
      <c r="W380" s="49"/>
      <c r="X380" s="49"/>
      <c r="Y380" s="49"/>
      <c r="Z380" s="49"/>
      <c r="AA380" s="49"/>
      <c r="AB380" s="49"/>
      <c r="AC380" s="49"/>
      <c r="AD380" s="49"/>
    </row>
    <row r="381">
      <c r="A381" s="49"/>
      <c r="B381" s="49"/>
      <c r="C381" s="146"/>
      <c r="D381" s="146"/>
      <c r="E381" s="49"/>
      <c r="F381" s="49"/>
      <c r="G381" s="49"/>
      <c r="H381" s="42"/>
      <c r="I381" s="49"/>
      <c r="J381" s="42"/>
      <c r="K381" s="49"/>
      <c r="L381" s="49"/>
      <c r="M381" s="42"/>
      <c r="N381" s="42"/>
      <c r="O381" s="42"/>
      <c r="P381" s="42"/>
      <c r="Q381" s="49"/>
      <c r="R381" s="49"/>
      <c r="S381" s="49"/>
      <c r="T381" s="49"/>
      <c r="U381" s="49"/>
      <c r="V381" s="49"/>
      <c r="W381" s="49"/>
      <c r="X381" s="49"/>
      <c r="Y381" s="49"/>
      <c r="Z381" s="49"/>
      <c r="AA381" s="49"/>
      <c r="AB381" s="49"/>
      <c r="AC381" s="49"/>
      <c r="AD381" s="49"/>
    </row>
    <row r="382">
      <c r="A382" s="49"/>
      <c r="B382" s="49"/>
      <c r="C382" s="146"/>
      <c r="D382" s="146"/>
      <c r="E382" s="49"/>
      <c r="F382" s="49"/>
      <c r="G382" s="49"/>
      <c r="H382" s="42"/>
      <c r="I382" s="49"/>
      <c r="J382" s="42"/>
      <c r="K382" s="49"/>
      <c r="L382" s="49"/>
      <c r="M382" s="42"/>
      <c r="N382" s="42"/>
      <c r="O382" s="42"/>
      <c r="P382" s="42"/>
      <c r="Q382" s="49"/>
      <c r="R382" s="49"/>
      <c r="S382" s="49"/>
      <c r="T382" s="49"/>
      <c r="U382" s="49"/>
      <c r="V382" s="49"/>
      <c r="W382" s="49"/>
      <c r="X382" s="49"/>
      <c r="Y382" s="49"/>
      <c r="Z382" s="49"/>
      <c r="AA382" s="49"/>
      <c r="AB382" s="49"/>
      <c r="AC382" s="49"/>
      <c r="AD382" s="49"/>
    </row>
    <row r="383">
      <c r="A383" s="49"/>
      <c r="B383" s="49"/>
      <c r="C383" s="146"/>
      <c r="D383" s="146"/>
      <c r="E383" s="49"/>
      <c r="F383" s="49"/>
      <c r="G383" s="49"/>
      <c r="H383" s="42"/>
      <c r="I383" s="49"/>
      <c r="J383" s="42"/>
      <c r="K383" s="49"/>
      <c r="L383" s="49"/>
      <c r="M383" s="42"/>
      <c r="N383" s="42"/>
      <c r="O383" s="42"/>
      <c r="P383" s="42"/>
      <c r="Q383" s="49"/>
      <c r="R383" s="49"/>
      <c r="S383" s="49"/>
      <c r="T383" s="49"/>
      <c r="U383" s="49"/>
      <c r="V383" s="49"/>
      <c r="W383" s="49"/>
      <c r="X383" s="49"/>
      <c r="Y383" s="49"/>
      <c r="Z383" s="49"/>
      <c r="AA383" s="49"/>
      <c r="AB383" s="49"/>
      <c r="AC383" s="49"/>
      <c r="AD383" s="49"/>
    </row>
    <row r="384">
      <c r="A384" s="49"/>
      <c r="B384" s="49"/>
      <c r="C384" s="146"/>
      <c r="D384" s="146"/>
      <c r="E384" s="49"/>
      <c r="F384" s="49"/>
      <c r="G384" s="49"/>
      <c r="H384" s="42"/>
      <c r="I384" s="49"/>
      <c r="J384" s="42"/>
      <c r="K384" s="49"/>
      <c r="L384" s="49"/>
      <c r="M384" s="42"/>
      <c r="N384" s="42"/>
      <c r="O384" s="42"/>
      <c r="P384" s="42"/>
      <c r="Q384" s="49"/>
      <c r="R384" s="49"/>
      <c r="S384" s="49"/>
      <c r="T384" s="49"/>
      <c r="U384" s="49"/>
      <c r="V384" s="49"/>
      <c r="W384" s="49"/>
      <c r="X384" s="49"/>
      <c r="Y384" s="49"/>
      <c r="Z384" s="49"/>
      <c r="AA384" s="49"/>
      <c r="AB384" s="49"/>
      <c r="AC384" s="49"/>
      <c r="AD384" s="49"/>
    </row>
    <row r="385">
      <c r="A385" s="49"/>
      <c r="B385" s="49"/>
      <c r="C385" s="146"/>
      <c r="D385" s="146"/>
      <c r="E385" s="49"/>
      <c r="F385" s="49"/>
      <c r="G385" s="49"/>
      <c r="H385" s="42"/>
      <c r="I385" s="49"/>
      <c r="J385" s="42"/>
      <c r="K385" s="49"/>
      <c r="L385" s="49"/>
      <c r="M385" s="42"/>
      <c r="N385" s="42"/>
      <c r="O385" s="42"/>
      <c r="P385" s="42"/>
      <c r="Q385" s="49"/>
      <c r="R385" s="49"/>
      <c r="S385" s="49"/>
      <c r="T385" s="49"/>
      <c r="U385" s="49"/>
      <c r="V385" s="49"/>
      <c r="W385" s="49"/>
      <c r="X385" s="49"/>
      <c r="Y385" s="49"/>
      <c r="Z385" s="49"/>
      <c r="AA385" s="49"/>
      <c r="AB385" s="49"/>
      <c r="AC385" s="49"/>
      <c r="AD385" s="49"/>
    </row>
    <row r="386">
      <c r="A386" s="49"/>
      <c r="B386" s="49"/>
      <c r="C386" s="146"/>
      <c r="D386" s="146"/>
      <c r="E386" s="49"/>
      <c r="F386" s="49"/>
      <c r="G386" s="49"/>
      <c r="H386" s="42"/>
      <c r="I386" s="49"/>
      <c r="J386" s="42"/>
      <c r="K386" s="49"/>
      <c r="L386" s="49"/>
      <c r="M386" s="42"/>
      <c r="N386" s="42"/>
      <c r="O386" s="42"/>
      <c r="P386" s="42"/>
      <c r="Q386" s="49"/>
      <c r="R386" s="49"/>
      <c r="S386" s="49"/>
      <c r="T386" s="49"/>
      <c r="U386" s="49"/>
      <c r="V386" s="49"/>
      <c r="W386" s="49"/>
      <c r="X386" s="49"/>
      <c r="Y386" s="49"/>
      <c r="Z386" s="49"/>
      <c r="AA386" s="49"/>
      <c r="AB386" s="49"/>
      <c r="AC386" s="49"/>
      <c r="AD386" s="49"/>
    </row>
    <row r="387">
      <c r="A387" s="49"/>
      <c r="B387" s="49"/>
      <c r="C387" s="146"/>
      <c r="D387" s="146"/>
      <c r="E387" s="49"/>
      <c r="F387" s="49"/>
      <c r="G387" s="49"/>
      <c r="H387" s="42"/>
      <c r="I387" s="49"/>
      <c r="J387" s="42"/>
      <c r="K387" s="49"/>
      <c r="L387" s="49"/>
      <c r="M387" s="42"/>
      <c r="N387" s="42"/>
      <c r="O387" s="42"/>
      <c r="P387" s="42"/>
      <c r="Q387" s="49"/>
      <c r="R387" s="49"/>
      <c r="S387" s="49"/>
      <c r="T387" s="49"/>
      <c r="U387" s="49"/>
      <c r="V387" s="49"/>
      <c r="W387" s="49"/>
      <c r="X387" s="49"/>
      <c r="Y387" s="49"/>
      <c r="Z387" s="49"/>
      <c r="AA387" s="49"/>
      <c r="AB387" s="49"/>
      <c r="AC387" s="49"/>
      <c r="AD387" s="49"/>
    </row>
    <row r="388">
      <c r="A388" s="49"/>
      <c r="B388" s="49"/>
      <c r="C388" s="146"/>
      <c r="D388" s="146"/>
      <c r="E388" s="49"/>
      <c r="F388" s="49"/>
      <c r="G388" s="49"/>
      <c r="H388" s="42"/>
      <c r="I388" s="49"/>
      <c r="J388" s="42"/>
      <c r="K388" s="49"/>
      <c r="L388" s="49"/>
      <c r="M388" s="42"/>
      <c r="N388" s="42"/>
      <c r="O388" s="42"/>
      <c r="P388" s="42"/>
      <c r="Q388" s="49"/>
      <c r="R388" s="49"/>
      <c r="S388" s="49"/>
      <c r="T388" s="49"/>
      <c r="U388" s="49"/>
      <c r="V388" s="49"/>
      <c r="W388" s="49"/>
      <c r="X388" s="49"/>
      <c r="Y388" s="49"/>
      <c r="Z388" s="49"/>
      <c r="AA388" s="49"/>
      <c r="AB388" s="49"/>
      <c r="AC388" s="49"/>
      <c r="AD388" s="49"/>
    </row>
    <row r="389">
      <c r="A389" s="49"/>
      <c r="B389" s="49"/>
      <c r="C389" s="146"/>
      <c r="D389" s="146"/>
      <c r="E389" s="49"/>
      <c r="F389" s="49"/>
      <c r="G389" s="49"/>
      <c r="H389" s="42"/>
      <c r="I389" s="49"/>
      <c r="J389" s="42"/>
      <c r="K389" s="49"/>
      <c r="L389" s="49"/>
      <c r="M389" s="42"/>
      <c r="N389" s="42"/>
      <c r="O389" s="42"/>
      <c r="P389" s="42"/>
      <c r="Q389" s="49"/>
      <c r="R389" s="49"/>
      <c r="S389" s="49"/>
      <c r="T389" s="49"/>
      <c r="U389" s="49"/>
      <c r="V389" s="49"/>
      <c r="W389" s="49"/>
      <c r="X389" s="49"/>
      <c r="Y389" s="49"/>
      <c r="Z389" s="49"/>
      <c r="AA389" s="49"/>
      <c r="AB389" s="49"/>
      <c r="AC389" s="49"/>
      <c r="AD389" s="49"/>
    </row>
    <row r="390">
      <c r="A390" s="49"/>
      <c r="B390" s="49"/>
      <c r="C390" s="146"/>
      <c r="D390" s="146"/>
      <c r="E390" s="49"/>
      <c r="F390" s="49"/>
      <c r="G390" s="49"/>
      <c r="H390" s="42"/>
      <c r="I390" s="49"/>
      <c r="J390" s="42"/>
      <c r="K390" s="49"/>
      <c r="L390" s="49"/>
      <c r="M390" s="42"/>
      <c r="N390" s="42"/>
      <c r="O390" s="42"/>
      <c r="P390" s="42"/>
      <c r="Q390" s="49"/>
      <c r="R390" s="49"/>
      <c r="S390" s="49"/>
      <c r="T390" s="49"/>
      <c r="U390" s="49"/>
      <c r="V390" s="49"/>
      <c r="W390" s="49"/>
      <c r="X390" s="49"/>
      <c r="Y390" s="49"/>
      <c r="Z390" s="49"/>
      <c r="AA390" s="49"/>
      <c r="AB390" s="49"/>
      <c r="AC390" s="49"/>
      <c r="AD390" s="49"/>
    </row>
    <row r="391">
      <c r="A391" s="49"/>
      <c r="B391" s="49"/>
      <c r="C391" s="146"/>
      <c r="D391" s="146"/>
      <c r="E391" s="49"/>
      <c r="F391" s="49"/>
      <c r="G391" s="49"/>
      <c r="H391" s="42"/>
      <c r="I391" s="49"/>
      <c r="J391" s="42"/>
      <c r="K391" s="49"/>
      <c r="L391" s="49"/>
      <c r="M391" s="42"/>
      <c r="N391" s="42"/>
      <c r="O391" s="42"/>
      <c r="P391" s="42"/>
      <c r="Q391" s="49"/>
      <c r="R391" s="49"/>
      <c r="S391" s="49"/>
      <c r="T391" s="49"/>
      <c r="U391" s="49"/>
      <c r="V391" s="49"/>
      <c r="W391" s="49"/>
      <c r="X391" s="49"/>
      <c r="Y391" s="49"/>
      <c r="Z391" s="49"/>
      <c r="AA391" s="49"/>
      <c r="AB391" s="49"/>
      <c r="AC391" s="49"/>
      <c r="AD391" s="49"/>
    </row>
    <row r="392">
      <c r="A392" s="49"/>
      <c r="B392" s="49"/>
      <c r="C392" s="146"/>
      <c r="D392" s="146"/>
      <c r="E392" s="49"/>
      <c r="F392" s="49"/>
      <c r="G392" s="49"/>
      <c r="H392" s="42"/>
      <c r="I392" s="49"/>
      <c r="J392" s="42"/>
      <c r="K392" s="49"/>
      <c r="L392" s="49"/>
      <c r="M392" s="42"/>
      <c r="N392" s="42"/>
      <c r="O392" s="42"/>
      <c r="P392" s="42"/>
      <c r="Q392" s="49"/>
      <c r="R392" s="49"/>
      <c r="S392" s="49"/>
      <c r="T392" s="49"/>
      <c r="U392" s="49"/>
      <c r="V392" s="49"/>
      <c r="W392" s="49"/>
      <c r="X392" s="49"/>
      <c r="Y392" s="49"/>
      <c r="Z392" s="49"/>
      <c r="AA392" s="49"/>
      <c r="AB392" s="49"/>
      <c r="AC392" s="49"/>
      <c r="AD392" s="49"/>
    </row>
    <row r="393">
      <c r="A393" s="49"/>
      <c r="B393" s="49"/>
      <c r="C393" s="146"/>
      <c r="D393" s="146"/>
      <c r="E393" s="49"/>
      <c r="F393" s="49"/>
      <c r="G393" s="49"/>
      <c r="H393" s="42"/>
      <c r="I393" s="49"/>
      <c r="J393" s="42"/>
      <c r="K393" s="49"/>
      <c r="L393" s="49"/>
      <c r="M393" s="42"/>
      <c r="N393" s="42"/>
      <c r="O393" s="42"/>
      <c r="P393" s="42"/>
      <c r="Q393" s="49"/>
      <c r="R393" s="49"/>
      <c r="S393" s="49"/>
      <c r="T393" s="49"/>
      <c r="U393" s="49"/>
      <c r="V393" s="49"/>
      <c r="W393" s="49"/>
      <c r="X393" s="49"/>
      <c r="Y393" s="49"/>
      <c r="Z393" s="49"/>
      <c r="AA393" s="49"/>
      <c r="AB393" s="49"/>
      <c r="AC393" s="49"/>
      <c r="AD393" s="49"/>
    </row>
    <row r="394">
      <c r="A394" s="49"/>
      <c r="B394" s="49"/>
      <c r="C394" s="146"/>
      <c r="D394" s="146"/>
      <c r="E394" s="49"/>
      <c r="F394" s="49"/>
      <c r="G394" s="49"/>
      <c r="H394" s="42"/>
      <c r="I394" s="49"/>
      <c r="J394" s="42"/>
      <c r="K394" s="49"/>
      <c r="L394" s="49"/>
      <c r="M394" s="42"/>
      <c r="N394" s="42"/>
      <c r="O394" s="42"/>
      <c r="P394" s="42"/>
      <c r="Q394" s="49"/>
      <c r="R394" s="49"/>
      <c r="S394" s="49"/>
      <c r="T394" s="49"/>
      <c r="U394" s="49"/>
      <c r="V394" s="49"/>
      <c r="W394" s="49"/>
      <c r="X394" s="49"/>
      <c r="Y394" s="49"/>
      <c r="Z394" s="49"/>
      <c r="AA394" s="49"/>
      <c r="AB394" s="49"/>
      <c r="AC394" s="49"/>
      <c r="AD394" s="49"/>
    </row>
    <row r="395">
      <c r="A395" s="49"/>
      <c r="B395" s="49"/>
      <c r="C395" s="146"/>
      <c r="D395" s="146"/>
      <c r="E395" s="49"/>
      <c r="F395" s="49"/>
      <c r="G395" s="49"/>
      <c r="H395" s="42"/>
      <c r="I395" s="49"/>
      <c r="J395" s="42"/>
      <c r="K395" s="49"/>
      <c r="L395" s="49"/>
      <c r="M395" s="42"/>
      <c r="N395" s="42"/>
      <c r="O395" s="42"/>
      <c r="P395" s="42"/>
      <c r="Q395" s="49"/>
      <c r="R395" s="49"/>
      <c r="S395" s="49"/>
      <c r="T395" s="49"/>
      <c r="U395" s="49"/>
      <c r="V395" s="49"/>
      <c r="W395" s="49"/>
      <c r="X395" s="49"/>
      <c r="Y395" s="49"/>
      <c r="Z395" s="49"/>
      <c r="AA395" s="49"/>
      <c r="AB395" s="49"/>
      <c r="AC395" s="49"/>
      <c r="AD395" s="49"/>
    </row>
    <row r="396">
      <c r="A396" s="49"/>
      <c r="B396" s="49"/>
      <c r="C396" s="146"/>
      <c r="D396" s="146"/>
      <c r="E396" s="49"/>
      <c r="F396" s="49"/>
      <c r="G396" s="49"/>
      <c r="H396" s="42"/>
      <c r="I396" s="49"/>
      <c r="J396" s="42"/>
      <c r="K396" s="49"/>
      <c r="L396" s="49"/>
      <c r="M396" s="42"/>
      <c r="N396" s="42"/>
      <c r="O396" s="42"/>
      <c r="P396" s="42"/>
      <c r="Q396" s="49"/>
      <c r="R396" s="49"/>
      <c r="S396" s="49"/>
      <c r="T396" s="49"/>
      <c r="U396" s="49"/>
      <c r="V396" s="49"/>
      <c r="W396" s="49"/>
      <c r="X396" s="49"/>
      <c r="Y396" s="49"/>
      <c r="Z396" s="49"/>
      <c r="AA396" s="49"/>
      <c r="AB396" s="49"/>
      <c r="AC396" s="49"/>
      <c r="AD396" s="49"/>
    </row>
    <row r="397">
      <c r="A397" s="49"/>
      <c r="B397" s="49"/>
      <c r="C397" s="146"/>
      <c r="D397" s="146"/>
      <c r="E397" s="49"/>
      <c r="F397" s="49"/>
      <c r="G397" s="49"/>
      <c r="H397" s="42"/>
      <c r="I397" s="49"/>
      <c r="J397" s="42"/>
      <c r="K397" s="49"/>
      <c r="L397" s="49"/>
      <c r="M397" s="42"/>
      <c r="N397" s="42"/>
      <c r="O397" s="42"/>
      <c r="P397" s="42"/>
      <c r="Q397" s="49"/>
      <c r="R397" s="49"/>
      <c r="S397" s="49"/>
      <c r="T397" s="49"/>
      <c r="U397" s="49"/>
      <c r="V397" s="49"/>
      <c r="W397" s="49"/>
      <c r="X397" s="49"/>
      <c r="Y397" s="49"/>
      <c r="Z397" s="49"/>
      <c r="AA397" s="49"/>
      <c r="AB397" s="49"/>
      <c r="AC397" s="49"/>
      <c r="AD397" s="49"/>
    </row>
    <row r="398">
      <c r="A398" s="49"/>
      <c r="B398" s="49"/>
      <c r="C398" s="146"/>
      <c r="D398" s="146"/>
      <c r="E398" s="49"/>
      <c r="F398" s="49"/>
      <c r="G398" s="49"/>
      <c r="H398" s="42"/>
      <c r="I398" s="49"/>
      <c r="J398" s="42"/>
      <c r="K398" s="49"/>
      <c r="L398" s="49"/>
      <c r="M398" s="42"/>
      <c r="N398" s="42"/>
      <c r="O398" s="42"/>
      <c r="P398" s="42"/>
      <c r="Q398" s="49"/>
      <c r="R398" s="49"/>
      <c r="S398" s="49"/>
      <c r="T398" s="49"/>
      <c r="U398" s="49"/>
      <c r="V398" s="49"/>
      <c r="W398" s="49"/>
      <c r="X398" s="49"/>
      <c r="Y398" s="49"/>
      <c r="Z398" s="49"/>
      <c r="AA398" s="49"/>
      <c r="AB398" s="49"/>
      <c r="AC398" s="49"/>
      <c r="AD398" s="49"/>
    </row>
    <row r="399">
      <c r="A399" s="49"/>
      <c r="B399" s="49"/>
      <c r="C399" s="146"/>
      <c r="D399" s="146"/>
      <c r="E399" s="49"/>
      <c r="F399" s="49"/>
      <c r="G399" s="49"/>
      <c r="H399" s="42"/>
      <c r="I399" s="49"/>
      <c r="J399" s="42"/>
      <c r="K399" s="49"/>
      <c r="L399" s="49"/>
      <c r="M399" s="42"/>
      <c r="N399" s="42"/>
      <c r="O399" s="42"/>
      <c r="P399" s="42"/>
      <c r="Q399" s="49"/>
      <c r="R399" s="49"/>
      <c r="S399" s="49"/>
      <c r="T399" s="49"/>
      <c r="U399" s="49"/>
      <c r="V399" s="49"/>
      <c r="W399" s="49"/>
      <c r="X399" s="49"/>
      <c r="Y399" s="49"/>
      <c r="Z399" s="49"/>
      <c r="AA399" s="49"/>
      <c r="AB399" s="49"/>
      <c r="AC399" s="49"/>
      <c r="AD399" s="49"/>
    </row>
    <row r="400">
      <c r="A400" s="49"/>
      <c r="B400" s="49"/>
      <c r="C400" s="146"/>
      <c r="D400" s="146"/>
      <c r="E400" s="49"/>
      <c r="F400" s="49"/>
      <c r="G400" s="49"/>
      <c r="H400" s="42"/>
      <c r="I400" s="49"/>
      <c r="J400" s="42"/>
      <c r="K400" s="49"/>
      <c r="L400" s="49"/>
      <c r="M400" s="42"/>
      <c r="N400" s="42"/>
      <c r="O400" s="42"/>
      <c r="P400" s="42"/>
      <c r="Q400" s="49"/>
      <c r="R400" s="49"/>
      <c r="S400" s="49"/>
      <c r="T400" s="49"/>
      <c r="U400" s="49"/>
      <c r="V400" s="49"/>
      <c r="W400" s="49"/>
      <c r="X400" s="49"/>
      <c r="Y400" s="49"/>
      <c r="Z400" s="49"/>
      <c r="AA400" s="49"/>
      <c r="AB400" s="49"/>
      <c r="AC400" s="49"/>
      <c r="AD400" s="49"/>
    </row>
    <row r="401">
      <c r="A401" s="49"/>
      <c r="B401" s="49"/>
      <c r="C401" s="146"/>
      <c r="D401" s="146"/>
      <c r="E401" s="49"/>
      <c r="F401" s="49"/>
      <c r="G401" s="49"/>
      <c r="H401" s="42"/>
      <c r="I401" s="49"/>
      <c r="J401" s="42"/>
      <c r="K401" s="49"/>
      <c r="L401" s="49"/>
      <c r="M401" s="42"/>
      <c r="N401" s="42"/>
      <c r="O401" s="42"/>
      <c r="P401" s="42"/>
      <c r="Q401" s="49"/>
      <c r="R401" s="49"/>
      <c r="S401" s="49"/>
      <c r="T401" s="49"/>
      <c r="U401" s="49"/>
      <c r="V401" s="49"/>
      <c r="W401" s="49"/>
      <c r="X401" s="49"/>
      <c r="Y401" s="49"/>
      <c r="Z401" s="49"/>
      <c r="AA401" s="49"/>
      <c r="AB401" s="49"/>
      <c r="AC401" s="49"/>
      <c r="AD401" s="49"/>
    </row>
    <row r="402">
      <c r="A402" s="49"/>
      <c r="B402" s="49"/>
      <c r="C402" s="146"/>
      <c r="D402" s="146"/>
      <c r="E402" s="49"/>
      <c r="F402" s="49"/>
      <c r="G402" s="49"/>
      <c r="H402" s="42"/>
      <c r="I402" s="49"/>
      <c r="J402" s="42"/>
      <c r="K402" s="49"/>
      <c r="L402" s="49"/>
      <c r="M402" s="42"/>
      <c r="N402" s="42"/>
      <c r="O402" s="42"/>
      <c r="P402" s="42"/>
      <c r="Q402" s="49"/>
      <c r="R402" s="49"/>
      <c r="S402" s="49"/>
      <c r="T402" s="49"/>
      <c r="U402" s="49"/>
      <c r="V402" s="49"/>
      <c r="W402" s="49"/>
      <c r="X402" s="49"/>
      <c r="Y402" s="49"/>
      <c r="Z402" s="49"/>
      <c r="AA402" s="49"/>
      <c r="AB402" s="49"/>
      <c r="AC402" s="49"/>
      <c r="AD402" s="49"/>
    </row>
    <row r="403">
      <c r="A403" s="49"/>
      <c r="B403" s="49"/>
      <c r="C403" s="146"/>
      <c r="D403" s="146"/>
      <c r="E403" s="49"/>
      <c r="F403" s="49"/>
      <c r="G403" s="49"/>
      <c r="H403" s="42"/>
      <c r="I403" s="49"/>
      <c r="J403" s="42"/>
      <c r="K403" s="49"/>
      <c r="L403" s="49"/>
      <c r="M403" s="42"/>
      <c r="N403" s="42"/>
      <c r="O403" s="42"/>
      <c r="P403" s="42"/>
      <c r="Q403" s="49"/>
      <c r="R403" s="49"/>
      <c r="S403" s="49"/>
      <c r="T403" s="49"/>
      <c r="U403" s="49"/>
      <c r="V403" s="49"/>
      <c r="W403" s="49"/>
      <c r="X403" s="49"/>
      <c r="Y403" s="49"/>
      <c r="Z403" s="49"/>
      <c r="AA403" s="49"/>
      <c r="AB403" s="49"/>
      <c r="AC403" s="49"/>
      <c r="AD403" s="49"/>
    </row>
    <row r="404">
      <c r="A404" s="49"/>
      <c r="B404" s="49"/>
      <c r="C404" s="146"/>
      <c r="D404" s="146"/>
      <c r="E404" s="49"/>
      <c r="F404" s="49"/>
      <c r="G404" s="49"/>
      <c r="H404" s="42"/>
      <c r="I404" s="49"/>
      <c r="J404" s="42"/>
      <c r="K404" s="49"/>
      <c r="L404" s="49"/>
      <c r="M404" s="42"/>
      <c r="N404" s="42"/>
      <c r="O404" s="42"/>
      <c r="P404" s="42"/>
      <c r="Q404" s="49"/>
      <c r="R404" s="49"/>
      <c r="S404" s="49"/>
      <c r="T404" s="49"/>
      <c r="U404" s="49"/>
      <c r="V404" s="49"/>
      <c r="W404" s="49"/>
      <c r="X404" s="49"/>
      <c r="Y404" s="49"/>
      <c r="Z404" s="49"/>
      <c r="AA404" s="49"/>
      <c r="AB404" s="49"/>
      <c r="AC404" s="49"/>
      <c r="AD404" s="49"/>
    </row>
    <row r="405">
      <c r="A405" s="49"/>
      <c r="B405" s="49"/>
      <c r="C405" s="146"/>
      <c r="D405" s="146"/>
      <c r="E405" s="49"/>
      <c r="F405" s="49"/>
      <c r="G405" s="49"/>
      <c r="H405" s="42"/>
      <c r="I405" s="49"/>
      <c r="J405" s="42"/>
      <c r="K405" s="49"/>
      <c r="L405" s="49"/>
      <c r="M405" s="42"/>
      <c r="N405" s="42"/>
      <c r="O405" s="42"/>
      <c r="P405" s="42"/>
      <c r="Q405" s="49"/>
      <c r="R405" s="49"/>
      <c r="S405" s="49"/>
      <c r="T405" s="49"/>
      <c r="U405" s="49"/>
      <c r="V405" s="49"/>
      <c r="W405" s="49"/>
      <c r="X405" s="49"/>
      <c r="Y405" s="49"/>
      <c r="Z405" s="49"/>
      <c r="AA405" s="49"/>
      <c r="AB405" s="49"/>
      <c r="AC405" s="49"/>
      <c r="AD405" s="49"/>
    </row>
    <row r="406">
      <c r="A406" s="49"/>
      <c r="B406" s="49"/>
      <c r="C406" s="146"/>
      <c r="D406" s="146"/>
      <c r="E406" s="49"/>
      <c r="F406" s="49"/>
      <c r="G406" s="49"/>
      <c r="H406" s="42"/>
      <c r="I406" s="49"/>
      <c r="J406" s="42"/>
      <c r="K406" s="49"/>
      <c r="L406" s="49"/>
      <c r="M406" s="42"/>
      <c r="N406" s="42"/>
      <c r="O406" s="42"/>
      <c r="P406" s="42"/>
      <c r="Q406" s="49"/>
      <c r="R406" s="49"/>
      <c r="S406" s="49"/>
      <c r="T406" s="49"/>
      <c r="U406" s="49"/>
      <c r="V406" s="49"/>
      <c r="W406" s="49"/>
      <c r="X406" s="49"/>
      <c r="Y406" s="49"/>
      <c r="Z406" s="49"/>
      <c r="AA406" s="49"/>
      <c r="AB406" s="49"/>
      <c r="AC406" s="49"/>
      <c r="AD406" s="49"/>
    </row>
    <row r="407">
      <c r="A407" s="49"/>
      <c r="B407" s="49"/>
      <c r="C407" s="146"/>
      <c r="D407" s="146"/>
      <c r="E407" s="49"/>
      <c r="F407" s="49"/>
      <c r="G407" s="49"/>
      <c r="H407" s="42"/>
      <c r="I407" s="49"/>
      <c r="J407" s="42"/>
      <c r="K407" s="49"/>
      <c r="L407" s="49"/>
      <c r="M407" s="42"/>
      <c r="N407" s="42"/>
      <c r="O407" s="42"/>
      <c r="P407" s="42"/>
      <c r="Q407" s="49"/>
      <c r="R407" s="49"/>
      <c r="S407" s="49"/>
      <c r="T407" s="49"/>
      <c r="U407" s="49"/>
      <c r="V407" s="49"/>
      <c r="W407" s="49"/>
      <c r="X407" s="49"/>
      <c r="Y407" s="49"/>
      <c r="Z407" s="49"/>
      <c r="AA407" s="49"/>
      <c r="AB407" s="49"/>
      <c r="AC407" s="49"/>
      <c r="AD407" s="49"/>
    </row>
    <row r="408">
      <c r="A408" s="49"/>
      <c r="B408" s="49"/>
      <c r="C408" s="146"/>
      <c r="D408" s="146"/>
      <c r="E408" s="49"/>
      <c r="F408" s="49"/>
      <c r="G408" s="49"/>
      <c r="H408" s="42"/>
      <c r="I408" s="49"/>
      <c r="J408" s="42"/>
      <c r="K408" s="49"/>
      <c r="L408" s="49"/>
      <c r="M408" s="42"/>
      <c r="N408" s="42"/>
      <c r="O408" s="42"/>
      <c r="P408" s="42"/>
      <c r="Q408" s="49"/>
      <c r="R408" s="49"/>
      <c r="S408" s="49"/>
      <c r="T408" s="49"/>
      <c r="U408" s="49"/>
      <c r="V408" s="49"/>
      <c r="W408" s="49"/>
      <c r="X408" s="49"/>
      <c r="Y408" s="49"/>
      <c r="Z408" s="49"/>
      <c r="AA408" s="49"/>
      <c r="AB408" s="49"/>
      <c r="AC408" s="49"/>
      <c r="AD408" s="49"/>
    </row>
    <row r="409">
      <c r="A409" s="49"/>
      <c r="B409" s="49"/>
      <c r="C409" s="146"/>
      <c r="D409" s="146"/>
      <c r="E409" s="49"/>
      <c r="F409" s="49"/>
      <c r="G409" s="49"/>
      <c r="H409" s="42"/>
      <c r="I409" s="49"/>
      <c r="J409" s="42"/>
      <c r="K409" s="49"/>
      <c r="L409" s="49"/>
      <c r="M409" s="42"/>
      <c r="N409" s="42"/>
      <c r="O409" s="42"/>
      <c r="P409" s="42"/>
      <c r="Q409" s="49"/>
      <c r="R409" s="49"/>
      <c r="S409" s="49"/>
      <c r="T409" s="49"/>
      <c r="U409" s="49"/>
      <c r="V409" s="49"/>
      <c r="W409" s="49"/>
      <c r="X409" s="49"/>
      <c r="Y409" s="49"/>
      <c r="Z409" s="49"/>
      <c r="AA409" s="49"/>
      <c r="AB409" s="49"/>
      <c r="AC409" s="49"/>
      <c r="AD409" s="49"/>
    </row>
    <row r="410">
      <c r="A410" s="49"/>
      <c r="B410" s="49"/>
      <c r="C410" s="146"/>
      <c r="D410" s="146"/>
      <c r="E410" s="49"/>
      <c r="F410" s="49"/>
      <c r="G410" s="49"/>
      <c r="H410" s="42"/>
      <c r="I410" s="49"/>
      <c r="J410" s="42"/>
      <c r="K410" s="49"/>
      <c r="L410" s="49"/>
      <c r="M410" s="42"/>
      <c r="N410" s="42"/>
      <c r="O410" s="42"/>
      <c r="P410" s="42"/>
      <c r="Q410" s="49"/>
      <c r="R410" s="49"/>
      <c r="S410" s="49"/>
      <c r="T410" s="49"/>
      <c r="U410" s="49"/>
      <c r="V410" s="49"/>
      <c r="W410" s="49"/>
      <c r="X410" s="49"/>
      <c r="Y410" s="49"/>
      <c r="Z410" s="49"/>
      <c r="AA410" s="49"/>
      <c r="AB410" s="49"/>
      <c r="AC410" s="49"/>
      <c r="AD410" s="49"/>
    </row>
    <row r="411">
      <c r="A411" s="49"/>
      <c r="B411" s="49"/>
      <c r="C411" s="146"/>
      <c r="D411" s="146"/>
      <c r="E411" s="49"/>
      <c r="F411" s="49"/>
      <c r="G411" s="49"/>
      <c r="H411" s="42"/>
      <c r="I411" s="49"/>
      <c r="J411" s="42"/>
      <c r="K411" s="49"/>
      <c r="L411" s="49"/>
      <c r="M411" s="42"/>
      <c r="N411" s="42"/>
      <c r="O411" s="42"/>
      <c r="P411" s="42"/>
      <c r="Q411" s="49"/>
      <c r="R411" s="49"/>
      <c r="S411" s="49"/>
      <c r="T411" s="49"/>
      <c r="U411" s="49"/>
      <c r="V411" s="49"/>
      <c r="W411" s="49"/>
      <c r="X411" s="49"/>
      <c r="Y411" s="49"/>
      <c r="Z411" s="49"/>
      <c r="AA411" s="49"/>
      <c r="AB411" s="49"/>
      <c r="AC411" s="49"/>
      <c r="AD411" s="49"/>
    </row>
    <row r="412">
      <c r="A412" s="49"/>
      <c r="B412" s="49"/>
      <c r="C412" s="146"/>
      <c r="D412" s="146"/>
      <c r="E412" s="49"/>
      <c r="F412" s="49"/>
      <c r="G412" s="49"/>
      <c r="H412" s="42"/>
      <c r="I412" s="49"/>
      <c r="J412" s="42"/>
      <c r="K412" s="49"/>
      <c r="L412" s="49"/>
      <c r="M412" s="42"/>
      <c r="N412" s="42"/>
      <c r="O412" s="42"/>
      <c r="P412" s="42"/>
      <c r="Q412" s="49"/>
      <c r="R412" s="49"/>
      <c r="S412" s="49"/>
      <c r="T412" s="49"/>
      <c r="U412" s="49"/>
      <c r="V412" s="49"/>
      <c r="W412" s="49"/>
      <c r="X412" s="49"/>
      <c r="Y412" s="49"/>
      <c r="Z412" s="49"/>
      <c r="AA412" s="49"/>
      <c r="AB412" s="49"/>
      <c r="AC412" s="49"/>
      <c r="AD412" s="49"/>
    </row>
    <row r="413">
      <c r="A413" s="49"/>
      <c r="B413" s="49"/>
      <c r="C413" s="146"/>
      <c r="D413" s="146"/>
      <c r="E413" s="49"/>
      <c r="F413" s="49"/>
      <c r="G413" s="49"/>
      <c r="H413" s="42"/>
      <c r="I413" s="49"/>
      <c r="J413" s="42"/>
      <c r="K413" s="49"/>
      <c r="L413" s="49"/>
      <c r="M413" s="42"/>
      <c r="N413" s="42"/>
      <c r="O413" s="42"/>
      <c r="P413" s="42"/>
      <c r="Q413" s="49"/>
      <c r="R413" s="49"/>
      <c r="S413" s="49"/>
      <c r="T413" s="49"/>
      <c r="U413" s="49"/>
      <c r="V413" s="49"/>
      <c r="W413" s="49"/>
      <c r="X413" s="49"/>
      <c r="Y413" s="49"/>
      <c r="Z413" s="49"/>
      <c r="AA413" s="49"/>
      <c r="AB413" s="49"/>
      <c r="AC413" s="49"/>
      <c r="AD413" s="49"/>
    </row>
    <row r="414">
      <c r="A414" s="49"/>
      <c r="B414" s="49"/>
      <c r="C414" s="146"/>
      <c r="D414" s="146"/>
      <c r="E414" s="49"/>
      <c r="F414" s="49"/>
      <c r="G414" s="49"/>
      <c r="H414" s="42"/>
      <c r="I414" s="49"/>
      <c r="J414" s="42"/>
      <c r="K414" s="49"/>
      <c r="L414" s="49"/>
      <c r="M414" s="42"/>
      <c r="N414" s="42"/>
      <c r="O414" s="42"/>
      <c r="P414" s="42"/>
      <c r="Q414" s="49"/>
      <c r="R414" s="49"/>
      <c r="S414" s="49"/>
      <c r="T414" s="49"/>
      <c r="U414" s="49"/>
      <c r="V414" s="49"/>
      <c r="W414" s="49"/>
      <c r="X414" s="49"/>
      <c r="Y414" s="49"/>
      <c r="Z414" s="49"/>
      <c r="AA414" s="49"/>
      <c r="AB414" s="49"/>
      <c r="AC414" s="49"/>
      <c r="AD414" s="49"/>
    </row>
    <row r="415">
      <c r="A415" s="49"/>
      <c r="B415" s="49"/>
      <c r="C415" s="146"/>
      <c r="D415" s="146"/>
      <c r="E415" s="49"/>
      <c r="F415" s="49"/>
      <c r="G415" s="49"/>
      <c r="H415" s="42"/>
      <c r="I415" s="49"/>
      <c r="J415" s="42"/>
      <c r="K415" s="49"/>
      <c r="L415" s="49"/>
      <c r="M415" s="42"/>
      <c r="N415" s="42"/>
      <c r="O415" s="42"/>
      <c r="P415" s="42"/>
      <c r="Q415" s="49"/>
      <c r="R415" s="49"/>
      <c r="S415" s="49"/>
      <c r="T415" s="49"/>
      <c r="U415" s="49"/>
      <c r="V415" s="49"/>
      <c r="W415" s="49"/>
      <c r="X415" s="49"/>
      <c r="Y415" s="49"/>
      <c r="Z415" s="49"/>
      <c r="AA415" s="49"/>
      <c r="AB415" s="49"/>
      <c r="AC415" s="49"/>
      <c r="AD415" s="49"/>
    </row>
    <row r="416">
      <c r="A416" s="49"/>
      <c r="B416" s="49"/>
      <c r="C416" s="146"/>
      <c r="D416" s="146"/>
      <c r="E416" s="49"/>
      <c r="F416" s="49"/>
      <c r="G416" s="49"/>
      <c r="H416" s="42"/>
      <c r="I416" s="49"/>
      <c r="J416" s="42"/>
      <c r="K416" s="49"/>
      <c r="L416" s="49"/>
      <c r="M416" s="42"/>
      <c r="N416" s="42"/>
      <c r="O416" s="42"/>
      <c r="P416" s="42"/>
      <c r="Q416" s="49"/>
      <c r="R416" s="49"/>
      <c r="S416" s="49"/>
      <c r="T416" s="49"/>
      <c r="U416" s="49"/>
      <c r="V416" s="49"/>
      <c r="W416" s="49"/>
      <c r="X416" s="49"/>
      <c r="Y416" s="49"/>
      <c r="Z416" s="49"/>
      <c r="AA416" s="49"/>
      <c r="AB416" s="49"/>
      <c r="AC416" s="49"/>
      <c r="AD416" s="49"/>
    </row>
    <row r="417">
      <c r="A417" s="49"/>
      <c r="B417" s="49"/>
      <c r="C417" s="146"/>
      <c r="D417" s="146"/>
      <c r="E417" s="49"/>
      <c r="F417" s="49"/>
      <c r="G417" s="49"/>
      <c r="H417" s="42"/>
      <c r="I417" s="49"/>
      <c r="J417" s="42"/>
      <c r="K417" s="49"/>
      <c r="L417" s="49"/>
      <c r="M417" s="42"/>
      <c r="N417" s="42"/>
      <c r="O417" s="42"/>
      <c r="P417" s="42"/>
      <c r="Q417" s="49"/>
      <c r="R417" s="49"/>
      <c r="S417" s="49"/>
      <c r="T417" s="49"/>
      <c r="U417" s="49"/>
      <c r="V417" s="49"/>
      <c r="W417" s="49"/>
      <c r="X417" s="49"/>
      <c r="Y417" s="49"/>
      <c r="Z417" s="49"/>
      <c r="AA417" s="49"/>
      <c r="AB417" s="49"/>
      <c r="AC417" s="49"/>
      <c r="AD417" s="49"/>
    </row>
    <row r="418">
      <c r="A418" s="49"/>
      <c r="B418" s="49"/>
      <c r="C418" s="146"/>
      <c r="D418" s="146"/>
      <c r="E418" s="49"/>
      <c r="F418" s="49"/>
      <c r="G418" s="49"/>
      <c r="H418" s="42"/>
      <c r="I418" s="49"/>
      <c r="J418" s="42"/>
      <c r="K418" s="49"/>
      <c r="L418" s="49"/>
      <c r="M418" s="42"/>
      <c r="N418" s="42"/>
      <c r="O418" s="42"/>
      <c r="P418" s="42"/>
      <c r="Q418" s="49"/>
      <c r="R418" s="49"/>
      <c r="S418" s="49"/>
      <c r="T418" s="49"/>
      <c r="U418" s="49"/>
      <c r="V418" s="49"/>
      <c r="W418" s="49"/>
      <c r="X418" s="49"/>
      <c r="Y418" s="49"/>
      <c r="Z418" s="49"/>
      <c r="AA418" s="49"/>
      <c r="AB418" s="49"/>
      <c r="AC418" s="49"/>
      <c r="AD418" s="49"/>
    </row>
    <row r="419">
      <c r="A419" s="49"/>
      <c r="B419" s="49"/>
      <c r="C419" s="146"/>
      <c r="D419" s="146"/>
      <c r="E419" s="49"/>
      <c r="F419" s="49"/>
      <c r="G419" s="49"/>
      <c r="H419" s="42"/>
      <c r="I419" s="49"/>
      <c r="J419" s="42"/>
      <c r="K419" s="49"/>
      <c r="L419" s="49"/>
      <c r="M419" s="42"/>
      <c r="N419" s="42"/>
      <c r="O419" s="42"/>
      <c r="P419" s="42"/>
      <c r="Q419" s="49"/>
      <c r="R419" s="49"/>
      <c r="S419" s="49"/>
      <c r="T419" s="49"/>
      <c r="U419" s="49"/>
      <c r="V419" s="49"/>
      <c r="W419" s="49"/>
      <c r="X419" s="49"/>
      <c r="Y419" s="49"/>
      <c r="Z419" s="49"/>
      <c r="AA419" s="49"/>
      <c r="AB419" s="49"/>
      <c r="AC419" s="49"/>
      <c r="AD419" s="49"/>
    </row>
    <row r="420">
      <c r="A420" s="49"/>
      <c r="B420" s="49"/>
      <c r="C420" s="146"/>
      <c r="D420" s="146"/>
      <c r="E420" s="49"/>
      <c r="F420" s="49"/>
      <c r="G420" s="49"/>
      <c r="H420" s="42"/>
      <c r="I420" s="49"/>
      <c r="J420" s="42"/>
      <c r="K420" s="49"/>
      <c r="L420" s="49"/>
      <c r="M420" s="42"/>
      <c r="N420" s="42"/>
      <c r="O420" s="42"/>
      <c r="P420" s="42"/>
      <c r="Q420" s="49"/>
      <c r="R420" s="49"/>
      <c r="S420" s="49"/>
      <c r="T420" s="49"/>
      <c r="U420" s="49"/>
      <c r="V420" s="49"/>
      <c r="W420" s="49"/>
      <c r="X420" s="49"/>
      <c r="Y420" s="49"/>
      <c r="Z420" s="49"/>
      <c r="AA420" s="49"/>
      <c r="AB420" s="49"/>
      <c r="AC420" s="49"/>
      <c r="AD420" s="49"/>
    </row>
    <row r="421">
      <c r="A421" s="49"/>
      <c r="B421" s="49"/>
      <c r="C421" s="146"/>
      <c r="D421" s="146"/>
      <c r="E421" s="49"/>
      <c r="F421" s="49"/>
      <c r="G421" s="49"/>
      <c r="H421" s="42"/>
      <c r="I421" s="49"/>
      <c r="J421" s="42"/>
      <c r="K421" s="49"/>
      <c r="L421" s="49"/>
      <c r="M421" s="42"/>
      <c r="N421" s="42"/>
      <c r="O421" s="42"/>
      <c r="P421" s="42"/>
      <c r="Q421" s="49"/>
      <c r="R421" s="49"/>
      <c r="S421" s="49"/>
      <c r="T421" s="49"/>
      <c r="U421" s="49"/>
      <c r="V421" s="49"/>
      <c r="W421" s="49"/>
      <c r="X421" s="49"/>
      <c r="Y421" s="49"/>
      <c r="Z421" s="49"/>
      <c r="AA421" s="49"/>
      <c r="AB421" s="49"/>
      <c r="AC421" s="49"/>
      <c r="AD421" s="49"/>
    </row>
    <row r="422">
      <c r="A422" s="49"/>
      <c r="B422" s="49"/>
      <c r="C422" s="146"/>
      <c r="D422" s="146"/>
      <c r="E422" s="49"/>
      <c r="F422" s="49"/>
      <c r="G422" s="49"/>
      <c r="H422" s="42"/>
      <c r="I422" s="49"/>
      <c r="J422" s="42"/>
      <c r="K422" s="49"/>
      <c r="L422" s="49"/>
      <c r="M422" s="42"/>
      <c r="N422" s="42"/>
      <c r="O422" s="42"/>
      <c r="P422" s="42"/>
      <c r="Q422" s="49"/>
      <c r="R422" s="49"/>
      <c r="S422" s="49"/>
      <c r="T422" s="49"/>
      <c r="U422" s="49"/>
      <c r="V422" s="49"/>
      <c r="W422" s="49"/>
      <c r="X422" s="49"/>
      <c r="Y422" s="49"/>
      <c r="Z422" s="49"/>
      <c r="AA422" s="49"/>
      <c r="AB422" s="49"/>
      <c r="AC422" s="49"/>
      <c r="AD422" s="49"/>
    </row>
    <row r="423">
      <c r="A423" s="49"/>
      <c r="B423" s="49"/>
      <c r="C423" s="146"/>
      <c r="D423" s="146"/>
      <c r="E423" s="49"/>
      <c r="F423" s="49"/>
      <c r="G423" s="49"/>
      <c r="H423" s="42"/>
      <c r="I423" s="49"/>
      <c r="J423" s="42"/>
      <c r="K423" s="49"/>
      <c r="L423" s="49"/>
      <c r="M423" s="42"/>
      <c r="N423" s="42"/>
      <c r="O423" s="42"/>
      <c r="P423" s="42"/>
      <c r="Q423" s="49"/>
      <c r="R423" s="49"/>
      <c r="S423" s="49"/>
      <c r="T423" s="49"/>
      <c r="U423" s="49"/>
      <c r="V423" s="49"/>
      <c r="W423" s="49"/>
      <c r="X423" s="49"/>
      <c r="Y423" s="49"/>
      <c r="Z423" s="49"/>
      <c r="AA423" s="49"/>
      <c r="AB423" s="49"/>
      <c r="AC423" s="49"/>
      <c r="AD423" s="49"/>
    </row>
    <row r="424">
      <c r="A424" s="49"/>
      <c r="B424" s="49"/>
      <c r="C424" s="146"/>
      <c r="D424" s="146"/>
      <c r="E424" s="49"/>
      <c r="F424" s="49"/>
      <c r="G424" s="49"/>
      <c r="H424" s="42"/>
      <c r="I424" s="49"/>
      <c r="J424" s="42"/>
      <c r="K424" s="49"/>
      <c r="L424" s="49"/>
      <c r="M424" s="42"/>
      <c r="N424" s="42"/>
      <c r="O424" s="42"/>
      <c r="P424" s="42"/>
      <c r="Q424" s="49"/>
      <c r="R424" s="49"/>
      <c r="S424" s="49"/>
      <c r="T424" s="49"/>
      <c r="U424" s="49"/>
      <c r="V424" s="49"/>
      <c r="W424" s="49"/>
      <c r="X424" s="49"/>
      <c r="Y424" s="49"/>
      <c r="Z424" s="49"/>
      <c r="AA424" s="49"/>
      <c r="AB424" s="49"/>
      <c r="AC424" s="49"/>
      <c r="AD424" s="49"/>
    </row>
    <row r="425">
      <c r="A425" s="49"/>
      <c r="B425" s="49"/>
      <c r="C425" s="146"/>
      <c r="D425" s="146"/>
      <c r="E425" s="49"/>
      <c r="F425" s="49"/>
      <c r="G425" s="49"/>
      <c r="H425" s="42"/>
      <c r="I425" s="49"/>
      <c r="J425" s="42"/>
      <c r="K425" s="49"/>
      <c r="L425" s="49"/>
      <c r="M425" s="42"/>
      <c r="N425" s="42"/>
      <c r="O425" s="42"/>
      <c r="P425" s="42"/>
      <c r="Q425" s="49"/>
      <c r="R425" s="49"/>
      <c r="S425" s="49"/>
      <c r="T425" s="49"/>
      <c r="U425" s="49"/>
      <c r="V425" s="49"/>
      <c r="W425" s="49"/>
      <c r="X425" s="49"/>
      <c r="Y425" s="49"/>
      <c r="Z425" s="49"/>
      <c r="AA425" s="49"/>
      <c r="AB425" s="49"/>
      <c r="AC425" s="49"/>
      <c r="AD425" s="49"/>
    </row>
    <row r="426">
      <c r="A426" s="49"/>
      <c r="B426" s="49"/>
      <c r="C426" s="146"/>
      <c r="D426" s="146"/>
      <c r="E426" s="49"/>
      <c r="F426" s="49"/>
      <c r="G426" s="49"/>
      <c r="H426" s="42"/>
      <c r="I426" s="49"/>
      <c r="J426" s="42"/>
      <c r="K426" s="49"/>
      <c r="L426" s="49"/>
      <c r="M426" s="42"/>
      <c r="N426" s="42"/>
      <c r="O426" s="42"/>
      <c r="P426" s="42"/>
      <c r="Q426" s="49"/>
      <c r="R426" s="49"/>
      <c r="S426" s="49"/>
      <c r="T426" s="49"/>
      <c r="U426" s="49"/>
      <c r="V426" s="49"/>
      <c r="W426" s="49"/>
      <c r="X426" s="49"/>
      <c r="Y426" s="49"/>
      <c r="Z426" s="49"/>
      <c r="AA426" s="49"/>
      <c r="AB426" s="49"/>
      <c r="AC426" s="49"/>
      <c r="AD426" s="49"/>
    </row>
    <row r="427">
      <c r="A427" s="49"/>
      <c r="B427" s="49"/>
      <c r="C427" s="146"/>
      <c r="D427" s="146"/>
      <c r="E427" s="49"/>
      <c r="F427" s="49"/>
      <c r="G427" s="49"/>
      <c r="H427" s="42"/>
      <c r="I427" s="49"/>
      <c r="J427" s="42"/>
      <c r="K427" s="49"/>
      <c r="L427" s="49"/>
      <c r="M427" s="42"/>
      <c r="N427" s="42"/>
      <c r="O427" s="42"/>
      <c r="P427" s="42"/>
      <c r="Q427" s="49"/>
      <c r="R427" s="49"/>
      <c r="S427" s="49"/>
      <c r="T427" s="49"/>
      <c r="U427" s="49"/>
      <c r="V427" s="49"/>
      <c r="W427" s="49"/>
      <c r="X427" s="49"/>
      <c r="Y427" s="49"/>
      <c r="Z427" s="49"/>
      <c r="AA427" s="49"/>
      <c r="AB427" s="49"/>
      <c r="AC427" s="49"/>
      <c r="AD427" s="49"/>
    </row>
    <row r="428">
      <c r="A428" s="49"/>
      <c r="B428" s="49"/>
      <c r="C428" s="146"/>
      <c r="D428" s="146"/>
      <c r="E428" s="49"/>
      <c r="F428" s="49"/>
      <c r="G428" s="49"/>
      <c r="H428" s="42"/>
      <c r="I428" s="49"/>
      <c r="J428" s="42"/>
      <c r="K428" s="49"/>
      <c r="L428" s="49"/>
      <c r="M428" s="42"/>
      <c r="N428" s="42"/>
      <c r="O428" s="42"/>
      <c r="P428" s="42"/>
      <c r="Q428" s="49"/>
      <c r="R428" s="49"/>
      <c r="S428" s="49"/>
      <c r="T428" s="49"/>
      <c r="U428" s="49"/>
      <c r="V428" s="49"/>
      <c r="W428" s="49"/>
      <c r="X428" s="49"/>
      <c r="Y428" s="49"/>
      <c r="Z428" s="49"/>
      <c r="AA428" s="49"/>
      <c r="AB428" s="49"/>
      <c r="AC428" s="49"/>
      <c r="AD428" s="49"/>
    </row>
    <row r="429">
      <c r="A429" s="49"/>
      <c r="B429" s="49"/>
      <c r="C429" s="146"/>
      <c r="D429" s="146"/>
      <c r="E429" s="49"/>
      <c r="F429" s="49"/>
      <c r="G429" s="49"/>
      <c r="H429" s="42"/>
      <c r="I429" s="49"/>
      <c r="J429" s="42"/>
      <c r="K429" s="49"/>
      <c r="L429" s="49"/>
      <c r="M429" s="42"/>
      <c r="N429" s="42"/>
      <c r="O429" s="42"/>
      <c r="P429" s="42"/>
      <c r="Q429" s="49"/>
      <c r="R429" s="49"/>
      <c r="S429" s="49"/>
      <c r="T429" s="49"/>
      <c r="U429" s="49"/>
      <c r="V429" s="49"/>
      <c r="W429" s="49"/>
      <c r="X429" s="49"/>
      <c r="Y429" s="49"/>
      <c r="Z429" s="49"/>
      <c r="AA429" s="49"/>
      <c r="AB429" s="49"/>
      <c r="AC429" s="49"/>
      <c r="AD429" s="49"/>
    </row>
    <row r="430">
      <c r="A430" s="49"/>
      <c r="B430" s="49"/>
      <c r="C430" s="146"/>
      <c r="D430" s="146"/>
      <c r="E430" s="49"/>
      <c r="F430" s="49"/>
      <c r="G430" s="49"/>
      <c r="H430" s="42"/>
      <c r="I430" s="49"/>
      <c r="J430" s="42"/>
      <c r="K430" s="49"/>
      <c r="L430" s="49"/>
      <c r="M430" s="42"/>
      <c r="N430" s="42"/>
      <c r="O430" s="42"/>
      <c r="P430" s="42"/>
      <c r="Q430" s="49"/>
      <c r="R430" s="49"/>
      <c r="S430" s="49"/>
      <c r="T430" s="49"/>
      <c r="U430" s="49"/>
      <c r="V430" s="49"/>
      <c r="W430" s="49"/>
      <c r="X430" s="49"/>
      <c r="Y430" s="49"/>
      <c r="Z430" s="49"/>
      <c r="AA430" s="49"/>
      <c r="AB430" s="49"/>
      <c r="AC430" s="49"/>
      <c r="AD430" s="49"/>
    </row>
    <row r="431">
      <c r="A431" s="49"/>
      <c r="B431" s="49"/>
      <c r="C431" s="146"/>
      <c r="D431" s="146"/>
      <c r="E431" s="49"/>
      <c r="F431" s="49"/>
      <c r="G431" s="49"/>
      <c r="H431" s="42"/>
      <c r="I431" s="49"/>
      <c r="J431" s="42"/>
      <c r="K431" s="49"/>
      <c r="L431" s="49"/>
      <c r="M431" s="42"/>
      <c r="N431" s="42"/>
      <c r="O431" s="42"/>
      <c r="P431" s="42"/>
      <c r="Q431" s="49"/>
      <c r="R431" s="49"/>
      <c r="S431" s="49"/>
      <c r="T431" s="49"/>
      <c r="U431" s="49"/>
      <c r="V431" s="49"/>
      <c r="W431" s="49"/>
      <c r="X431" s="49"/>
      <c r="Y431" s="49"/>
      <c r="Z431" s="49"/>
      <c r="AA431" s="49"/>
      <c r="AB431" s="49"/>
      <c r="AC431" s="49"/>
      <c r="AD431" s="49"/>
    </row>
    <row r="432">
      <c r="A432" s="49"/>
      <c r="B432" s="49"/>
      <c r="C432" s="146"/>
      <c r="D432" s="146"/>
      <c r="E432" s="49"/>
      <c r="F432" s="49"/>
      <c r="G432" s="49"/>
      <c r="H432" s="42"/>
      <c r="I432" s="49"/>
      <c r="J432" s="42"/>
      <c r="K432" s="49"/>
      <c r="L432" s="49"/>
      <c r="M432" s="42"/>
      <c r="N432" s="42"/>
      <c r="O432" s="42"/>
      <c r="P432" s="42"/>
      <c r="Q432" s="49"/>
      <c r="R432" s="49"/>
      <c r="S432" s="49"/>
      <c r="T432" s="49"/>
      <c r="U432" s="49"/>
      <c r="V432" s="49"/>
      <c r="W432" s="49"/>
      <c r="X432" s="49"/>
      <c r="Y432" s="49"/>
      <c r="Z432" s="49"/>
      <c r="AA432" s="49"/>
      <c r="AB432" s="49"/>
      <c r="AC432" s="49"/>
      <c r="AD432" s="49"/>
    </row>
    <row r="433">
      <c r="A433" s="49"/>
      <c r="B433" s="49"/>
      <c r="C433" s="146"/>
      <c r="D433" s="146"/>
      <c r="E433" s="49"/>
      <c r="F433" s="49"/>
      <c r="G433" s="49"/>
      <c r="H433" s="42"/>
      <c r="I433" s="49"/>
      <c r="J433" s="42"/>
      <c r="K433" s="49"/>
      <c r="L433" s="49"/>
      <c r="M433" s="42"/>
      <c r="N433" s="42"/>
      <c r="O433" s="42"/>
      <c r="P433" s="42"/>
      <c r="Q433" s="49"/>
      <c r="R433" s="49"/>
      <c r="S433" s="49"/>
      <c r="T433" s="49"/>
      <c r="U433" s="49"/>
      <c r="V433" s="49"/>
      <c r="W433" s="49"/>
      <c r="X433" s="49"/>
      <c r="Y433" s="49"/>
      <c r="Z433" s="49"/>
      <c r="AA433" s="49"/>
      <c r="AB433" s="49"/>
      <c r="AC433" s="49"/>
      <c r="AD433" s="49"/>
    </row>
    <row r="434">
      <c r="A434" s="49"/>
      <c r="B434" s="49"/>
      <c r="C434" s="146"/>
      <c r="D434" s="146"/>
      <c r="E434" s="49"/>
      <c r="F434" s="49"/>
      <c r="G434" s="49"/>
      <c r="H434" s="42"/>
      <c r="I434" s="49"/>
      <c r="J434" s="42"/>
      <c r="K434" s="49"/>
      <c r="L434" s="49"/>
      <c r="M434" s="42"/>
      <c r="N434" s="42"/>
      <c r="O434" s="42"/>
      <c r="P434" s="42"/>
      <c r="Q434" s="49"/>
      <c r="R434" s="49"/>
      <c r="S434" s="49"/>
      <c r="T434" s="49"/>
      <c r="U434" s="49"/>
      <c r="V434" s="49"/>
      <c r="W434" s="49"/>
      <c r="X434" s="49"/>
      <c r="Y434" s="49"/>
      <c r="Z434" s="49"/>
      <c r="AA434" s="49"/>
      <c r="AB434" s="49"/>
      <c r="AC434" s="49"/>
      <c r="AD434" s="49"/>
    </row>
    <row r="435">
      <c r="A435" s="49"/>
      <c r="B435" s="49"/>
      <c r="C435" s="146"/>
      <c r="D435" s="146"/>
      <c r="E435" s="49"/>
      <c r="F435" s="49"/>
      <c r="G435" s="49"/>
      <c r="H435" s="42"/>
      <c r="I435" s="49"/>
      <c r="J435" s="42"/>
      <c r="K435" s="49"/>
      <c r="L435" s="49"/>
      <c r="M435" s="42"/>
      <c r="N435" s="42"/>
      <c r="O435" s="42"/>
      <c r="P435" s="42"/>
      <c r="Q435" s="49"/>
      <c r="R435" s="49"/>
      <c r="S435" s="49"/>
      <c r="T435" s="49"/>
      <c r="U435" s="49"/>
      <c r="V435" s="49"/>
      <c r="W435" s="49"/>
      <c r="X435" s="49"/>
      <c r="Y435" s="49"/>
      <c r="Z435" s="49"/>
      <c r="AA435" s="49"/>
      <c r="AB435" s="49"/>
      <c r="AC435" s="49"/>
      <c r="AD435" s="49"/>
    </row>
    <row r="436">
      <c r="A436" s="49"/>
      <c r="B436" s="49"/>
      <c r="C436" s="146"/>
      <c r="D436" s="146"/>
      <c r="E436" s="49"/>
      <c r="F436" s="49"/>
      <c r="G436" s="49"/>
      <c r="H436" s="42"/>
      <c r="I436" s="49"/>
      <c r="J436" s="42"/>
      <c r="K436" s="49"/>
      <c r="L436" s="49"/>
      <c r="M436" s="42"/>
      <c r="N436" s="42"/>
      <c r="O436" s="42"/>
      <c r="P436" s="42"/>
      <c r="Q436" s="49"/>
      <c r="R436" s="49"/>
      <c r="S436" s="49"/>
      <c r="T436" s="49"/>
      <c r="U436" s="49"/>
      <c r="V436" s="49"/>
      <c r="W436" s="49"/>
      <c r="X436" s="49"/>
      <c r="Y436" s="49"/>
      <c r="Z436" s="49"/>
      <c r="AA436" s="49"/>
      <c r="AB436" s="49"/>
      <c r="AC436" s="49"/>
      <c r="AD436" s="49"/>
    </row>
    <row r="437">
      <c r="A437" s="49"/>
      <c r="B437" s="49"/>
      <c r="C437" s="146"/>
      <c r="D437" s="146"/>
      <c r="E437" s="49"/>
      <c r="F437" s="49"/>
      <c r="G437" s="49"/>
      <c r="H437" s="42"/>
      <c r="I437" s="49"/>
      <c r="J437" s="42"/>
      <c r="K437" s="49"/>
      <c r="L437" s="49"/>
      <c r="M437" s="42"/>
      <c r="N437" s="42"/>
      <c r="O437" s="42"/>
      <c r="P437" s="42"/>
      <c r="Q437" s="49"/>
      <c r="R437" s="49"/>
      <c r="S437" s="49"/>
      <c r="T437" s="49"/>
      <c r="U437" s="49"/>
      <c r="V437" s="49"/>
      <c r="W437" s="49"/>
      <c r="X437" s="49"/>
      <c r="Y437" s="49"/>
      <c r="Z437" s="49"/>
      <c r="AA437" s="49"/>
      <c r="AB437" s="49"/>
      <c r="AC437" s="49"/>
      <c r="AD437" s="49"/>
    </row>
    <row r="438">
      <c r="A438" s="49"/>
      <c r="B438" s="49"/>
      <c r="C438" s="146"/>
      <c r="D438" s="146"/>
      <c r="E438" s="49"/>
      <c r="F438" s="49"/>
      <c r="G438" s="49"/>
      <c r="H438" s="42"/>
      <c r="I438" s="49"/>
      <c r="J438" s="42"/>
      <c r="K438" s="49"/>
      <c r="L438" s="49"/>
      <c r="M438" s="42"/>
      <c r="N438" s="42"/>
      <c r="O438" s="42"/>
      <c r="P438" s="42"/>
      <c r="Q438" s="49"/>
      <c r="R438" s="49"/>
      <c r="S438" s="49"/>
      <c r="T438" s="49"/>
      <c r="U438" s="49"/>
      <c r="V438" s="49"/>
      <c r="W438" s="49"/>
      <c r="X438" s="49"/>
      <c r="Y438" s="49"/>
      <c r="Z438" s="49"/>
      <c r="AA438" s="49"/>
      <c r="AB438" s="49"/>
      <c r="AC438" s="49"/>
      <c r="AD438" s="49"/>
    </row>
    <row r="439">
      <c r="A439" s="49"/>
      <c r="B439" s="49"/>
      <c r="C439" s="146"/>
      <c r="D439" s="146"/>
      <c r="E439" s="49"/>
      <c r="F439" s="49"/>
      <c r="G439" s="49"/>
      <c r="H439" s="42"/>
      <c r="I439" s="49"/>
      <c r="J439" s="42"/>
      <c r="K439" s="49"/>
      <c r="L439" s="49"/>
      <c r="M439" s="42"/>
      <c r="N439" s="42"/>
      <c r="O439" s="42"/>
      <c r="P439" s="42"/>
      <c r="Q439" s="49"/>
      <c r="R439" s="49"/>
      <c r="S439" s="49"/>
      <c r="T439" s="49"/>
      <c r="U439" s="49"/>
      <c r="V439" s="49"/>
      <c r="W439" s="49"/>
      <c r="X439" s="49"/>
      <c r="Y439" s="49"/>
      <c r="Z439" s="49"/>
      <c r="AA439" s="49"/>
      <c r="AB439" s="49"/>
      <c r="AC439" s="49"/>
      <c r="AD439" s="49"/>
    </row>
    <row r="440">
      <c r="A440" s="49"/>
      <c r="B440" s="49"/>
      <c r="C440" s="146"/>
      <c r="D440" s="146"/>
      <c r="E440" s="49"/>
      <c r="F440" s="49"/>
      <c r="G440" s="49"/>
      <c r="H440" s="42"/>
      <c r="I440" s="49"/>
      <c r="J440" s="42"/>
      <c r="K440" s="49"/>
      <c r="L440" s="49"/>
      <c r="M440" s="42"/>
      <c r="N440" s="42"/>
      <c r="O440" s="42"/>
      <c r="P440" s="42"/>
      <c r="Q440" s="49"/>
      <c r="R440" s="49"/>
      <c r="S440" s="49"/>
      <c r="T440" s="49"/>
      <c r="U440" s="49"/>
      <c r="V440" s="49"/>
      <c r="W440" s="49"/>
      <c r="X440" s="49"/>
      <c r="Y440" s="49"/>
      <c r="Z440" s="49"/>
      <c r="AA440" s="49"/>
      <c r="AB440" s="49"/>
      <c r="AC440" s="49"/>
      <c r="AD440" s="49"/>
    </row>
    <row r="441">
      <c r="A441" s="49"/>
      <c r="B441" s="49"/>
      <c r="C441" s="146"/>
      <c r="D441" s="146"/>
      <c r="E441" s="49"/>
      <c r="F441" s="49"/>
      <c r="G441" s="49"/>
      <c r="H441" s="42"/>
      <c r="I441" s="49"/>
      <c r="J441" s="42"/>
      <c r="K441" s="49"/>
      <c r="L441" s="49"/>
      <c r="M441" s="42"/>
      <c r="N441" s="42"/>
      <c r="O441" s="42"/>
      <c r="P441" s="42"/>
      <c r="Q441" s="49"/>
      <c r="R441" s="49"/>
      <c r="S441" s="49"/>
      <c r="T441" s="49"/>
      <c r="U441" s="49"/>
      <c r="V441" s="49"/>
      <c r="W441" s="49"/>
      <c r="X441" s="49"/>
      <c r="Y441" s="49"/>
      <c r="Z441" s="49"/>
      <c r="AA441" s="49"/>
      <c r="AB441" s="49"/>
      <c r="AC441" s="49"/>
      <c r="AD441" s="49"/>
    </row>
    <row r="442">
      <c r="A442" s="49"/>
      <c r="B442" s="49"/>
      <c r="C442" s="146"/>
      <c r="D442" s="146"/>
      <c r="E442" s="49"/>
      <c r="F442" s="49"/>
      <c r="G442" s="49"/>
      <c r="H442" s="42"/>
      <c r="I442" s="49"/>
      <c r="J442" s="42"/>
      <c r="K442" s="49"/>
      <c r="L442" s="49"/>
      <c r="M442" s="42"/>
      <c r="N442" s="42"/>
      <c r="O442" s="42"/>
      <c r="P442" s="42"/>
      <c r="Q442" s="49"/>
      <c r="R442" s="49"/>
      <c r="S442" s="49"/>
      <c r="T442" s="49"/>
      <c r="U442" s="49"/>
      <c r="V442" s="49"/>
      <c r="W442" s="49"/>
      <c r="X442" s="49"/>
      <c r="Y442" s="49"/>
      <c r="Z442" s="49"/>
      <c r="AA442" s="49"/>
      <c r="AB442" s="49"/>
      <c r="AC442" s="49"/>
      <c r="AD442" s="49"/>
    </row>
    <row r="443">
      <c r="A443" s="49"/>
      <c r="B443" s="49"/>
      <c r="C443" s="146"/>
      <c r="D443" s="146"/>
      <c r="E443" s="49"/>
      <c r="F443" s="49"/>
      <c r="G443" s="49"/>
      <c r="H443" s="42"/>
      <c r="I443" s="49"/>
      <c r="J443" s="42"/>
      <c r="K443" s="49"/>
      <c r="L443" s="49"/>
      <c r="M443" s="42"/>
      <c r="N443" s="42"/>
      <c r="O443" s="42"/>
      <c r="P443" s="42"/>
      <c r="Q443" s="49"/>
      <c r="R443" s="49"/>
      <c r="S443" s="49"/>
      <c r="T443" s="49"/>
      <c r="U443" s="49"/>
      <c r="V443" s="49"/>
      <c r="W443" s="49"/>
      <c r="X443" s="49"/>
      <c r="Y443" s="49"/>
      <c r="Z443" s="49"/>
      <c r="AA443" s="49"/>
      <c r="AB443" s="49"/>
      <c r="AC443" s="49"/>
      <c r="AD443" s="49"/>
    </row>
    <row r="444">
      <c r="A444" s="49"/>
      <c r="B444" s="49"/>
      <c r="C444" s="146"/>
      <c r="D444" s="146"/>
      <c r="E444" s="49"/>
      <c r="F444" s="49"/>
      <c r="G444" s="49"/>
      <c r="H444" s="42"/>
      <c r="I444" s="49"/>
      <c r="J444" s="42"/>
      <c r="K444" s="49"/>
      <c r="L444" s="49"/>
      <c r="M444" s="42"/>
      <c r="N444" s="42"/>
      <c r="O444" s="42"/>
      <c r="P444" s="42"/>
      <c r="Q444" s="49"/>
      <c r="R444" s="49"/>
      <c r="S444" s="49"/>
      <c r="T444" s="49"/>
      <c r="U444" s="49"/>
      <c r="V444" s="49"/>
      <c r="W444" s="49"/>
      <c r="X444" s="49"/>
      <c r="Y444" s="49"/>
      <c r="Z444" s="49"/>
      <c r="AA444" s="49"/>
      <c r="AB444" s="49"/>
      <c r="AC444" s="49"/>
      <c r="AD444" s="49"/>
    </row>
    <row r="445">
      <c r="A445" s="49"/>
      <c r="B445" s="49"/>
      <c r="C445" s="146"/>
      <c r="D445" s="146"/>
      <c r="E445" s="49"/>
      <c r="F445" s="49"/>
      <c r="G445" s="49"/>
      <c r="H445" s="42"/>
      <c r="I445" s="49"/>
      <c r="J445" s="42"/>
      <c r="K445" s="49"/>
      <c r="L445" s="49"/>
      <c r="M445" s="42"/>
      <c r="N445" s="42"/>
      <c r="O445" s="42"/>
      <c r="P445" s="42"/>
      <c r="Q445" s="49"/>
      <c r="R445" s="49"/>
      <c r="S445" s="49"/>
      <c r="T445" s="49"/>
      <c r="U445" s="49"/>
      <c r="V445" s="49"/>
      <c r="W445" s="49"/>
      <c r="X445" s="49"/>
      <c r="Y445" s="49"/>
      <c r="Z445" s="49"/>
      <c r="AA445" s="49"/>
      <c r="AB445" s="49"/>
      <c r="AC445" s="49"/>
      <c r="AD445" s="49"/>
    </row>
    <row r="446">
      <c r="A446" s="49"/>
      <c r="B446" s="49"/>
      <c r="C446" s="146"/>
      <c r="D446" s="146"/>
      <c r="E446" s="49"/>
      <c r="F446" s="49"/>
      <c r="G446" s="49"/>
      <c r="H446" s="42"/>
      <c r="I446" s="49"/>
      <c r="J446" s="42"/>
      <c r="K446" s="49"/>
      <c r="L446" s="49"/>
      <c r="M446" s="42"/>
      <c r="N446" s="42"/>
      <c r="O446" s="42"/>
      <c r="P446" s="42"/>
      <c r="Q446" s="49"/>
      <c r="R446" s="49"/>
      <c r="S446" s="49"/>
      <c r="T446" s="49"/>
      <c r="U446" s="49"/>
      <c r="V446" s="49"/>
      <c r="W446" s="49"/>
      <c r="X446" s="49"/>
      <c r="Y446" s="49"/>
      <c r="Z446" s="49"/>
      <c r="AA446" s="49"/>
      <c r="AB446" s="49"/>
      <c r="AC446" s="49"/>
      <c r="AD446" s="49"/>
    </row>
    <row r="447">
      <c r="A447" s="49"/>
      <c r="B447" s="49"/>
      <c r="C447" s="146"/>
      <c r="D447" s="146"/>
      <c r="E447" s="49"/>
      <c r="F447" s="49"/>
      <c r="G447" s="49"/>
      <c r="H447" s="42"/>
      <c r="I447" s="49"/>
      <c r="J447" s="42"/>
      <c r="K447" s="49"/>
      <c r="L447" s="49"/>
      <c r="M447" s="42"/>
      <c r="N447" s="42"/>
      <c r="O447" s="42"/>
      <c r="P447" s="42"/>
      <c r="Q447" s="49"/>
      <c r="R447" s="49"/>
      <c r="S447" s="49"/>
      <c r="T447" s="49"/>
      <c r="U447" s="49"/>
      <c r="V447" s="49"/>
      <c r="W447" s="49"/>
      <c r="X447" s="49"/>
      <c r="Y447" s="49"/>
      <c r="Z447" s="49"/>
      <c r="AA447" s="49"/>
      <c r="AB447" s="49"/>
      <c r="AC447" s="49"/>
      <c r="AD447" s="49"/>
    </row>
    <row r="448">
      <c r="A448" s="49"/>
      <c r="B448" s="49"/>
      <c r="C448" s="146"/>
      <c r="D448" s="146"/>
      <c r="E448" s="49"/>
      <c r="F448" s="49"/>
      <c r="G448" s="49"/>
      <c r="H448" s="42"/>
      <c r="I448" s="49"/>
      <c r="J448" s="42"/>
      <c r="K448" s="49"/>
      <c r="L448" s="49"/>
      <c r="M448" s="42"/>
      <c r="N448" s="42"/>
      <c r="O448" s="42"/>
      <c r="P448" s="42"/>
      <c r="Q448" s="49"/>
      <c r="R448" s="49"/>
      <c r="S448" s="49"/>
      <c r="T448" s="49"/>
      <c r="U448" s="49"/>
      <c r="V448" s="49"/>
      <c r="W448" s="49"/>
      <c r="X448" s="49"/>
      <c r="Y448" s="49"/>
      <c r="Z448" s="49"/>
      <c r="AA448" s="49"/>
      <c r="AB448" s="49"/>
      <c r="AC448" s="49"/>
      <c r="AD448" s="49"/>
    </row>
    <row r="449">
      <c r="A449" s="49"/>
      <c r="B449" s="49"/>
      <c r="C449" s="146"/>
      <c r="D449" s="146"/>
      <c r="E449" s="49"/>
      <c r="F449" s="49"/>
      <c r="G449" s="49"/>
      <c r="H449" s="42"/>
      <c r="I449" s="49"/>
      <c r="J449" s="42"/>
      <c r="K449" s="49"/>
      <c r="L449" s="49"/>
      <c r="M449" s="42"/>
      <c r="N449" s="42"/>
      <c r="O449" s="42"/>
      <c r="P449" s="42"/>
      <c r="Q449" s="49"/>
      <c r="R449" s="49"/>
      <c r="S449" s="49"/>
      <c r="T449" s="49"/>
      <c r="U449" s="49"/>
      <c r="V449" s="49"/>
      <c r="W449" s="49"/>
      <c r="X449" s="49"/>
      <c r="Y449" s="49"/>
      <c r="Z449" s="49"/>
      <c r="AA449" s="49"/>
      <c r="AB449" s="49"/>
      <c r="AC449" s="49"/>
      <c r="AD449" s="49"/>
    </row>
    <row r="450">
      <c r="A450" s="49"/>
      <c r="B450" s="49"/>
      <c r="C450" s="146"/>
      <c r="D450" s="146"/>
      <c r="E450" s="49"/>
      <c r="F450" s="49"/>
      <c r="G450" s="49"/>
      <c r="H450" s="42"/>
      <c r="I450" s="49"/>
      <c r="J450" s="42"/>
      <c r="K450" s="49"/>
      <c r="L450" s="49"/>
      <c r="M450" s="42"/>
      <c r="N450" s="42"/>
      <c r="O450" s="42"/>
      <c r="P450" s="42"/>
      <c r="Q450" s="49"/>
      <c r="R450" s="49"/>
      <c r="S450" s="49"/>
      <c r="T450" s="49"/>
      <c r="U450" s="49"/>
      <c r="V450" s="49"/>
      <c r="W450" s="49"/>
      <c r="X450" s="49"/>
      <c r="Y450" s="49"/>
      <c r="Z450" s="49"/>
      <c r="AA450" s="49"/>
      <c r="AB450" s="49"/>
      <c r="AC450" s="49"/>
      <c r="AD450" s="49"/>
    </row>
    <row r="451">
      <c r="A451" s="49"/>
      <c r="B451" s="49"/>
      <c r="C451" s="146"/>
      <c r="D451" s="146"/>
      <c r="E451" s="49"/>
      <c r="F451" s="49"/>
      <c r="G451" s="49"/>
      <c r="H451" s="42"/>
      <c r="I451" s="49"/>
      <c r="J451" s="42"/>
      <c r="K451" s="49"/>
      <c r="L451" s="49"/>
      <c r="M451" s="42"/>
      <c r="N451" s="42"/>
      <c r="O451" s="42"/>
      <c r="P451" s="42"/>
      <c r="Q451" s="49"/>
      <c r="R451" s="49"/>
      <c r="S451" s="49"/>
      <c r="T451" s="49"/>
      <c r="U451" s="49"/>
      <c r="V451" s="49"/>
      <c r="W451" s="49"/>
      <c r="X451" s="49"/>
      <c r="Y451" s="49"/>
      <c r="Z451" s="49"/>
      <c r="AA451" s="49"/>
      <c r="AB451" s="49"/>
      <c r="AC451" s="49"/>
      <c r="AD451" s="49"/>
    </row>
    <row r="452">
      <c r="A452" s="49"/>
      <c r="B452" s="49"/>
      <c r="C452" s="146"/>
      <c r="D452" s="146"/>
      <c r="E452" s="49"/>
      <c r="F452" s="49"/>
      <c r="G452" s="49"/>
      <c r="H452" s="42"/>
      <c r="I452" s="49"/>
      <c r="J452" s="42"/>
      <c r="K452" s="49"/>
      <c r="L452" s="49"/>
      <c r="M452" s="42"/>
      <c r="N452" s="42"/>
      <c r="O452" s="42"/>
      <c r="P452" s="42"/>
      <c r="Q452" s="49"/>
      <c r="R452" s="49"/>
      <c r="S452" s="49"/>
      <c r="T452" s="49"/>
      <c r="U452" s="49"/>
      <c r="V452" s="49"/>
      <c r="W452" s="49"/>
      <c r="X452" s="49"/>
      <c r="Y452" s="49"/>
      <c r="Z452" s="49"/>
      <c r="AA452" s="49"/>
      <c r="AB452" s="49"/>
      <c r="AC452" s="49"/>
      <c r="AD452" s="49"/>
    </row>
    <row r="453">
      <c r="A453" s="49"/>
      <c r="B453" s="49"/>
      <c r="C453" s="146"/>
      <c r="D453" s="146"/>
      <c r="E453" s="49"/>
      <c r="F453" s="49"/>
      <c r="G453" s="49"/>
      <c r="H453" s="42"/>
      <c r="I453" s="49"/>
      <c r="J453" s="42"/>
      <c r="K453" s="49"/>
      <c r="L453" s="49"/>
      <c r="M453" s="42"/>
      <c r="N453" s="42"/>
      <c r="O453" s="42"/>
      <c r="P453" s="42"/>
      <c r="Q453" s="49"/>
      <c r="R453" s="49"/>
      <c r="S453" s="49"/>
      <c r="T453" s="49"/>
      <c r="U453" s="49"/>
      <c r="V453" s="49"/>
      <c r="W453" s="49"/>
      <c r="X453" s="49"/>
      <c r="Y453" s="49"/>
      <c r="Z453" s="49"/>
      <c r="AA453" s="49"/>
      <c r="AB453" s="49"/>
      <c r="AC453" s="49"/>
      <c r="AD453" s="49"/>
    </row>
    <row r="454">
      <c r="A454" s="49"/>
      <c r="B454" s="49"/>
      <c r="C454" s="146"/>
      <c r="D454" s="146"/>
      <c r="E454" s="49"/>
      <c r="F454" s="49"/>
      <c r="G454" s="49"/>
      <c r="H454" s="42"/>
      <c r="I454" s="49"/>
      <c r="J454" s="42"/>
      <c r="K454" s="49"/>
      <c r="L454" s="49"/>
      <c r="M454" s="42"/>
      <c r="N454" s="42"/>
      <c r="O454" s="42"/>
      <c r="P454" s="42"/>
      <c r="Q454" s="49"/>
      <c r="R454" s="49"/>
      <c r="S454" s="49"/>
      <c r="T454" s="49"/>
      <c r="U454" s="49"/>
      <c r="V454" s="49"/>
      <c r="W454" s="49"/>
      <c r="X454" s="49"/>
      <c r="Y454" s="49"/>
      <c r="Z454" s="49"/>
      <c r="AA454" s="49"/>
      <c r="AB454" s="49"/>
      <c r="AC454" s="49"/>
      <c r="AD454" s="49"/>
    </row>
    <row r="455">
      <c r="A455" s="49"/>
      <c r="B455" s="49"/>
      <c r="C455" s="146"/>
      <c r="D455" s="146"/>
      <c r="E455" s="49"/>
      <c r="F455" s="49"/>
      <c r="G455" s="49"/>
      <c r="H455" s="42"/>
      <c r="I455" s="49"/>
      <c r="J455" s="42"/>
      <c r="K455" s="49"/>
      <c r="L455" s="49"/>
      <c r="M455" s="42"/>
      <c r="N455" s="42"/>
      <c r="O455" s="42"/>
      <c r="P455" s="42"/>
      <c r="Q455" s="49"/>
      <c r="R455" s="49"/>
      <c r="S455" s="49"/>
      <c r="T455" s="49"/>
      <c r="U455" s="49"/>
      <c r="V455" s="49"/>
      <c r="W455" s="49"/>
      <c r="X455" s="49"/>
      <c r="Y455" s="49"/>
      <c r="Z455" s="49"/>
      <c r="AA455" s="49"/>
      <c r="AB455" s="49"/>
      <c r="AC455" s="49"/>
      <c r="AD455" s="49"/>
    </row>
    <row r="456">
      <c r="A456" s="49"/>
      <c r="B456" s="49"/>
      <c r="C456" s="146"/>
      <c r="D456" s="146"/>
      <c r="E456" s="49"/>
      <c r="F456" s="49"/>
      <c r="G456" s="49"/>
      <c r="H456" s="42"/>
      <c r="I456" s="49"/>
      <c r="J456" s="42"/>
      <c r="K456" s="49"/>
      <c r="L456" s="49"/>
      <c r="M456" s="42"/>
      <c r="N456" s="42"/>
      <c r="O456" s="42"/>
      <c r="P456" s="42"/>
      <c r="Q456" s="49"/>
      <c r="R456" s="49"/>
      <c r="S456" s="49"/>
      <c r="T456" s="49"/>
      <c r="U456" s="49"/>
      <c r="V456" s="49"/>
      <c r="W456" s="49"/>
      <c r="X456" s="49"/>
      <c r="Y456" s="49"/>
      <c r="Z456" s="49"/>
      <c r="AA456" s="49"/>
      <c r="AB456" s="49"/>
      <c r="AC456" s="49"/>
      <c r="AD456" s="49"/>
    </row>
    <row r="457">
      <c r="A457" s="49"/>
      <c r="B457" s="49"/>
      <c r="C457" s="146"/>
      <c r="D457" s="146"/>
      <c r="E457" s="49"/>
      <c r="F457" s="49"/>
      <c r="G457" s="49"/>
      <c r="H457" s="42"/>
      <c r="I457" s="49"/>
      <c r="J457" s="42"/>
      <c r="K457" s="49"/>
      <c r="L457" s="49"/>
      <c r="M457" s="42"/>
      <c r="N457" s="42"/>
      <c r="O457" s="42"/>
      <c r="P457" s="42"/>
      <c r="Q457" s="49"/>
      <c r="R457" s="49"/>
      <c r="S457" s="49"/>
      <c r="T457" s="49"/>
      <c r="U457" s="49"/>
      <c r="V457" s="49"/>
      <c r="W457" s="49"/>
      <c r="X457" s="49"/>
      <c r="Y457" s="49"/>
      <c r="Z457" s="49"/>
      <c r="AA457" s="49"/>
      <c r="AB457" s="49"/>
      <c r="AC457" s="49"/>
      <c r="AD457" s="49"/>
    </row>
    <row r="458">
      <c r="A458" s="49"/>
      <c r="B458" s="49"/>
      <c r="C458" s="146"/>
      <c r="D458" s="146"/>
      <c r="E458" s="49"/>
      <c r="F458" s="49"/>
      <c r="G458" s="49"/>
      <c r="H458" s="42"/>
      <c r="I458" s="49"/>
      <c r="J458" s="42"/>
      <c r="K458" s="49"/>
      <c r="L458" s="49"/>
      <c r="M458" s="42"/>
      <c r="N458" s="42"/>
      <c r="O458" s="42"/>
      <c r="P458" s="42"/>
      <c r="Q458" s="49"/>
      <c r="R458" s="49"/>
      <c r="S458" s="49"/>
      <c r="T458" s="49"/>
      <c r="U458" s="49"/>
      <c r="V458" s="49"/>
      <c r="W458" s="49"/>
      <c r="X458" s="49"/>
      <c r="Y458" s="49"/>
      <c r="Z458" s="49"/>
      <c r="AA458" s="49"/>
      <c r="AB458" s="49"/>
      <c r="AC458" s="49"/>
      <c r="AD458" s="49"/>
    </row>
    <row r="459">
      <c r="A459" s="49"/>
      <c r="B459" s="49"/>
      <c r="C459" s="146"/>
      <c r="D459" s="146"/>
      <c r="E459" s="49"/>
      <c r="F459" s="49"/>
      <c r="G459" s="49"/>
      <c r="H459" s="42"/>
      <c r="I459" s="49"/>
      <c r="J459" s="42"/>
      <c r="K459" s="49"/>
      <c r="L459" s="49"/>
      <c r="M459" s="42"/>
      <c r="N459" s="42"/>
      <c r="O459" s="42"/>
      <c r="P459" s="42"/>
      <c r="Q459" s="49"/>
      <c r="R459" s="49"/>
      <c r="S459" s="49"/>
      <c r="T459" s="49"/>
      <c r="U459" s="49"/>
      <c r="V459" s="49"/>
      <c r="W459" s="49"/>
      <c r="X459" s="49"/>
      <c r="Y459" s="49"/>
      <c r="Z459" s="49"/>
      <c r="AA459" s="49"/>
      <c r="AB459" s="49"/>
      <c r="AC459" s="49"/>
      <c r="AD459" s="49"/>
    </row>
    <row r="460">
      <c r="A460" s="49"/>
      <c r="B460" s="49"/>
      <c r="C460" s="146"/>
      <c r="D460" s="146"/>
      <c r="E460" s="49"/>
      <c r="F460" s="49"/>
      <c r="G460" s="49"/>
      <c r="H460" s="42"/>
      <c r="I460" s="49"/>
      <c r="J460" s="42"/>
      <c r="K460" s="49"/>
      <c r="L460" s="49"/>
      <c r="M460" s="42"/>
      <c r="N460" s="42"/>
      <c r="O460" s="42"/>
      <c r="P460" s="42"/>
      <c r="Q460" s="49"/>
      <c r="R460" s="49"/>
      <c r="S460" s="49"/>
      <c r="T460" s="49"/>
      <c r="U460" s="49"/>
      <c r="V460" s="49"/>
      <c r="W460" s="49"/>
      <c r="X460" s="49"/>
      <c r="Y460" s="49"/>
      <c r="Z460" s="49"/>
      <c r="AA460" s="49"/>
      <c r="AB460" s="49"/>
      <c r="AC460" s="49"/>
      <c r="AD460" s="49"/>
    </row>
    <row r="461">
      <c r="A461" s="49"/>
      <c r="B461" s="49"/>
      <c r="C461" s="146"/>
      <c r="D461" s="146"/>
      <c r="E461" s="49"/>
      <c r="F461" s="49"/>
      <c r="G461" s="49"/>
      <c r="H461" s="42"/>
      <c r="I461" s="49"/>
      <c r="J461" s="42"/>
      <c r="K461" s="49"/>
      <c r="L461" s="49"/>
      <c r="M461" s="42"/>
      <c r="N461" s="42"/>
      <c r="O461" s="42"/>
      <c r="P461" s="42"/>
      <c r="Q461" s="49"/>
      <c r="R461" s="49"/>
      <c r="S461" s="49"/>
      <c r="T461" s="49"/>
      <c r="U461" s="49"/>
      <c r="V461" s="49"/>
      <c r="W461" s="49"/>
      <c r="X461" s="49"/>
      <c r="Y461" s="49"/>
      <c r="Z461" s="49"/>
      <c r="AA461" s="49"/>
      <c r="AB461" s="49"/>
      <c r="AC461" s="49"/>
      <c r="AD461" s="49"/>
    </row>
    <row r="462">
      <c r="A462" s="49"/>
      <c r="B462" s="49"/>
      <c r="C462" s="146"/>
      <c r="D462" s="146"/>
      <c r="E462" s="49"/>
      <c r="F462" s="49"/>
      <c r="G462" s="49"/>
      <c r="H462" s="42"/>
      <c r="I462" s="49"/>
      <c r="J462" s="42"/>
      <c r="K462" s="49"/>
      <c r="L462" s="49"/>
      <c r="M462" s="42"/>
      <c r="N462" s="42"/>
      <c r="O462" s="42"/>
      <c r="P462" s="42"/>
      <c r="Q462" s="49"/>
      <c r="R462" s="49"/>
      <c r="S462" s="49"/>
      <c r="T462" s="49"/>
      <c r="U462" s="49"/>
      <c r="V462" s="49"/>
      <c r="W462" s="49"/>
      <c r="X462" s="49"/>
      <c r="Y462" s="49"/>
      <c r="Z462" s="49"/>
      <c r="AA462" s="49"/>
      <c r="AB462" s="49"/>
      <c r="AC462" s="49"/>
      <c r="AD462" s="49"/>
    </row>
    <row r="463">
      <c r="A463" s="49"/>
      <c r="B463" s="49"/>
      <c r="C463" s="146"/>
      <c r="D463" s="146"/>
      <c r="E463" s="49"/>
      <c r="F463" s="49"/>
      <c r="G463" s="49"/>
      <c r="H463" s="42"/>
      <c r="I463" s="49"/>
      <c r="J463" s="42"/>
      <c r="K463" s="49"/>
      <c r="L463" s="49"/>
      <c r="M463" s="42"/>
      <c r="N463" s="42"/>
      <c r="O463" s="42"/>
      <c r="P463" s="42"/>
      <c r="Q463" s="49"/>
      <c r="R463" s="49"/>
      <c r="S463" s="49"/>
      <c r="T463" s="49"/>
      <c r="U463" s="49"/>
      <c r="V463" s="49"/>
      <c r="W463" s="49"/>
      <c r="X463" s="49"/>
      <c r="Y463" s="49"/>
      <c r="Z463" s="49"/>
      <c r="AA463" s="49"/>
      <c r="AB463" s="49"/>
      <c r="AC463" s="49"/>
      <c r="AD463" s="49"/>
    </row>
    <row r="464">
      <c r="A464" s="49"/>
      <c r="B464" s="49"/>
      <c r="C464" s="146"/>
      <c r="D464" s="146"/>
      <c r="E464" s="49"/>
      <c r="F464" s="49"/>
      <c r="G464" s="49"/>
      <c r="H464" s="42"/>
      <c r="I464" s="49"/>
      <c r="J464" s="42"/>
      <c r="K464" s="49"/>
      <c r="L464" s="49"/>
      <c r="M464" s="42"/>
      <c r="N464" s="42"/>
      <c r="O464" s="42"/>
      <c r="P464" s="42"/>
      <c r="Q464" s="49"/>
      <c r="R464" s="49"/>
      <c r="S464" s="49"/>
      <c r="T464" s="49"/>
      <c r="U464" s="49"/>
      <c r="V464" s="49"/>
      <c r="W464" s="49"/>
      <c r="X464" s="49"/>
      <c r="Y464" s="49"/>
      <c r="Z464" s="49"/>
      <c r="AA464" s="49"/>
      <c r="AB464" s="49"/>
      <c r="AC464" s="49"/>
      <c r="AD464" s="49"/>
    </row>
    <row r="465">
      <c r="A465" s="49"/>
      <c r="B465" s="49"/>
      <c r="C465" s="146"/>
      <c r="D465" s="146"/>
      <c r="E465" s="49"/>
      <c r="F465" s="49"/>
      <c r="G465" s="49"/>
      <c r="H465" s="42"/>
      <c r="I465" s="49"/>
      <c r="J465" s="42"/>
      <c r="K465" s="49"/>
      <c r="L465" s="49"/>
      <c r="M465" s="42"/>
      <c r="N465" s="42"/>
      <c r="O465" s="42"/>
      <c r="P465" s="42"/>
      <c r="Q465" s="49"/>
      <c r="R465" s="49"/>
      <c r="S465" s="49"/>
      <c r="T465" s="49"/>
      <c r="U465" s="49"/>
      <c r="V465" s="49"/>
      <c r="W465" s="49"/>
      <c r="X465" s="49"/>
      <c r="Y465" s="49"/>
      <c r="Z465" s="49"/>
      <c r="AA465" s="49"/>
      <c r="AB465" s="49"/>
      <c r="AC465" s="49"/>
      <c r="AD465" s="49"/>
    </row>
    <row r="466">
      <c r="A466" s="49"/>
      <c r="B466" s="49"/>
      <c r="C466" s="146"/>
      <c r="D466" s="146"/>
      <c r="E466" s="49"/>
      <c r="F466" s="49"/>
      <c r="G466" s="49"/>
      <c r="H466" s="42"/>
      <c r="I466" s="49"/>
      <c r="J466" s="42"/>
      <c r="K466" s="49"/>
      <c r="L466" s="49"/>
      <c r="M466" s="42"/>
      <c r="N466" s="42"/>
      <c r="O466" s="42"/>
      <c r="P466" s="42"/>
      <c r="Q466" s="49"/>
      <c r="R466" s="49"/>
      <c r="S466" s="49"/>
      <c r="T466" s="49"/>
      <c r="U466" s="49"/>
      <c r="V466" s="49"/>
      <c r="W466" s="49"/>
      <c r="X466" s="49"/>
      <c r="Y466" s="49"/>
      <c r="Z466" s="49"/>
      <c r="AA466" s="49"/>
      <c r="AB466" s="49"/>
      <c r="AC466" s="49"/>
      <c r="AD466" s="49"/>
    </row>
    <row r="467">
      <c r="A467" s="49"/>
      <c r="B467" s="49"/>
      <c r="C467" s="146"/>
      <c r="D467" s="146"/>
      <c r="E467" s="49"/>
      <c r="F467" s="49"/>
      <c r="G467" s="49"/>
      <c r="H467" s="42"/>
      <c r="I467" s="49"/>
      <c r="J467" s="42"/>
      <c r="K467" s="49"/>
      <c r="L467" s="49"/>
      <c r="M467" s="42"/>
      <c r="N467" s="42"/>
      <c r="O467" s="42"/>
      <c r="P467" s="42"/>
      <c r="Q467" s="49"/>
      <c r="R467" s="49"/>
      <c r="S467" s="49"/>
      <c r="T467" s="49"/>
      <c r="U467" s="49"/>
      <c r="V467" s="49"/>
      <c r="W467" s="49"/>
      <c r="X467" s="49"/>
      <c r="Y467" s="49"/>
      <c r="Z467" s="49"/>
      <c r="AA467" s="49"/>
      <c r="AB467" s="49"/>
      <c r="AC467" s="49"/>
      <c r="AD467" s="49"/>
    </row>
    <row r="468">
      <c r="A468" s="49"/>
      <c r="B468" s="49"/>
      <c r="C468" s="146"/>
      <c r="D468" s="146"/>
      <c r="E468" s="49"/>
      <c r="F468" s="49"/>
      <c r="G468" s="49"/>
      <c r="H468" s="42"/>
      <c r="I468" s="49"/>
      <c r="J468" s="42"/>
      <c r="K468" s="49"/>
      <c r="L468" s="49"/>
      <c r="M468" s="42"/>
      <c r="N468" s="42"/>
      <c r="O468" s="42"/>
      <c r="P468" s="42"/>
      <c r="Q468" s="49"/>
      <c r="R468" s="49"/>
      <c r="S468" s="49"/>
      <c r="T468" s="49"/>
      <c r="U468" s="49"/>
      <c r="V468" s="49"/>
      <c r="W468" s="49"/>
      <c r="X468" s="49"/>
      <c r="Y468" s="49"/>
      <c r="Z468" s="49"/>
      <c r="AA468" s="49"/>
      <c r="AB468" s="49"/>
      <c r="AC468" s="49"/>
      <c r="AD468" s="49"/>
    </row>
    <row r="469">
      <c r="A469" s="49"/>
      <c r="B469" s="49"/>
      <c r="C469" s="146"/>
      <c r="D469" s="146"/>
      <c r="E469" s="49"/>
      <c r="F469" s="49"/>
      <c r="G469" s="49"/>
      <c r="H469" s="42"/>
      <c r="I469" s="49"/>
      <c r="J469" s="42"/>
      <c r="K469" s="49"/>
      <c r="L469" s="49"/>
      <c r="M469" s="42"/>
      <c r="N469" s="42"/>
      <c r="O469" s="42"/>
      <c r="P469" s="42"/>
      <c r="Q469" s="49"/>
      <c r="R469" s="49"/>
      <c r="S469" s="49"/>
      <c r="T469" s="49"/>
      <c r="U469" s="49"/>
      <c r="V469" s="49"/>
      <c r="W469" s="49"/>
      <c r="X469" s="49"/>
      <c r="Y469" s="49"/>
      <c r="Z469" s="49"/>
      <c r="AA469" s="49"/>
      <c r="AB469" s="49"/>
      <c r="AC469" s="49"/>
      <c r="AD469" s="49"/>
    </row>
    <row r="470">
      <c r="A470" s="49"/>
      <c r="B470" s="49"/>
      <c r="C470" s="146"/>
      <c r="D470" s="146"/>
      <c r="E470" s="49"/>
      <c r="F470" s="49"/>
      <c r="G470" s="49"/>
      <c r="H470" s="42"/>
      <c r="I470" s="49"/>
      <c r="J470" s="42"/>
      <c r="K470" s="49"/>
      <c r="L470" s="49"/>
      <c r="M470" s="42"/>
      <c r="N470" s="42"/>
      <c r="O470" s="42"/>
      <c r="P470" s="42"/>
      <c r="Q470" s="49"/>
      <c r="R470" s="49"/>
      <c r="S470" s="49"/>
      <c r="T470" s="49"/>
      <c r="U470" s="49"/>
      <c r="V470" s="49"/>
      <c r="W470" s="49"/>
      <c r="X470" s="49"/>
      <c r="Y470" s="49"/>
      <c r="Z470" s="49"/>
      <c r="AA470" s="49"/>
      <c r="AB470" s="49"/>
      <c r="AC470" s="49"/>
      <c r="AD470" s="49"/>
    </row>
    <row r="471">
      <c r="A471" s="49"/>
      <c r="B471" s="49"/>
      <c r="C471" s="146"/>
      <c r="D471" s="146"/>
      <c r="E471" s="49"/>
      <c r="F471" s="49"/>
      <c r="G471" s="49"/>
      <c r="H471" s="42"/>
      <c r="I471" s="49"/>
      <c r="J471" s="42"/>
      <c r="K471" s="49"/>
      <c r="L471" s="49"/>
      <c r="M471" s="42"/>
      <c r="N471" s="42"/>
      <c r="O471" s="42"/>
      <c r="P471" s="42"/>
      <c r="Q471" s="49"/>
      <c r="R471" s="49"/>
      <c r="S471" s="49"/>
      <c r="T471" s="49"/>
      <c r="U471" s="49"/>
      <c r="V471" s="49"/>
      <c r="W471" s="49"/>
      <c r="X471" s="49"/>
      <c r="Y471" s="49"/>
      <c r="Z471" s="49"/>
      <c r="AA471" s="49"/>
      <c r="AB471" s="49"/>
      <c r="AC471" s="49"/>
      <c r="AD471" s="49"/>
    </row>
    <row r="472">
      <c r="A472" s="49"/>
      <c r="B472" s="49"/>
      <c r="C472" s="146"/>
      <c r="D472" s="146"/>
      <c r="E472" s="49"/>
      <c r="F472" s="49"/>
      <c r="G472" s="49"/>
      <c r="H472" s="42"/>
      <c r="I472" s="49"/>
      <c r="J472" s="42"/>
      <c r="K472" s="49"/>
      <c r="L472" s="49"/>
      <c r="M472" s="42"/>
      <c r="N472" s="42"/>
      <c r="O472" s="42"/>
      <c r="P472" s="42"/>
      <c r="Q472" s="49"/>
      <c r="R472" s="49"/>
      <c r="S472" s="49"/>
      <c r="T472" s="49"/>
      <c r="U472" s="49"/>
      <c r="V472" s="49"/>
      <c r="W472" s="49"/>
      <c r="X472" s="49"/>
      <c r="Y472" s="49"/>
      <c r="Z472" s="49"/>
      <c r="AA472" s="49"/>
      <c r="AB472" s="49"/>
      <c r="AC472" s="49"/>
      <c r="AD472" s="49"/>
    </row>
    <row r="473">
      <c r="A473" s="49"/>
      <c r="B473" s="49"/>
      <c r="C473" s="146"/>
      <c r="D473" s="146"/>
      <c r="E473" s="49"/>
      <c r="F473" s="49"/>
      <c r="G473" s="49"/>
      <c r="H473" s="42"/>
      <c r="I473" s="49"/>
      <c r="J473" s="42"/>
      <c r="K473" s="49"/>
      <c r="L473" s="49"/>
      <c r="M473" s="42"/>
      <c r="N473" s="42"/>
      <c r="O473" s="42"/>
      <c r="P473" s="42"/>
      <c r="Q473" s="49"/>
      <c r="R473" s="49"/>
      <c r="S473" s="49"/>
      <c r="T473" s="49"/>
      <c r="U473" s="49"/>
      <c r="V473" s="49"/>
      <c r="W473" s="49"/>
      <c r="X473" s="49"/>
      <c r="Y473" s="49"/>
      <c r="Z473" s="49"/>
      <c r="AA473" s="49"/>
      <c r="AB473" s="49"/>
      <c r="AC473" s="49"/>
      <c r="AD473" s="49"/>
    </row>
    <row r="474">
      <c r="A474" s="49"/>
      <c r="B474" s="49"/>
      <c r="C474" s="146"/>
      <c r="D474" s="146"/>
      <c r="E474" s="49"/>
      <c r="F474" s="49"/>
      <c r="G474" s="49"/>
      <c r="H474" s="42"/>
      <c r="I474" s="49"/>
      <c r="J474" s="42"/>
      <c r="K474" s="49"/>
      <c r="L474" s="49"/>
      <c r="M474" s="42"/>
      <c r="N474" s="42"/>
      <c r="O474" s="42"/>
      <c r="P474" s="42"/>
      <c r="Q474" s="49"/>
      <c r="R474" s="49"/>
      <c r="S474" s="49"/>
      <c r="T474" s="49"/>
      <c r="U474" s="49"/>
      <c r="V474" s="49"/>
      <c r="W474" s="49"/>
      <c r="X474" s="49"/>
      <c r="Y474" s="49"/>
      <c r="Z474" s="49"/>
      <c r="AA474" s="49"/>
      <c r="AB474" s="49"/>
      <c r="AC474" s="49"/>
      <c r="AD474" s="49"/>
    </row>
    <row r="475">
      <c r="A475" s="49"/>
      <c r="B475" s="49"/>
      <c r="C475" s="146"/>
      <c r="D475" s="146"/>
      <c r="E475" s="49"/>
      <c r="F475" s="49"/>
      <c r="G475" s="49"/>
      <c r="H475" s="42"/>
      <c r="I475" s="49"/>
      <c r="J475" s="42"/>
      <c r="K475" s="49"/>
      <c r="L475" s="49"/>
      <c r="M475" s="42"/>
      <c r="N475" s="42"/>
      <c r="O475" s="42"/>
      <c r="P475" s="42"/>
      <c r="Q475" s="49"/>
      <c r="R475" s="49"/>
      <c r="S475" s="49"/>
      <c r="T475" s="49"/>
      <c r="U475" s="49"/>
      <c r="V475" s="49"/>
      <c r="W475" s="49"/>
      <c r="X475" s="49"/>
      <c r="Y475" s="49"/>
      <c r="Z475" s="49"/>
      <c r="AA475" s="49"/>
      <c r="AB475" s="49"/>
      <c r="AC475" s="49"/>
      <c r="AD475" s="49"/>
    </row>
    <row r="476">
      <c r="A476" s="49"/>
      <c r="B476" s="49"/>
      <c r="C476" s="146"/>
      <c r="D476" s="146"/>
      <c r="E476" s="49"/>
      <c r="F476" s="49"/>
      <c r="G476" s="49"/>
      <c r="H476" s="42"/>
      <c r="I476" s="49"/>
      <c r="J476" s="42"/>
      <c r="K476" s="49"/>
      <c r="L476" s="49"/>
      <c r="M476" s="42"/>
      <c r="N476" s="42"/>
      <c r="O476" s="42"/>
      <c r="P476" s="42"/>
      <c r="Q476" s="49"/>
      <c r="R476" s="49"/>
      <c r="S476" s="49"/>
      <c r="T476" s="49"/>
      <c r="U476" s="49"/>
      <c r="V476" s="49"/>
      <c r="W476" s="49"/>
      <c r="X476" s="49"/>
      <c r="Y476" s="49"/>
      <c r="Z476" s="49"/>
      <c r="AA476" s="49"/>
      <c r="AB476" s="49"/>
      <c r="AC476" s="49"/>
      <c r="AD476" s="49"/>
    </row>
    <row r="477">
      <c r="A477" s="49"/>
      <c r="B477" s="49"/>
      <c r="C477" s="146"/>
      <c r="D477" s="146"/>
      <c r="E477" s="49"/>
      <c r="F477" s="49"/>
      <c r="G477" s="49"/>
      <c r="H477" s="42"/>
      <c r="I477" s="49"/>
      <c r="J477" s="42"/>
      <c r="K477" s="49"/>
      <c r="L477" s="49"/>
      <c r="M477" s="42"/>
      <c r="N477" s="42"/>
      <c r="O477" s="42"/>
      <c r="P477" s="42"/>
      <c r="Q477" s="49"/>
      <c r="R477" s="49"/>
      <c r="S477" s="49"/>
      <c r="T477" s="49"/>
      <c r="U477" s="49"/>
      <c r="V477" s="49"/>
      <c r="W477" s="49"/>
      <c r="X477" s="49"/>
      <c r="Y477" s="49"/>
      <c r="Z477" s="49"/>
      <c r="AA477" s="49"/>
      <c r="AB477" s="49"/>
      <c r="AC477" s="49"/>
      <c r="AD477" s="49"/>
    </row>
    <row r="478">
      <c r="A478" s="49"/>
      <c r="B478" s="49"/>
      <c r="C478" s="146"/>
      <c r="D478" s="146"/>
      <c r="E478" s="49"/>
      <c r="F478" s="49"/>
      <c r="G478" s="49"/>
      <c r="H478" s="42"/>
      <c r="I478" s="49"/>
      <c r="J478" s="42"/>
      <c r="K478" s="49"/>
      <c r="L478" s="49"/>
      <c r="M478" s="42"/>
      <c r="N478" s="42"/>
      <c r="O478" s="42"/>
      <c r="P478" s="42"/>
      <c r="Q478" s="49"/>
      <c r="R478" s="49"/>
      <c r="S478" s="49"/>
      <c r="T478" s="49"/>
      <c r="U478" s="49"/>
      <c r="V478" s="49"/>
      <c r="W478" s="49"/>
      <c r="X478" s="49"/>
      <c r="Y478" s="49"/>
      <c r="Z478" s="49"/>
      <c r="AA478" s="49"/>
      <c r="AB478" s="49"/>
      <c r="AC478" s="49"/>
      <c r="AD478" s="49"/>
    </row>
    <row r="479">
      <c r="A479" s="49"/>
      <c r="B479" s="49"/>
      <c r="C479" s="146"/>
      <c r="D479" s="146"/>
      <c r="E479" s="49"/>
      <c r="F479" s="49"/>
      <c r="G479" s="49"/>
      <c r="H479" s="42"/>
      <c r="I479" s="49"/>
      <c r="J479" s="42"/>
      <c r="K479" s="49"/>
      <c r="L479" s="49"/>
      <c r="M479" s="42"/>
      <c r="N479" s="42"/>
      <c r="O479" s="42"/>
      <c r="P479" s="42"/>
      <c r="Q479" s="49"/>
      <c r="R479" s="49"/>
      <c r="S479" s="49"/>
      <c r="T479" s="49"/>
      <c r="U479" s="49"/>
      <c r="V479" s="49"/>
      <c r="W479" s="49"/>
      <c r="X479" s="49"/>
      <c r="Y479" s="49"/>
      <c r="Z479" s="49"/>
      <c r="AA479" s="49"/>
      <c r="AB479" s="49"/>
      <c r="AC479" s="49"/>
      <c r="AD479" s="49"/>
    </row>
    <row r="480">
      <c r="A480" s="49"/>
      <c r="B480" s="49"/>
      <c r="C480" s="146"/>
      <c r="D480" s="146"/>
      <c r="E480" s="49"/>
      <c r="F480" s="49"/>
      <c r="G480" s="49"/>
      <c r="H480" s="42"/>
      <c r="I480" s="49"/>
      <c r="J480" s="42"/>
      <c r="K480" s="49"/>
      <c r="L480" s="49"/>
      <c r="M480" s="42"/>
      <c r="N480" s="42"/>
      <c r="O480" s="42"/>
      <c r="P480" s="42"/>
      <c r="Q480" s="49"/>
      <c r="R480" s="49"/>
      <c r="S480" s="49"/>
      <c r="T480" s="49"/>
      <c r="U480" s="49"/>
      <c r="V480" s="49"/>
      <c r="W480" s="49"/>
      <c r="X480" s="49"/>
      <c r="Y480" s="49"/>
      <c r="Z480" s="49"/>
      <c r="AA480" s="49"/>
      <c r="AB480" s="49"/>
      <c r="AC480" s="49"/>
      <c r="AD480" s="49"/>
    </row>
    <row r="481">
      <c r="A481" s="49"/>
      <c r="B481" s="49"/>
      <c r="C481" s="146"/>
      <c r="D481" s="146"/>
      <c r="E481" s="49"/>
      <c r="F481" s="49"/>
      <c r="G481" s="49"/>
      <c r="H481" s="42"/>
      <c r="I481" s="49"/>
      <c r="J481" s="42"/>
      <c r="K481" s="49"/>
      <c r="L481" s="49"/>
      <c r="M481" s="42"/>
      <c r="N481" s="42"/>
      <c r="O481" s="42"/>
      <c r="P481" s="42"/>
      <c r="Q481" s="49"/>
      <c r="R481" s="49"/>
      <c r="S481" s="49"/>
      <c r="T481" s="49"/>
      <c r="U481" s="49"/>
      <c r="V481" s="49"/>
      <c r="W481" s="49"/>
      <c r="X481" s="49"/>
      <c r="Y481" s="49"/>
      <c r="Z481" s="49"/>
      <c r="AA481" s="49"/>
      <c r="AB481" s="49"/>
      <c r="AC481" s="49"/>
      <c r="AD481" s="49"/>
    </row>
    <row r="482">
      <c r="A482" s="49"/>
      <c r="B482" s="49"/>
      <c r="C482" s="146"/>
      <c r="D482" s="146"/>
      <c r="E482" s="49"/>
      <c r="F482" s="49"/>
      <c r="G482" s="49"/>
      <c r="H482" s="42"/>
      <c r="I482" s="49"/>
      <c r="J482" s="42"/>
      <c r="K482" s="49"/>
      <c r="L482" s="49"/>
      <c r="M482" s="42"/>
      <c r="N482" s="42"/>
      <c r="O482" s="42"/>
      <c r="P482" s="42"/>
      <c r="Q482" s="49"/>
      <c r="R482" s="49"/>
      <c r="S482" s="49"/>
      <c r="T482" s="49"/>
      <c r="U482" s="49"/>
      <c r="V482" s="49"/>
      <c r="W482" s="49"/>
      <c r="X482" s="49"/>
      <c r="Y482" s="49"/>
      <c r="Z482" s="49"/>
      <c r="AA482" s="49"/>
      <c r="AB482" s="49"/>
      <c r="AC482" s="49"/>
      <c r="AD482" s="49"/>
    </row>
    <row r="483">
      <c r="A483" s="49"/>
      <c r="B483" s="49"/>
      <c r="C483" s="146"/>
      <c r="D483" s="146"/>
      <c r="E483" s="49"/>
      <c r="F483" s="49"/>
      <c r="G483" s="49"/>
      <c r="H483" s="42"/>
      <c r="I483" s="49"/>
      <c r="J483" s="42"/>
      <c r="K483" s="49"/>
      <c r="L483" s="49"/>
      <c r="M483" s="42"/>
      <c r="N483" s="42"/>
      <c r="O483" s="42"/>
      <c r="P483" s="42"/>
      <c r="Q483" s="49"/>
      <c r="R483" s="49"/>
      <c r="S483" s="49"/>
      <c r="T483" s="49"/>
      <c r="U483" s="49"/>
      <c r="V483" s="49"/>
      <c r="W483" s="49"/>
      <c r="X483" s="49"/>
      <c r="Y483" s="49"/>
      <c r="Z483" s="49"/>
      <c r="AA483" s="49"/>
      <c r="AB483" s="49"/>
      <c r="AC483" s="49"/>
      <c r="AD483" s="49"/>
    </row>
    <row r="484">
      <c r="A484" s="49"/>
      <c r="B484" s="49"/>
      <c r="C484" s="146"/>
      <c r="D484" s="146"/>
      <c r="E484" s="49"/>
      <c r="F484" s="49"/>
      <c r="G484" s="49"/>
      <c r="H484" s="42"/>
      <c r="I484" s="49"/>
      <c r="J484" s="42"/>
      <c r="K484" s="49"/>
      <c r="L484" s="49"/>
      <c r="M484" s="42"/>
      <c r="N484" s="42"/>
      <c r="O484" s="42"/>
      <c r="P484" s="42"/>
      <c r="Q484" s="49"/>
      <c r="R484" s="49"/>
      <c r="S484" s="49"/>
      <c r="T484" s="49"/>
      <c r="U484" s="49"/>
      <c r="V484" s="49"/>
      <c r="W484" s="49"/>
      <c r="X484" s="49"/>
      <c r="Y484" s="49"/>
      <c r="Z484" s="49"/>
      <c r="AA484" s="49"/>
      <c r="AB484" s="49"/>
      <c r="AC484" s="49"/>
      <c r="AD484" s="49"/>
    </row>
    <row r="485">
      <c r="A485" s="49"/>
      <c r="B485" s="49"/>
      <c r="C485" s="146"/>
      <c r="D485" s="146"/>
      <c r="E485" s="49"/>
      <c r="F485" s="49"/>
      <c r="G485" s="49"/>
      <c r="H485" s="42"/>
      <c r="I485" s="49"/>
      <c r="J485" s="42"/>
      <c r="K485" s="49"/>
      <c r="L485" s="49"/>
      <c r="M485" s="42"/>
      <c r="N485" s="42"/>
      <c r="O485" s="42"/>
      <c r="P485" s="42"/>
      <c r="Q485" s="49"/>
      <c r="R485" s="49"/>
      <c r="S485" s="49"/>
      <c r="T485" s="49"/>
      <c r="U485" s="49"/>
      <c r="V485" s="49"/>
      <c r="W485" s="49"/>
      <c r="X485" s="49"/>
      <c r="Y485" s="49"/>
      <c r="Z485" s="49"/>
      <c r="AA485" s="49"/>
      <c r="AB485" s="49"/>
      <c r="AC485" s="49"/>
      <c r="AD485" s="49"/>
    </row>
    <row r="486">
      <c r="A486" s="49"/>
      <c r="B486" s="49"/>
      <c r="C486" s="146"/>
      <c r="D486" s="146"/>
      <c r="E486" s="49"/>
      <c r="F486" s="49"/>
      <c r="G486" s="49"/>
      <c r="H486" s="42"/>
      <c r="I486" s="49"/>
      <c r="J486" s="42"/>
      <c r="K486" s="49"/>
      <c r="L486" s="49"/>
      <c r="M486" s="42"/>
      <c r="N486" s="42"/>
      <c r="O486" s="42"/>
      <c r="P486" s="42"/>
      <c r="Q486" s="49"/>
      <c r="R486" s="49"/>
      <c r="S486" s="49"/>
      <c r="T486" s="49"/>
      <c r="U486" s="49"/>
      <c r="V486" s="49"/>
      <c r="W486" s="49"/>
      <c r="X486" s="49"/>
      <c r="Y486" s="49"/>
      <c r="Z486" s="49"/>
      <c r="AA486" s="49"/>
      <c r="AB486" s="49"/>
      <c r="AC486" s="49"/>
      <c r="AD486" s="49"/>
    </row>
    <row r="487">
      <c r="A487" s="49"/>
      <c r="B487" s="49"/>
      <c r="C487" s="146"/>
      <c r="D487" s="146"/>
      <c r="E487" s="49"/>
      <c r="F487" s="49"/>
      <c r="G487" s="49"/>
      <c r="H487" s="42"/>
      <c r="I487" s="49"/>
      <c r="J487" s="42"/>
      <c r="K487" s="49"/>
      <c r="L487" s="49"/>
      <c r="M487" s="42"/>
      <c r="N487" s="42"/>
      <c r="O487" s="42"/>
      <c r="P487" s="42"/>
      <c r="Q487" s="49"/>
      <c r="R487" s="49"/>
      <c r="S487" s="49"/>
      <c r="T487" s="49"/>
      <c r="U487" s="49"/>
      <c r="V487" s="49"/>
      <c r="W487" s="49"/>
      <c r="X487" s="49"/>
      <c r="Y487" s="49"/>
      <c r="Z487" s="49"/>
      <c r="AA487" s="49"/>
      <c r="AB487" s="49"/>
      <c r="AC487" s="49"/>
      <c r="AD487" s="49"/>
    </row>
    <row r="488">
      <c r="A488" s="49"/>
      <c r="B488" s="49"/>
      <c r="C488" s="146"/>
      <c r="D488" s="146"/>
      <c r="E488" s="49"/>
      <c r="F488" s="49"/>
      <c r="G488" s="49"/>
      <c r="H488" s="42"/>
      <c r="I488" s="49"/>
      <c r="J488" s="42"/>
      <c r="K488" s="49"/>
      <c r="L488" s="49"/>
      <c r="M488" s="42"/>
      <c r="N488" s="42"/>
      <c r="O488" s="42"/>
      <c r="P488" s="42"/>
      <c r="Q488" s="49"/>
      <c r="R488" s="49"/>
      <c r="S488" s="49"/>
      <c r="T488" s="49"/>
      <c r="U488" s="49"/>
      <c r="V488" s="49"/>
      <c r="W488" s="49"/>
      <c r="X488" s="49"/>
      <c r="Y488" s="49"/>
      <c r="Z488" s="49"/>
      <c r="AA488" s="49"/>
      <c r="AB488" s="49"/>
      <c r="AC488" s="49"/>
      <c r="AD488" s="49"/>
    </row>
    <row r="489">
      <c r="A489" s="49"/>
      <c r="B489" s="49"/>
      <c r="C489" s="146"/>
      <c r="D489" s="146"/>
      <c r="E489" s="49"/>
      <c r="F489" s="49"/>
      <c r="G489" s="49"/>
      <c r="H489" s="42"/>
      <c r="I489" s="49"/>
      <c r="J489" s="42"/>
      <c r="K489" s="49"/>
      <c r="L489" s="49"/>
      <c r="M489" s="42"/>
      <c r="N489" s="42"/>
      <c r="O489" s="42"/>
      <c r="P489" s="42"/>
      <c r="Q489" s="49"/>
      <c r="R489" s="49"/>
      <c r="S489" s="49"/>
      <c r="T489" s="49"/>
      <c r="U489" s="49"/>
      <c r="V489" s="49"/>
      <c r="W489" s="49"/>
      <c r="X489" s="49"/>
      <c r="Y489" s="49"/>
      <c r="Z489" s="49"/>
      <c r="AA489" s="49"/>
      <c r="AB489" s="49"/>
      <c r="AC489" s="49"/>
      <c r="AD489" s="49"/>
    </row>
    <row r="490">
      <c r="A490" s="49"/>
      <c r="B490" s="49"/>
      <c r="C490" s="146"/>
      <c r="D490" s="146"/>
      <c r="E490" s="49"/>
      <c r="F490" s="49"/>
      <c r="G490" s="49"/>
      <c r="H490" s="42"/>
      <c r="I490" s="49"/>
      <c r="J490" s="42"/>
      <c r="K490" s="49"/>
      <c r="L490" s="49"/>
      <c r="M490" s="42"/>
      <c r="N490" s="42"/>
      <c r="O490" s="42"/>
      <c r="P490" s="42"/>
      <c r="Q490" s="49"/>
      <c r="R490" s="49"/>
      <c r="S490" s="49"/>
      <c r="T490" s="49"/>
      <c r="U490" s="49"/>
      <c r="V490" s="49"/>
      <c r="W490" s="49"/>
      <c r="X490" s="49"/>
      <c r="Y490" s="49"/>
      <c r="Z490" s="49"/>
      <c r="AA490" s="49"/>
      <c r="AB490" s="49"/>
      <c r="AC490" s="49"/>
      <c r="AD490" s="49"/>
    </row>
    <row r="491">
      <c r="A491" s="49"/>
      <c r="B491" s="49"/>
      <c r="C491" s="146"/>
      <c r="D491" s="146"/>
      <c r="E491" s="49"/>
      <c r="F491" s="49"/>
      <c r="G491" s="49"/>
      <c r="H491" s="42"/>
      <c r="I491" s="49"/>
      <c r="J491" s="42"/>
      <c r="K491" s="49"/>
      <c r="L491" s="49"/>
      <c r="M491" s="42"/>
      <c r="N491" s="42"/>
      <c r="O491" s="42"/>
      <c r="P491" s="42"/>
      <c r="Q491" s="49"/>
      <c r="R491" s="49"/>
      <c r="S491" s="49"/>
      <c r="T491" s="49"/>
      <c r="U491" s="49"/>
      <c r="V491" s="49"/>
      <c r="W491" s="49"/>
      <c r="X491" s="49"/>
      <c r="Y491" s="49"/>
      <c r="Z491" s="49"/>
      <c r="AA491" s="49"/>
      <c r="AB491" s="49"/>
      <c r="AC491" s="49"/>
      <c r="AD491" s="49"/>
    </row>
    <row r="492">
      <c r="A492" s="49"/>
      <c r="B492" s="49"/>
      <c r="C492" s="146"/>
      <c r="D492" s="146"/>
      <c r="E492" s="49"/>
      <c r="F492" s="49"/>
      <c r="G492" s="49"/>
      <c r="H492" s="42"/>
      <c r="I492" s="49"/>
      <c r="J492" s="42"/>
      <c r="K492" s="49"/>
      <c r="L492" s="49"/>
      <c r="M492" s="42"/>
      <c r="N492" s="42"/>
      <c r="O492" s="42"/>
      <c r="P492" s="42"/>
      <c r="Q492" s="49"/>
      <c r="R492" s="49"/>
      <c r="S492" s="49"/>
      <c r="T492" s="49"/>
      <c r="U492" s="49"/>
      <c r="V492" s="49"/>
      <c r="W492" s="49"/>
      <c r="X492" s="49"/>
      <c r="Y492" s="49"/>
      <c r="Z492" s="49"/>
      <c r="AA492" s="49"/>
      <c r="AB492" s="49"/>
      <c r="AC492" s="49"/>
      <c r="AD492" s="49"/>
    </row>
    <row r="493">
      <c r="A493" s="49"/>
      <c r="B493" s="49"/>
      <c r="C493" s="146"/>
      <c r="D493" s="146"/>
      <c r="E493" s="49"/>
      <c r="F493" s="49"/>
      <c r="G493" s="49"/>
      <c r="H493" s="42"/>
      <c r="I493" s="49"/>
      <c r="J493" s="42"/>
      <c r="K493" s="49"/>
      <c r="L493" s="49"/>
      <c r="M493" s="42"/>
      <c r="N493" s="42"/>
      <c r="O493" s="42"/>
      <c r="P493" s="42"/>
      <c r="Q493" s="49"/>
      <c r="R493" s="49"/>
      <c r="S493" s="49"/>
      <c r="T493" s="49"/>
      <c r="U493" s="49"/>
      <c r="V493" s="49"/>
      <c r="W493" s="49"/>
      <c r="X493" s="49"/>
      <c r="Y493" s="49"/>
      <c r="Z493" s="49"/>
      <c r="AA493" s="49"/>
      <c r="AB493" s="49"/>
      <c r="AC493" s="49"/>
      <c r="AD493" s="49"/>
    </row>
    <row r="494">
      <c r="A494" s="49"/>
      <c r="B494" s="49"/>
      <c r="C494" s="146"/>
      <c r="D494" s="146"/>
      <c r="E494" s="49"/>
      <c r="F494" s="49"/>
      <c r="G494" s="49"/>
      <c r="H494" s="42"/>
      <c r="I494" s="49"/>
      <c r="J494" s="42"/>
      <c r="K494" s="49"/>
      <c r="L494" s="49"/>
      <c r="M494" s="42"/>
      <c r="N494" s="42"/>
      <c r="O494" s="42"/>
      <c r="P494" s="42"/>
      <c r="Q494" s="49"/>
      <c r="R494" s="49"/>
      <c r="S494" s="49"/>
      <c r="T494" s="49"/>
      <c r="U494" s="49"/>
      <c r="V494" s="49"/>
      <c r="W494" s="49"/>
      <c r="X494" s="49"/>
      <c r="Y494" s="49"/>
      <c r="Z494" s="49"/>
      <c r="AA494" s="49"/>
      <c r="AB494" s="49"/>
      <c r="AC494" s="49"/>
      <c r="AD494" s="49"/>
    </row>
    <row r="495">
      <c r="A495" s="49"/>
      <c r="B495" s="49"/>
      <c r="C495" s="146"/>
      <c r="D495" s="146"/>
      <c r="E495" s="49"/>
      <c r="F495" s="49"/>
      <c r="G495" s="49"/>
      <c r="H495" s="42"/>
      <c r="I495" s="49"/>
      <c r="J495" s="42"/>
      <c r="K495" s="49"/>
      <c r="L495" s="49"/>
      <c r="M495" s="42"/>
      <c r="N495" s="42"/>
      <c r="O495" s="42"/>
      <c r="P495" s="42"/>
      <c r="Q495" s="49"/>
      <c r="R495" s="49"/>
      <c r="S495" s="49"/>
      <c r="T495" s="49"/>
      <c r="U495" s="49"/>
      <c r="V495" s="49"/>
      <c r="W495" s="49"/>
      <c r="X495" s="49"/>
      <c r="Y495" s="49"/>
      <c r="Z495" s="49"/>
      <c r="AA495" s="49"/>
      <c r="AB495" s="49"/>
      <c r="AC495" s="49"/>
      <c r="AD495" s="49"/>
    </row>
    <row r="496">
      <c r="A496" s="49"/>
      <c r="B496" s="49"/>
      <c r="C496" s="146"/>
      <c r="D496" s="146"/>
      <c r="E496" s="49"/>
      <c r="F496" s="49"/>
      <c r="G496" s="49"/>
      <c r="H496" s="42"/>
      <c r="I496" s="49"/>
      <c r="J496" s="42"/>
      <c r="K496" s="49"/>
      <c r="L496" s="49"/>
      <c r="M496" s="42"/>
      <c r="N496" s="42"/>
      <c r="O496" s="42"/>
      <c r="P496" s="42"/>
      <c r="Q496" s="49"/>
      <c r="R496" s="49"/>
      <c r="S496" s="49"/>
      <c r="T496" s="49"/>
      <c r="U496" s="49"/>
      <c r="V496" s="49"/>
      <c r="W496" s="49"/>
      <c r="X496" s="49"/>
      <c r="Y496" s="49"/>
      <c r="Z496" s="49"/>
      <c r="AA496" s="49"/>
      <c r="AB496" s="49"/>
      <c r="AC496" s="49"/>
      <c r="AD496" s="49"/>
    </row>
    <row r="497">
      <c r="A497" s="49"/>
      <c r="B497" s="49"/>
      <c r="C497" s="146"/>
      <c r="D497" s="146"/>
      <c r="E497" s="49"/>
      <c r="F497" s="49"/>
      <c r="G497" s="49"/>
      <c r="H497" s="42"/>
      <c r="I497" s="49"/>
      <c r="J497" s="42"/>
      <c r="K497" s="49"/>
      <c r="L497" s="49"/>
      <c r="M497" s="42"/>
      <c r="N497" s="42"/>
      <c r="O497" s="42"/>
      <c r="P497" s="42"/>
      <c r="Q497" s="49"/>
      <c r="R497" s="49"/>
      <c r="S497" s="49"/>
      <c r="T497" s="49"/>
      <c r="U497" s="49"/>
      <c r="V497" s="49"/>
      <c r="W497" s="49"/>
      <c r="X497" s="49"/>
      <c r="Y497" s="49"/>
      <c r="Z497" s="49"/>
      <c r="AA497" s="49"/>
      <c r="AB497" s="49"/>
      <c r="AC497" s="49"/>
      <c r="AD497" s="49"/>
    </row>
    <row r="498">
      <c r="A498" s="49"/>
      <c r="B498" s="49"/>
      <c r="C498" s="146"/>
      <c r="D498" s="146"/>
      <c r="E498" s="49"/>
      <c r="F498" s="49"/>
      <c r="G498" s="49"/>
      <c r="H498" s="42"/>
      <c r="I498" s="49"/>
      <c r="J498" s="42"/>
      <c r="K498" s="49"/>
      <c r="L498" s="49"/>
      <c r="M498" s="42"/>
      <c r="N498" s="42"/>
      <c r="O498" s="42"/>
      <c r="P498" s="42"/>
      <c r="Q498" s="49"/>
      <c r="R498" s="49"/>
      <c r="S498" s="49"/>
      <c r="T498" s="49"/>
      <c r="U498" s="49"/>
      <c r="V498" s="49"/>
      <c r="W498" s="49"/>
      <c r="X498" s="49"/>
      <c r="Y498" s="49"/>
      <c r="Z498" s="49"/>
      <c r="AA498" s="49"/>
      <c r="AB498" s="49"/>
      <c r="AC498" s="49"/>
      <c r="AD498" s="49"/>
    </row>
    <row r="499">
      <c r="A499" s="49"/>
      <c r="B499" s="49"/>
      <c r="C499" s="146"/>
      <c r="D499" s="146"/>
      <c r="E499" s="49"/>
      <c r="F499" s="49"/>
      <c r="G499" s="49"/>
      <c r="H499" s="42"/>
      <c r="I499" s="49"/>
      <c r="J499" s="42"/>
      <c r="K499" s="49"/>
      <c r="L499" s="49"/>
      <c r="M499" s="42"/>
      <c r="N499" s="42"/>
      <c r="O499" s="42"/>
      <c r="P499" s="42"/>
      <c r="Q499" s="49"/>
      <c r="R499" s="49"/>
      <c r="S499" s="49"/>
      <c r="T499" s="49"/>
      <c r="U499" s="49"/>
      <c r="V499" s="49"/>
      <c r="W499" s="49"/>
      <c r="X499" s="49"/>
      <c r="Y499" s="49"/>
      <c r="Z499" s="49"/>
      <c r="AA499" s="49"/>
      <c r="AB499" s="49"/>
      <c r="AC499" s="49"/>
      <c r="AD499" s="49"/>
    </row>
    <row r="500">
      <c r="A500" s="49"/>
      <c r="B500" s="49"/>
      <c r="C500" s="146"/>
      <c r="D500" s="146"/>
      <c r="E500" s="49"/>
      <c r="F500" s="49"/>
      <c r="G500" s="49"/>
      <c r="H500" s="42"/>
      <c r="I500" s="49"/>
      <c r="J500" s="42"/>
      <c r="K500" s="49"/>
      <c r="L500" s="49"/>
      <c r="M500" s="42"/>
      <c r="N500" s="42"/>
      <c r="O500" s="42"/>
      <c r="P500" s="42"/>
      <c r="Q500" s="49"/>
      <c r="R500" s="49"/>
      <c r="S500" s="49"/>
      <c r="T500" s="49"/>
      <c r="U500" s="49"/>
      <c r="V500" s="49"/>
      <c r="W500" s="49"/>
      <c r="X500" s="49"/>
      <c r="Y500" s="49"/>
      <c r="Z500" s="49"/>
      <c r="AA500" s="49"/>
      <c r="AB500" s="49"/>
      <c r="AC500" s="49"/>
      <c r="AD500" s="49"/>
    </row>
    <row r="501">
      <c r="A501" s="49"/>
      <c r="B501" s="49"/>
      <c r="C501" s="146"/>
      <c r="D501" s="146"/>
      <c r="E501" s="49"/>
      <c r="F501" s="49"/>
      <c r="G501" s="49"/>
      <c r="H501" s="42"/>
      <c r="I501" s="49"/>
      <c r="J501" s="42"/>
      <c r="K501" s="49"/>
      <c r="L501" s="49"/>
      <c r="M501" s="42"/>
      <c r="N501" s="42"/>
      <c r="O501" s="42"/>
      <c r="P501" s="42"/>
      <c r="Q501" s="49"/>
      <c r="R501" s="49"/>
      <c r="S501" s="49"/>
      <c r="T501" s="49"/>
      <c r="U501" s="49"/>
      <c r="V501" s="49"/>
      <c r="W501" s="49"/>
      <c r="X501" s="49"/>
      <c r="Y501" s="49"/>
      <c r="Z501" s="49"/>
      <c r="AA501" s="49"/>
      <c r="AB501" s="49"/>
      <c r="AC501" s="49"/>
      <c r="AD501" s="49"/>
    </row>
    <row r="502">
      <c r="A502" s="49"/>
      <c r="B502" s="49"/>
      <c r="C502" s="146"/>
      <c r="D502" s="146"/>
      <c r="E502" s="49"/>
      <c r="F502" s="49"/>
      <c r="G502" s="49"/>
      <c r="H502" s="42"/>
      <c r="I502" s="49"/>
      <c r="J502" s="42"/>
      <c r="K502" s="49"/>
      <c r="L502" s="49"/>
      <c r="M502" s="42"/>
      <c r="N502" s="42"/>
      <c r="O502" s="42"/>
      <c r="P502" s="42"/>
      <c r="Q502" s="49"/>
      <c r="R502" s="49"/>
      <c r="S502" s="49"/>
      <c r="T502" s="49"/>
      <c r="U502" s="49"/>
      <c r="V502" s="49"/>
      <c r="W502" s="49"/>
      <c r="X502" s="49"/>
      <c r="Y502" s="49"/>
      <c r="Z502" s="49"/>
      <c r="AA502" s="49"/>
      <c r="AB502" s="49"/>
      <c r="AC502" s="49"/>
      <c r="AD502" s="49"/>
    </row>
    <row r="503">
      <c r="A503" s="49"/>
      <c r="B503" s="49"/>
      <c r="C503" s="146"/>
      <c r="D503" s="146"/>
      <c r="E503" s="49"/>
      <c r="F503" s="49"/>
      <c r="G503" s="49"/>
      <c r="H503" s="42"/>
      <c r="I503" s="49"/>
      <c r="J503" s="42"/>
      <c r="K503" s="49"/>
      <c r="L503" s="49"/>
      <c r="M503" s="42"/>
      <c r="N503" s="42"/>
      <c r="O503" s="42"/>
      <c r="P503" s="42"/>
      <c r="Q503" s="49"/>
      <c r="R503" s="49"/>
      <c r="S503" s="49"/>
      <c r="T503" s="49"/>
      <c r="U503" s="49"/>
      <c r="V503" s="49"/>
      <c r="W503" s="49"/>
      <c r="X503" s="49"/>
      <c r="Y503" s="49"/>
      <c r="Z503" s="49"/>
      <c r="AA503" s="49"/>
      <c r="AB503" s="49"/>
      <c r="AC503" s="49"/>
      <c r="AD503" s="49"/>
    </row>
    <row r="504">
      <c r="A504" s="49"/>
      <c r="B504" s="49"/>
      <c r="C504" s="146"/>
      <c r="D504" s="146"/>
      <c r="E504" s="49"/>
      <c r="F504" s="49"/>
      <c r="G504" s="49"/>
      <c r="H504" s="42"/>
      <c r="I504" s="49"/>
      <c r="J504" s="42"/>
      <c r="K504" s="49"/>
      <c r="L504" s="49"/>
      <c r="M504" s="42"/>
      <c r="N504" s="42"/>
      <c r="O504" s="42"/>
      <c r="P504" s="42"/>
      <c r="Q504" s="49"/>
      <c r="R504" s="49"/>
      <c r="S504" s="49"/>
      <c r="T504" s="49"/>
      <c r="U504" s="49"/>
      <c r="V504" s="49"/>
      <c r="W504" s="49"/>
      <c r="X504" s="49"/>
      <c r="Y504" s="49"/>
      <c r="Z504" s="49"/>
      <c r="AA504" s="49"/>
      <c r="AB504" s="49"/>
      <c r="AC504" s="49"/>
      <c r="AD504" s="49"/>
    </row>
    <row r="505">
      <c r="A505" s="49"/>
      <c r="B505" s="49"/>
      <c r="C505" s="146"/>
      <c r="D505" s="146"/>
      <c r="E505" s="49"/>
      <c r="F505" s="49"/>
      <c r="G505" s="49"/>
      <c r="H505" s="42"/>
      <c r="I505" s="49"/>
      <c r="J505" s="42"/>
      <c r="K505" s="49"/>
      <c r="L505" s="49"/>
      <c r="M505" s="42"/>
      <c r="N505" s="42"/>
      <c r="O505" s="42"/>
      <c r="P505" s="42"/>
      <c r="Q505" s="49"/>
      <c r="R505" s="49"/>
      <c r="S505" s="49"/>
      <c r="T505" s="49"/>
      <c r="U505" s="49"/>
      <c r="V505" s="49"/>
      <c r="W505" s="49"/>
      <c r="X505" s="49"/>
      <c r="Y505" s="49"/>
      <c r="Z505" s="49"/>
      <c r="AA505" s="49"/>
      <c r="AB505" s="49"/>
      <c r="AC505" s="49"/>
      <c r="AD505" s="49"/>
    </row>
    <row r="506">
      <c r="A506" s="49"/>
      <c r="B506" s="49"/>
      <c r="C506" s="146"/>
      <c r="D506" s="146"/>
      <c r="E506" s="49"/>
      <c r="F506" s="49"/>
      <c r="G506" s="49"/>
      <c r="H506" s="42"/>
      <c r="I506" s="49"/>
      <c r="J506" s="42"/>
      <c r="K506" s="49"/>
      <c r="L506" s="49"/>
      <c r="M506" s="42"/>
      <c r="N506" s="42"/>
      <c r="O506" s="42"/>
      <c r="P506" s="42"/>
      <c r="Q506" s="49"/>
      <c r="R506" s="49"/>
      <c r="S506" s="49"/>
      <c r="T506" s="49"/>
      <c r="U506" s="49"/>
      <c r="V506" s="49"/>
      <c r="W506" s="49"/>
      <c r="X506" s="49"/>
      <c r="Y506" s="49"/>
      <c r="Z506" s="49"/>
      <c r="AA506" s="49"/>
      <c r="AB506" s="49"/>
      <c r="AC506" s="49"/>
      <c r="AD506" s="49"/>
    </row>
    <row r="507">
      <c r="A507" s="49"/>
      <c r="B507" s="49"/>
      <c r="C507" s="146"/>
      <c r="D507" s="146"/>
      <c r="E507" s="49"/>
      <c r="F507" s="49"/>
      <c r="G507" s="49"/>
      <c r="H507" s="42"/>
      <c r="I507" s="49"/>
      <c r="J507" s="42"/>
      <c r="K507" s="49"/>
      <c r="L507" s="49"/>
      <c r="M507" s="42"/>
      <c r="N507" s="42"/>
      <c r="O507" s="42"/>
      <c r="P507" s="42"/>
      <c r="Q507" s="49"/>
      <c r="R507" s="49"/>
      <c r="S507" s="49"/>
      <c r="T507" s="49"/>
      <c r="U507" s="49"/>
      <c r="V507" s="49"/>
      <c r="W507" s="49"/>
      <c r="X507" s="49"/>
      <c r="Y507" s="49"/>
      <c r="Z507" s="49"/>
      <c r="AA507" s="49"/>
      <c r="AB507" s="49"/>
      <c r="AC507" s="49"/>
      <c r="AD507" s="49"/>
    </row>
    <row r="508">
      <c r="A508" s="49"/>
      <c r="B508" s="49"/>
      <c r="C508" s="146"/>
      <c r="D508" s="146"/>
      <c r="E508" s="49"/>
      <c r="F508" s="49"/>
      <c r="G508" s="49"/>
      <c r="H508" s="42"/>
      <c r="I508" s="49"/>
      <c r="J508" s="42"/>
      <c r="K508" s="49"/>
      <c r="L508" s="49"/>
      <c r="M508" s="42"/>
      <c r="N508" s="42"/>
      <c r="O508" s="42"/>
      <c r="P508" s="42"/>
      <c r="Q508" s="49"/>
      <c r="R508" s="49"/>
      <c r="S508" s="49"/>
      <c r="T508" s="49"/>
      <c r="U508" s="49"/>
      <c r="V508" s="49"/>
      <c r="W508" s="49"/>
      <c r="X508" s="49"/>
      <c r="Y508" s="49"/>
      <c r="Z508" s="49"/>
      <c r="AA508" s="49"/>
      <c r="AB508" s="49"/>
      <c r="AC508" s="49"/>
      <c r="AD508" s="49"/>
    </row>
    <row r="509">
      <c r="A509" s="49"/>
      <c r="B509" s="49"/>
      <c r="C509" s="146"/>
      <c r="D509" s="146"/>
      <c r="E509" s="49"/>
      <c r="F509" s="49"/>
      <c r="G509" s="49"/>
      <c r="H509" s="42"/>
      <c r="I509" s="49"/>
      <c r="J509" s="42"/>
      <c r="K509" s="49"/>
      <c r="L509" s="49"/>
      <c r="M509" s="42"/>
      <c r="N509" s="42"/>
      <c r="O509" s="42"/>
      <c r="P509" s="42"/>
      <c r="Q509" s="49"/>
      <c r="R509" s="49"/>
      <c r="S509" s="49"/>
      <c r="T509" s="49"/>
      <c r="U509" s="49"/>
      <c r="V509" s="49"/>
      <c r="W509" s="49"/>
      <c r="X509" s="49"/>
      <c r="Y509" s="49"/>
      <c r="Z509" s="49"/>
      <c r="AA509" s="49"/>
      <c r="AB509" s="49"/>
      <c r="AC509" s="49"/>
      <c r="AD509" s="49"/>
    </row>
    <row r="510">
      <c r="A510" s="49"/>
      <c r="B510" s="49"/>
      <c r="C510" s="146"/>
      <c r="D510" s="146"/>
      <c r="E510" s="49"/>
      <c r="F510" s="49"/>
      <c r="G510" s="49"/>
      <c r="H510" s="42"/>
      <c r="I510" s="49"/>
      <c r="J510" s="42"/>
      <c r="K510" s="49"/>
      <c r="L510" s="49"/>
      <c r="M510" s="42"/>
      <c r="N510" s="42"/>
      <c r="O510" s="42"/>
      <c r="P510" s="42"/>
      <c r="Q510" s="49"/>
      <c r="R510" s="49"/>
      <c r="S510" s="49"/>
      <c r="T510" s="49"/>
      <c r="U510" s="49"/>
      <c r="V510" s="49"/>
      <c r="W510" s="49"/>
      <c r="X510" s="49"/>
      <c r="Y510" s="49"/>
      <c r="Z510" s="49"/>
      <c r="AA510" s="49"/>
      <c r="AB510" s="49"/>
      <c r="AC510" s="49"/>
      <c r="AD510" s="49"/>
    </row>
    <row r="511">
      <c r="A511" s="49"/>
      <c r="B511" s="49"/>
      <c r="C511" s="146"/>
      <c r="D511" s="146"/>
      <c r="E511" s="49"/>
      <c r="F511" s="49"/>
      <c r="G511" s="49"/>
      <c r="H511" s="42"/>
      <c r="I511" s="49"/>
      <c r="J511" s="42"/>
      <c r="K511" s="49"/>
      <c r="L511" s="49"/>
      <c r="M511" s="42"/>
      <c r="N511" s="42"/>
      <c r="O511" s="42"/>
      <c r="P511" s="42"/>
      <c r="Q511" s="49"/>
      <c r="R511" s="49"/>
      <c r="S511" s="49"/>
      <c r="T511" s="49"/>
      <c r="U511" s="49"/>
      <c r="V511" s="49"/>
      <c r="W511" s="49"/>
      <c r="X511" s="49"/>
      <c r="Y511" s="49"/>
      <c r="Z511" s="49"/>
      <c r="AA511" s="49"/>
      <c r="AB511" s="49"/>
      <c r="AC511" s="49"/>
      <c r="AD511" s="49"/>
    </row>
    <row r="512">
      <c r="A512" s="49"/>
      <c r="B512" s="49"/>
      <c r="C512" s="146"/>
      <c r="D512" s="146"/>
      <c r="E512" s="49"/>
      <c r="F512" s="49"/>
      <c r="G512" s="49"/>
      <c r="H512" s="42"/>
      <c r="I512" s="49"/>
      <c r="J512" s="42"/>
      <c r="K512" s="49"/>
      <c r="L512" s="49"/>
      <c r="M512" s="42"/>
      <c r="N512" s="42"/>
      <c r="O512" s="42"/>
      <c r="P512" s="42"/>
      <c r="Q512" s="49"/>
      <c r="R512" s="49"/>
      <c r="S512" s="49"/>
      <c r="T512" s="49"/>
      <c r="U512" s="49"/>
      <c r="V512" s="49"/>
      <c r="W512" s="49"/>
      <c r="X512" s="49"/>
      <c r="Y512" s="49"/>
      <c r="Z512" s="49"/>
      <c r="AA512" s="49"/>
      <c r="AB512" s="49"/>
      <c r="AC512" s="49"/>
      <c r="AD512" s="49"/>
    </row>
    <row r="513">
      <c r="A513" s="49"/>
      <c r="B513" s="49"/>
      <c r="C513" s="146"/>
      <c r="D513" s="146"/>
      <c r="E513" s="49"/>
      <c r="F513" s="49"/>
      <c r="G513" s="49"/>
      <c r="H513" s="42"/>
      <c r="I513" s="49"/>
      <c r="J513" s="42"/>
      <c r="K513" s="49"/>
      <c r="L513" s="49"/>
      <c r="M513" s="42"/>
      <c r="N513" s="42"/>
      <c r="O513" s="42"/>
      <c r="P513" s="42"/>
      <c r="Q513" s="49"/>
      <c r="R513" s="49"/>
      <c r="S513" s="49"/>
      <c r="T513" s="49"/>
      <c r="U513" s="49"/>
      <c r="V513" s="49"/>
      <c r="W513" s="49"/>
      <c r="X513" s="49"/>
      <c r="Y513" s="49"/>
      <c r="Z513" s="49"/>
      <c r="AA513" s="49"/>
      <c r="AB513" s="49"/>
      <c r="AC513" s="49"/>
      <c r="AD513" s="49"/>
    </row>
    <row r="514">
      <c r="A514" s="49"/>
      <c r="B514" s="49"/>
      <c r="C514" s="146"/>
      <c r="D514" s="146"/>
      <c r="E514" s="49"/>
      <c r="F514" s="49"/>
      <c r="G514" s="49"/>
      <c r="H514" s="42"/>
      <c r="I514" s="49"/>
      <c r="J514" s="42"/>
      <c r="K514" s="49"/>
      <c r="L514" s="49"/>
      <c r="M514" s="42"/>
      <c r="N514" s="42"/>
      <c r="O514" s="42"/>
      <c r="P514" s="42"/>
      <c r="Q514" s="49"/>
      <c r="R514" s="49"/>
      <c r="S514" s="49"/>
      <c r="T514" s="49"/>
      <c r="U514" s="49"/>
      <c r="V514" s="49"/>
      <c r="W514" s="49"/>
      <c r="X514" s="49"/>
      <c r="Y514" s="49"/>
      <c r="Z514" s="49"/>
      <c r="AA514" s="49"/>
      <c r="AB514" s="49"/>
      <c r="AC514" s="49"/>
      <c r="AD514" s="49"/>
    </row>
    <row r="515">
      <c r="A515" s="49"/>
      <c r="B515" s="49"/>
      <c r="C515" s="146"/>
      <c r="D515" s="146"/>
      <c r="E515" s="49"/>
      <c r="F515" s="49"/>
      <c r="G515" s="49"/>
      <c r="H515" s="42"/>
      <c r="I515" s="49"/>
      <c r="J515" s="42"/>
      <c r="K515" s="49"/>
      <c r="L515" s="49"/>
      <c r="M515" s="42"/>
      <c r="N515" s="42"/>
      <c r="O515" s="42"/>
      <c r="P515" s="42"/>
      <c r="Q515" s="49"/>
      <c r="R515" s="49"/>
      <c r="S515" s="49"/>
      <c r="T515" s="49"/>
      <c r="U515" s="49"/>
      <c r="V515" s="49"/>
      <c r="W515" s="49"/>
      <c r="X515" s="49"/>
      <c r="Y515" s="49"/>
      <c r="Z515" s="49"/>
      <c r="AA515" s="49"/>
      <c r="AB515" s="49"/>
      <c r="AC515" s="49"/>
      <c r="AD515" s="49"/>
    </row>
    <row r="516">
      <c r="A516" s="49"/>
      <c r="B516" s="49"/>
      <c r="C516" s="146"/>
      <c r="D516" s="146"/>
      <c r="E516" s="49"/>
      <c r="F516" s="49"/>
      <c r="G516" s="49"/>
      <c r="H516" s="42"/>
      <c r="I516" s="49"/>
      <c r="J516" s="42"/>
      <c r="K516" s="49"/>
      <c r="L516" s="49"/>
      <c r="M516" s="42"/>
      <c r="N516" s="42"/>
      <c r="O516" s="42"/>
      <c r="P516" s="42"/>
      <c r="Q516" s="49"/>
      <c r="R516" s="49"/>
      <c r="S516" s="49"/>
      <c r="T516" s="49"/>
      <c r="U516" s="49"/>
      <c r="V516" s="49"/>
      <c r="W516" s="49"/>
      <c r="X516" s="49"/>
      <c r="Y516" s="49"/>
      <c r="Z516" s="49"/>
      <c r="AA516" s="49"/>
      <c r="AB516" s="49"/>
      <c r="AC516" s="49"/>
      <c r="AD516" s="49"/>
    </row>
    <row r="517">
      <c r="A517" s="49"/>
      <c r="B517" s="49"/>
      <c r="C517" s="146"/>
      <c r="D517" s="146"/>
      <c r="E517" s="49"/>
      <c r="F517" s="49"/>
      <c r="G517" s="49"/>
      <c r="H517" s="42"/>
      <c r="I517" s="49"/>
      <c r="J517" s="42"/>
      <c r="K517" s="49"/>
      <c r="L517" s="49"/>
      <c r="M517" s="42"/>
      <c r="N517" s="42"/>
      <c r="O517" s="42"/>
      <c r="P517" s="42"/>
      <c r="Q517" s="49"/>
      <c r="R517" s="49"/>
      <c r="S517" s="49"/>
      <c r="T517" s="49"/>
      <c r="U517" s="49"/>
      <c r="V517" s="49"/>
      <c r="W517" s="49"/>
      <c r="X517" s="49"/>
      <c r="Y517" s="49"/>
      <c r="Z517" s="49"/>
      <c r="AA517" s="49"/>
      <c r="AB517" s="49"/>
      <c r="AC517" s="49"/>
      <c r="AD517" s="49"/>
    </row>
    <row r="518">
      <c r="A518" s="49"/>
      <c r="B518" s="49"/>
      <c r="C518" s="146"/>
      <c r="D518" s="146"/>
      <c r="E518" s="49"/>
      <c r="F518" s="49"/>
      <c r="G518" s="49"/>
      <c r="H518" s="42"/>
      <c r="I518" s="49"/>
      <c r="J518" s="42"/>
      <c r="K518" s="49"/>
      <c r="L518" s="49"/>
      <c r="M518" s="42"/>
      <c r="N518" s="42"/>
      <c r="O518" s="42"/>
      <c r="P518" s="42"/>
      <c r="Q518" s="49"/>
      <c r="R518" s="49"/>
      <c r="S518" s="49"/>
      <c r="T518" s="49"/>
      <c r="U518" s="49"/>
      <c r="V518" s="49"/>
      <c r="W518" s="49"/>
      <c r="X518" s="49"/>
      <c r="Y518" s="49"/>
      <c r="Z518" s="49"/>
      <c r="AA518" s="49"/>
      <c r="AB518" s="49"/>
      <c r="AC518" s="49"/>
      <c r="AD518" s="49"/>
    </row>
    <row r="519">
      <c r="A519" s="49"/>
      <c r="B519" s="49"/>
      <c r="C519" s="146"/>
      <c r="D519" s="146"/>
      <c r="E519" s="49"/>
      <c r="F519" s="49"/>
      <c r="G519" s="49"/>
      <c r="H519" s="42"/>
      <c r="I519" s="49"/>
      <c r="J519" s="42"/>
      <c r="K519" s="49"/>
      <c r="L519" s="49"/>
      <c r="M519" s="42"/>
      <c r="N519" s="42"/>
      <c r="O519" s="42"/>
      <c r="P519" s="42"/>
      <c r="Q519" s="49"/>
      <c r="R519" s="49"/>
      <c r="S519" s="49"/>
      <c r="T519" s="49"/>
      <c r="U519" s="49"/>
      <c r="V519" s="49"/>
      <c r="W519" s="49"/>
      <c r="X519" s="49"/>
      <c r="Y519" s="49"/>
      <c r="Z519" s="49"/>
      <c r="AA519" s="49"/>
      <c r="AB519" s="49"/>
      <c r="AC519" s="49"/>
      <c r="AD519" s="49"/>
    </row>
    <row r="520">
      <c r="A520" s="49"/>
      <c r="B520" s="49"/>
      <c r="C520" s="146"/>
      <c r="D520" s="146"/>
      <c r="E520" s="49"/>
      <c r="F520" s="49"/>
      <c r="G520" s="49"/>
      <c r="H520" s="42"/>
      <c r="I520" s="49"/>
      <c r="J520" s="42"/>
      <c r="K520" s="49"/>
      <c r="L520" s="49"/>
      <c r="M520" s="42"/>
      <c r="N520" s="42"/>
      <c r="O520" s="42"/>
      <c r="P520" s="42"/>
      <c r="Q520" s="49"/>
      <c r="R520" s="49"/>
      <c r="S520" s="49"/>
      <c r="T520" s="49"/>
      <c r="U520" s="49"/>
      <c r="V520" s="49"/>
      <c r="W520" s="49"/>
      <c r="X520" s="49"/>
      <c r="Y520" s="49"/>
      <c r="Z520" s="49"/>
      <c r="AA520" s="49"/>
      <c r="AB520" s="49"/>
      <c r="AC520" s="49"/>
      <c r="AD520" s="49"/>
    </row>
    <row r="521">
      <c r="A521" s="49"/>
      <c r="B521" s="49"/>
      <c r="C521" s="146"/>
      <c r="D521" s="146"/>
      <c r="E521" s="49"/>
      <c r="F521" s="49"/>
      <c r="G521" s="49"/>
      <c r="H521" s="42"/>
      <c r="I521" s="49"/>
      <c r="J521" s="42"/>
      <c r="K521" s="49"/>
      <c r="L521" s="49"/>
      <c r="M521" s="42"/>
      <c r="N521" s="42"/>
      <c r="O521" s="42"/>
      <c r="P521" s="42"/>
      <c r="Q521" s="49"/>
      <c r="R521" s="49"/>
      <c r="S521" s="49"/>
      <c r="T521" s="49"/>
      <c r="U521" s="49"/>
      <c r="V521" s="49"/>
      <c r="W521" s="49"/>
      <c r="X521" s="49"/>
      <c r="Y521" s="49"/>
      <c r="Z521" s="49"/>
      <c r="AA521" s="49"/>
      <c r="AB521" s="49"/>
      <c r="AC521" s="49"/>
      <c r="AD521" s="49"/>
    </row>
    <row r="522">
      <c r="A522" s="49"/>
      <c r="B522" s="49"/>
      <c r="C522" s="146"/>
      <c r="D522" s="146"/>
      <c r="E522" s="49"/>
      <c r="F522" s="49"/>
      <c r="G522" s="49"/>
      <c r="H522" s="42"/>
      <c r="I522" s="49"/>
      <c r="J522" s="42"/>
      <c r="K522" s="49"/>
      <c r="L522" s="49"/>
      <c r="M522" s="42"/>
      <c r="N522" s="42"/>
      <c r="O522" s="42"/>
      <c r="P522" s="42"/>
      <c r="Q522" s="49"/>
      <c r="R522" s="49"/>
      <c r="S522" s="49"/>
      <c r="T522" s="49"/>
      <c r="U522" s="49"/>
      <c r="V522" s="49"/>
      <c r="W522" s="49"/>
      <c r="X522" s="49"/>
      <c r="Y522" s="49"/>
      <c r="Z522" s="49"/>
      <c r="AA522" s="49"/>
      <c r="AB522" s="49"/>
      <c r="AC522" s="49"/>
      <c r="AD522" s="49"/>
    </row>
    <row r="523">
      <c r="A523" s="49"/>
      <c r="B523" s="49"/>
      <c r="C523" s="146"/>
      <c r="D523" s="146"/>
      <c r="E523" s="49"/>
      <c r="F523" s="49"/>
      <c r="G523" s="49"/>
      <c r="H523" s="42"/>
      <c r="I523" s="49"/>
      <c r="J523" s="42"/>
      <c r="K523" s="49"/>
      <c r="L523" s="49"/>
      <c r="M523" s="42"/>
      <c r="N523" s="42"/>
      <c r="O523" s="42"/>
      <c r="P523" s="42"/>
      <c r="Q523" s="49"/>
      <c r="R523" s="49"/>
      <c r="S523" s="49"/>
      <c r="T523" s="49"/>
      <c r="U523" s="49"/>
      <c r="V523" s="49"/>
      <c r="W523" s="49"/>
      <c r="X523" s="49"/>
      <c r="Y523" s="49"/>
      <c r="Z523" s="49"/>
      <c r="AA523" s="49"/>
      <c r="AB523" s="49"/>
      <c r="AC523" s="49"/>
      <c r="AD523" s="49"/>
    </row>
    <row r="524">
      <c r="A524" s="49"/>
      <c r="B524" s="49"/>
      <c r="C524" s="146"/>
      <c r="D524" s="146"/>
      <c r="E524" s="49"/>
      <c r="F524" s="49"/>
      <c r="G524" s="49"/>
      <c r="H524" s="42"/>
      <c r="I524" s="49"/>
      <c r="J524" s="42"/>
      <c r="K524" s="49"/>
      <c r="L524" s="49"/>
      <c r="M524" s="42"/>
      <c r="N524" s="42"/>
      <c r="O524" s="42"/>
      <c r="P524" s="42"/>
      <c r="Q524" s="49"/>
      <c r="R524" s="49"/>
      <c r="S524" s="49"/>
      <c r="T524" s="49"/>
      <c r="U524" s="49"/>
      <c r="V524" s="49"/>
      <c r="W524" s="49"/>
      <c r="X524" s="49"/>
      <c r="Y524" s="49"/>
      <c r="Z524" s="49"/>
      <c r="AA524" s="49"/>
      <c r="AB524" s="49"/>
      <c r="AC524" s="49"/>
      <c r="AD524" s="49"/>
    </row>
    <row r="525">
      <c r="A525" s="49"/>
      <c r="B525" s="49"/>
      <c r="C525" s="146"/>
      <c r="D525" s="146"/>
      <c r="E525" s="49"/>
      <c r="F525" s="49"/>
      <c r="G525" s="49"/>
      <c r="H525" s="42"/>
      <c r="I525" s="49"/>
      <c r="J525" s="42"/>
      <c r="K525" s="49"/>
      <c r="L525" s="49"/>
      <c r="M525" s="42"/>
      <c r="N525" s="42"/>
      <c r="O525" s="42"/>
      <c r="P525" s="42"/>
      <c r="Q525" s="49"/>
      <c r="R525" s="49"/>
      <c r="S525" s="49"/>
      <c r="T525" s="49"/>
      <c r="U525" s="49"/>
      <c r="V525" s="49"/>
      <c r="W525" s="49"/>
      <c r="X525" s="49"/>
      <c r="Y525" s="49"/>
      <c r="Z525" s="49"/>
      <c r="AA525" s="49"/>
      <c r="AB525" s="49"/>
      <c r="AC525" s="49"/>
      <c r="AD525" s="49"/>
    </row>
    <row r="526">
      <c r="A526" s="49"/>
      <c r="B526" s="49"/>
      <c r="C526" s="146"/>
      <c r="D526" s="146"/>
      <c r="E526" s="49"/>
      <c r="F526" s="49"/>
      <c r="G526" s="49"/>
      <c r="H526" s="42"/>
      <c r="I526" s="49"/>
      <c r="J526" s="42"/>
      <c r="K526" s="49"/>
      <c r="L526" s="49"/>
      <c r="M526" s="42"/>
      <c r="N526" s="42"/>
      <c r="O526" s="42"/>
      <c r="P526" s="42"/>
      <c r="Q526" s="49"/>
      <c r="R526" s="49"/>
      <c r="S526" s="49"/>
      <c r="T526" s="49"/>
      <c r="U526" s="49"/>
      <c r="V526" s="49"/>
      <c r="W526" s="49"/>
      <c r="X526" s="49"/>
      <c r="Y526" s="49"/>
      <c r="Z526" s="49"/>
      <c r="AA526" s="49"/>
      <c r="AB526" s="49"/>
      <c r="AC526" s="49"/>
      <c r="AD526" s="49"/>
    </row>
    <row r="527">
      <c r="A527" s="49"/>
      <c r="B527" s="49"/>
      <c r="C527" s="146"/>
      <c r="D527" s="146"/>
      <c r="E527" s="49"/>
      <c r="F527" s="49"/>
      <c r="G527" s="49"/>
      <c r="H527" s="42"/>
      <c r="I527" s="49"/>
      <c r="J527" s="42"/>
      <c r="K527" s="49"/>
      <c r="L527" s="49"/>
      <c r="M527" s="42"/>
      <c r="N527" s="42"/>
      <c r="O527" s="42"/>
      <c r="P527" s="42"/>
      <c r="Q527" s="49"/>
      <c r="R527" s="49"/>
      <c r="S527" s="49"/>
      <c r="T527" s="49"/>
      <c r="U527" s="49"/>
      <c r="V527" s="49"/>
      <c r="W527" s="49"/>
      <c r="X527" s="49"/>
      <c r="Y527" s="49"/>
      <c r="Z527" s="49"/>
      <c r="AA527" s="49"/>
      <c r="AB527" s="49"/>
      <c r="AC527" s="49"/>
      <c r="AD527" s="49"/>
    </row>
    <row r="528">
      <c r="A528" s="49"/>
      <c r="B528" s="49"/>
      <c r="C528" s="146"/>
      <c r="D528" s="146"/>
      <c r="E528" s="49"/>
      <c r="F528" s="49"/>
      <c r="G528" s="49"/>
      <c r="H528" s="42"/>
      <c r="I528" s="49"/>
      <c r="J528" s="42"/>
      <c r="K528" s="49"/>
      <c r="L528" s="49"/>
      <c r="M528" s="42"/>
      <c r="N528" s="42"/>
      <c r="O528" s="42"/>
      <c r="P528" s="42"/>
      <c r="Q528" s="49"/>
      <c r="R528" s="49"/>
      <c r="S528" s="49"/>
      <c r="T528" s="49"/>
      <c r="U528" s="49"/>
      <c r="V528" s="49"/>
      <c r="W528" s="49"/>
      <c r="X528" s="49"/>
      <c r="Y528" s="49"/>
      <c r="Z528" s="49"/>
      <c r="AA528" s="49"/>
      <c r="AB528" s="49"/>
      <c r="AC528" s="49"/>
      <c r="AD528" s="49"/>
    </row>
    <row r="529">
      <c r="A529" s="49"/>
      <c r="B529" s="49"/>
      <c r="C529" s="146"/>
      <c r="D529" s="146"/>
      <c r="E529" s="49"/>
      <c r="F529" s="49"/>
      <c r="G529" s="49"/>
      <c r="H529" s="42"/>
      <c r="I529" s="49"/>
      <c r="J529" s="42"/>
      <c r="K529" s="49"/>
      <c r="L529" s="49"/>
      <c r="M529" s="42"/>
      <c r="N529" s="42"/>
      <c r="O529" s="42"/>
      <c r="P529" s="42"/>
      <c r="Q529" s="49"/>
      <c r="R529" s="49"/>
      <c r="S529" s="49"/>
      <c r="T529" s="49"/>
      <c r="U529" s="49"/>
      <c r="V529" s="49"/>
      <c r="W529" s="49"/>
      <c r="X529" s="49"/>
      <c r="Y529" s="49"/>
      <c r="Z529" s="49"/>
      <c r="AA529" s="49"/>
      <c r="AB529" s="49"/>
      <c r="AC529" s="49"/>
      <c r="AD529" s="49"/>
    </row>
    <row r="530">
      <c r="A530" s="49"/>
      <c r="B530" s="49"/>
      <c r="C530" s="146"/>
      <c r="D530" s="146"/>
      <c r="E530" s="49"/>
      <c r="F530" s="49"/>
      <c r="G530" s="49"/>
      <c r="H530" s="42"/>
      <c r="I530" s="49"/>
      <c r="J530" s="42"/>
      <c r="K530" s="49"/>
      <c r="L530" s="49"/>
      <c r="M530" s="42"/>
      <c r="N530" s="42"/>
      <c r="O530" s="42"/>
      <c r="P530" s="42"/>
      <c r="Q530" s="49"/>
      <c r="R530" s="49"/>
      <c r="S530" s="49"/>
      <c r="T530" s="49"/>
      <c r="U530" s="49"/>
      <c r="V530" s="49"/>
      <c r="W530" s="49"/>
      <c r="X530" s="49"/>
      <c r="Y530" s="49"/>
      <c r="Z530" s="49"/>
      <c r="AA530" s="49"/>
      <c r="AB530" s="49"/>
      <c r="AC530" s="49"/>
      <c r="AD530" s="49"/>
    </row>
    <row r="531">
      <c r="A531" s="49"/>
      <c r="B531" s="49"/>
      <c r="C531" s="146"/>
      <c r="D531" s="146"/>
      <c r="E531" s="49"/>
      <c r="F531" s="49"/>
      <c r="G531" s="49"/>
      <c r="H531" s="42"/>
      <c r="I531" s="49"/>
      <c r="J531" s="42"/>
      <c r="K531" s="49"/>
      <c r="L531" s="49"/>
      <c r="M531" s="42"/>
      <c r="N531" s="42"/>
      <c r="O531" s="42"/>
      <c r="P531" s="42"/>
      <c r="Q531" s="49"/>
      <c r="R531" s="49"/>
      <c r="S531" s="49"/>
      <c r="T531" s="49"/>
      <c r="U531" s="49"/>
      <c r="V531" s="49"/>
      <c r="W531" s="49"/>
      <c r="X531" s="49"/>
      <c r="Y531" s="49"/>
      <c r="Z531" s="49"/>
      <c r="AA531" s="49"/>
      <c r="AB531" s="49"/>
      <c r="AC531" s="49"/>
      <c r="AD531" s="49"/>
    </row>
    <row r="532">
      <c r="A532" s="49"/>
      <c r="B532" s="49"/>
      <c r="C532" s="146"/>
      <c r="D532" s="146"/>
      <c r="E532" s="49"/>
      <c r="F532" s="49"/>
      <c r="G532" s="49"/>
      <c r="H532" s="42"/>
      <c r="I532" s="49"/>
      <c r="J532" s="42"/>
      <c r="K532" s="49"/>
      <c r="L532" s="49"/>
      <c r="M532" s="42"/>
      <c r="N532" s="42"/>
      <c r="O532" s="42"/>
      <c r="P532" s="42"/>
      <c r="Q532" s="49"/>
      <c r="R532" s="49"/>
      <c r="S532" s="49"/>
      <c r="T532" s="49"/>
      <c r="U532" s="49"/>
      <c r="V532" s="49"/>
      <c r="W532" s="49"/>
      <c r="X532" s="49"/>
      <c r="Y532" s="49"/>
      <c r="Z532" s="49"/>
      <c r="AA532" s="49"/>
      <c r="AB532" s="49"/>
      <c r="AC532" s="49"/>
      <c r="AD532" s="49"/>
    </row>
    <row r="533">
      <c r="A533" s="49"/>
      <c r="B533" s="49"/>
      <c r="C533" s="146"/>
      <c r="D533" s="146"/>
      <c r="E533" s="49"/>
      <c r="F533" s="49"/>
      <c r="G533" s="49"/>
      <c r="H533" s="42"/>
      <c r="I533" s="49"/>
      <c r="J533" s="42"/>
      <c r="K533" s="49"/>
      <c r="L533" s="49"/>
      <c r="M533" s="42"/>
      <c r="N533" s="42"/>
      <c r="O533" s="42"/>
      <c r="P533" s="42"/>
      <c r="Q533" s="49"/>
      <c r="R533" s="49"/>
      <c r="S533" s="49"/>
      <c r="T533" s="49"/>
      <c r="U533" s="49"/>
      <c r="V533" s="49"/>
      <c r="W533" s="49"/>
      <c r="X533" s="49"/>
      <c r="Y533" s="49"/>
      <c r="Z533" s="49"/>
      <c r="AA533" s="49"/>
      <c r="AB533" s="49"/>
      <c r="AC533" s="49"/>
      <c r="AD533" s="49"/>
    </row>
    <row r="534">
      <c r="A534" s="49"/>
      <c r="B534" s="49"/>
      <c r="C534" s="146"/>
      <c r="D534" s="146"/>
      <c r="E534" s="49"/>
      <c r="F534" s="49"/>
      <c r="G534" s="49"/>
      <c r="H534" s="42"/>
      <c r="I534" s="49"/>
      <c r="J534" s="42"/>
      <c r="K534" s="49"/>
      <c r="L534" s="49"/>
      <c r="M534" s="42"/>
      <c r="N534" s="42"/>
      <c r="O534" s="42"/>
      <c r="P534" s="42"/>
      <c r="Q534" s="49"/>
      <c r="R534" s="49"/>
      <c r="S534" s="49"/>
      <c r="T534" s="49"/>
      <c r="U534" s="49"/>
      <c r="V534" s="49"/>
      <c r="W534" s="49"/>
      <c r="X534" s="49"/>
      <c r="Y534" s="49"/>
      <c r="Z534" s="49"/>
      <c r="AA534" s="49"/>
      <c r="AB534" s="49"/>
      <c r="AC534" s="49"/>
      <c r="AD534" s="49"/>
    </row>
    <row r="535">
      <c r="A535" s="49"/>
      <c r="B535" s="49"/>
      <c r="C535" s="146"/>
      <c r="D535" s="146"/>
      <c r="E535" s="49"/>
      <c r="F535" s="49"/>
      <c r="G535" s="49"/>
      <c r="H535" s="42"/>
      <c r="I535" s="49"/>
      <c r="J535" s="42"/>
      <c r="K535" s="49"/>
      <c r="L535" s="49"/>
      <c r="M535" s="42"/>
      <c r="N535" s="42"/>
      <c r="O535" s="42"/>
      <c r="P535" s="42"/>
      <c r="Q535" s="49"/>
      <c r="R535" s="49"/>
      <c r="S535" s="49"/>
      <c r="T535" s="49"/>
      <c r="U535" s="49"/>
      <c r="V535" s="49"/>
      <c r="W535" s="49"/>
      <c r="X535" s="49"/>
      <c r="Y535" s="49"/>
      <c r="Z535" s="49"/>
      <c r="AA535" s="49"/>
      <c r="AB535" s="49"/>
      <c r="AC535" s="49"/>
      <c r="AD535" s="49"/>
    </row>
    <row r="536">
      <c r="A536" s="49"/>
      <c r="B536" s="49"/>
      <c r="C536" s="146"/>
      <c r="D536" s="146"/>
      <c r="E536" s="49"/>
      <c r="F536" s="49"/>
      <c r="G536" s="49"/>
      <c r="H536" s="42"/>
      <c r="I536" s="49"/>
      <c r="J536" s="42"/>
      <c r="K536" s="49"/>
      <c r="L536" s="49"/>
      <c r="M536" s="42"/>
      <c r="N536" s="42"/>
      <c r="O536" s="42"/>
      <c r="P536" s="42"/>
      <c r="Q536" s="49"/>
      <c r="R536" s="49"/>
      <c r="S536" s="49"/>
      <c r="T536" s="49"/>
      <c r="U536" s="49"/>
      <c r="V536" s="49"/>
      <c r="W536" s="49"/>
      <c r="X536" s="49"/>
      <c r="Y536" s="49"/>
      <c r="Z536" s="49"/>
      <c r="AA536" s="49"/>
      <c r="AB536" s="49"/>
      <c r="AC536" s="49"/>
      <c r="AD536" s="49"/>
    </row>
    <row r="537">
      <c r="A537" s="49"/>
      <c r="B537" s="49"/>
      <c r="C537" s="146"/>
      <c r="D537" s="146"/>
      <c r="E537" s="49"/>
      <c r="F537" s="49"/>
      <c r="G537" s="49"/>
      <c r="H537" s="42"/>
      <c r="I537" s="49"/>
      <c r="J537" s="42"/>
      <c r="K537" s="49"/>
      <c r="L537" s="49"/>
      <c r="M537" s="42"/>
      <c r="N537" s="42"/>
      <c r="O537" s="42"/>
      <c r="P537" s="42"/>
      <c r="Q537" s="49"/>
      <c r="R537" s="49"/>
      <c r="S537" s="49"/>
      <c r="T537" s="49"/>
      <c r="U537" s="49"/>
      <c r="V537" s="49"/>
      <c r="W537" s="49"/>
      <c r="X537" s="49"/>
      <c r="Y537" s="49"/>
      <c r="Z537" s="49"/>
      <c r="AA537" s="49"/>
      <c r="AB537" s="49"/>
      <c r="AC537" s="49"/>
      <c r="AD537" s="49"/>
    </row>
    <row r="538">
      <c r="A538" s="49"/>
      <c r="B538" s="49"/>
      <c r="C538" s="146"/>
      <c r="D538" s="146"/>
      <c r="E538" s="49"/>
      <c r="F538" s="49"/>
      <c r="G538" s="49"/>
      <c r="H538" s="42"/>
      <c r="I538" s="49"/>
      <c r="J538" s="42"/>
      <c r="K538" s="49"/>
      <c r="L538" s="49"/>
      <c r="M538" s="42"/>
      <c r="N538" s="42"/>
      <c r="O538" s="42"/>
      <c r="P538" s="42"/>
      <c r="Q538" s="49"/>
      <c r="R538" s="49"/>
      <c r="S538" s="49"/>
      <c r="T538" s="49"/>
      <c r="U538" s="49"/>
      <c r="V538" s="49"/>
      <c r="W538" s="49"/>
      <c r="X538" s="49"/>
      <c r="Y538" s="49"/>
      <c r="Z538" s="49"/>
      <c r="AA538" s="49"/>
      <c r="AB538" s="49"/>
      <c r="AC538" s="49"/>
      <c r="AD538" s="49"/>
    </row>
    <row r="539">
      <c r="A539" s="49"/>
      <c r="B539" s="49"/>
      <c r="C539" s="146"/>
      <c r="D539" s="146"/>
      <c r="E539" s="49"/>
      <c r="F539" s="49"/>
      <c r="G539" s="49"/>
      <c r="H539" s="42"/>
      <c r="I539" s="49"/>
      <c r="J539" s="42"/>
      <c r="K539" s="49"/>
      <c r="L539" s="49"/>
      <c r="M539" s="42"/>
      <c r="N539" s="42"/>
      <c r="O539" s="42"/>
      <c r="P539" s="42"/>
      <c r="Q539" s="49"/>
      <c r="R539" s="49"/>
      <c r="S539" s="49"/>
      <c r="T539" s="49"/>
      <c r="U539" s="49"/>
      <c r="V539" s="49"/>
      <c r="W539" s="49"/>
      <c r="X539" s="49"/>
      <c r="Y539" s="49"/>
      <c r="Z539" s="49"/>
      <c r="AA539" s="49"/>
      <c r="AB539" s="49"/>
      <c r="AC539" s="49"/>
      <c r="AD539" s="49"/>
    </row>
    <row r="540">
      <c r="A540" s="49"/>
      <c r="B540" s="49"/>
      <c r="C540" s="146"/>
      <c r="D540" s="146"/>
      <c r="E540" s="49"/>
      <c r="F540" s="49"/>
      <c r="G540" s="49"/>
      <c r="H540" s="42"/>
      <c r="I540" s="49"/>
      <c r="J540" s="42"/>
      <c r="K540" s="49"/>
      <c r="L540" s="49"/>
      <c r="M540" s="42"/>
      <c r="N540" s="42"/>
      <c r="O540" s="42"/>
      <c r="P540" s="42"/>
      <c r="Q540" s="49"/>
      <c r="R540" s="49"/>
      <c r="S540" s="49"/>
      <c r="T540" s="49"/>
      <c r="U540" s="49"/>
      <c r="V540" s="49"/>
      <c r="W540" s="49"/>
      <c r="X540" s="49"/>
      <c r="Y540" s="49"/>
      <c r="Z540" s="49"/>
      <c r="AA540" s="49"/>
      <c r="AB540" s="49"/>
      <c r="AC540" s="49"/>
      <c r="AD540" s="49"/>
    </row>
    <row r="541">
      <c r="A541" s="49"/>
      <c r="B541" s="49"/>
      <c r="C541" s="146"/>
      <c r="D541" s="146"/>
      <c r="E541" s="49"/>
      <c r="F541" s="49"/>
      <c r="G541" s="49"/>
      <c r="H541" s="42"/>
      <c r="I541" s="49"/>
      <c r="J541" s="42"/>
      <c r="K541" s="49"/>
      <c r="L541" s="49"/>
      <c r="M541" s="42"/>
      <c r="N541" s="42"/>
      <c r="O541" s="42"/>
      <c r="P541" s="42"/>
      <c r="Q541" s="49"/>
      <c r="R541" s="49"/>
      <c r="S541" s="49"/>
      <c r="T541" s="49"/>
      <c r="U541" s="49"/>
      <c r="V541" s="49"/>
      <c r="W541" s="49"/>
      <c r="X541" s="49"/>
      <c r="Y541" s="49"/>
      <c r="Z541" s="49"/>
      <c r="AA541" s="49"/>
      <c r="AB541" s="49"/>
      <c r="AC541" s="49"/>
      <c r="AD541" s="49"/>
    </row>
    <row r="542">
      <c r="A542" s="49"/>
      <c r="B542" s="49"/>
      <c r="C542" s="146"/>
      <c r="D542" s="146"/>
      <c r="E542" s="49"/>
      <c r="F542" s="49"/>
      <c r="G542" s="49"/>
      <c r="H542" s="42"/>
      <c r="I542" s="49"/>
      <c r="J542" s="42"/>
      <c r="K542" s="49"/>
      <c r="L542" s="49"/>
      <c r="M542" s="42"/>
      <c r="N542" s="42"/>
      <c r="O542" s="42"/>
      <c r="P542" s="42"/>
      <c r="Q542" s="49"/>
      <c r="R542" s="49"/>
      <c r="S542" s="49"/>
      <c r="T542" s="49"/>
      <c r="U542" s="49"/>
      <c r="V542" s="49"/>
      <c r="W542" s="49"/>
      <c r="X542" s="49"/>
      <c r="Y542" s="49"/>
      <c r="Z542" s="49"/>
      <c r="AA542" s="49"/>
      <c r="AB542" s="49"/>
      <c r="AC542" s="49"/>
      <c r="AD542" s="49"/>
    </row>
    <row r="543">
      <c r="A543" s="49"/>
      <c r="B543" s="49"/>
      <c r="C543" s="146"/>
      <c r="D543" s="146"/>
      <c r="E543" s="49"/>
      <c r="F543" s="49"/>
      <c r="G543" s="49"/>
      <c r="H543" s="42"/>
      <c r="I543" s="49"/>
      <c r="J543" s="42"/>
      <c r="K543" s="49"/>
      <c r="L543" s="49"/>
      <c r="M543" s="42"/>
      <c r="N543" s="42"/>
      <c r="O543" s="42"/>
      <c r="P543" s="42"/>
      <c r="Q543" s="49"/>
      <c r="R543" s="49"/>
      <c r="S543" s="49"/>
      <c r="T543" s="49"/>
      <c r="U543" s="49"/>
      <c r="V543" s="49"/>
      <c r="W543" s="49"/>
      <c r="X543" s="49"/>
      <c r="Y543" s="49"/>
      <c r="Z543" s="49"/>
      <c r="AA543" s="49"/>
      <c r="AB543" s="49"/>
      <c r="AC543" s="49"/>
      <c r="AD543" s="49"/>
    </row>
    <row r="544">
      <c r="A544" s="49"/>
      <c r="B544" s="49"/>
      <c r="C544" s="146"/>
      <c r="D544" s="146"/>
      <c r="E544" s="49"/>
      <c r="F544" s="49"/>
      <c r="G544" s="49"/>
      <c r="H544" s="42"/>
      <c r="I544" s="49"/>
      <c r="J544" s="42"/>
      <c r="K544" s="49"/>
      <c r="L544" s="49"/>
      <c r="M544" s="42"/>
      <c r="N544" s="42"/>
      <c r="O544" s="42"/>
      <c r="P544" s="42"/>
      <c r="Q544" s="49"/>
      <c r="R544" s="49"/>
      <c r="S544" s="49"/>
      <c r="T544" s="49"/>
      <c r="U544" s="49"/>
      <c r="V544" s="49"/>
      <c r="W544" s="49"/>
      <c r="X544" s="49"/>
      <c r="Y544" s="49"/>
      <c r="Z544" s="49"/>
      <c r="AA544" s="49"/>
      <c r="AB544" s="49"/>
      <c r="AC544" s="49"/>
      <c r="AD544" s="49"/>
    </row>
    <row r="545">
      <c r="A545" s="49"/>
      <c r="B545" s="49"/>
      <c r="C545" s="146"/>
      <c r="D545" s="146"/>
      <c r="E545" s="49"/>
      <c r="F545" s="49"/>
      <c r="G545" s="49"/>
      <c r="H545" s="42"/>
      <c r="I545" s="49"/>
      <c r="J545" s="42"/>
      <c r="K545" s="49"/>
      <c r="L545" s="49"/>
      <c r="M545" s="42"/>
      <c r="N545" s="42"/>
      <c r="O545" s="42"/>
      <c r="P545" s="42"/>
      <c r="Q545" s="49"/>
      <c r="R545" s="49"/>
      <c r="S545" s="49"/>
      <c r="T545" s="49"/>
      <c r="U545" s="49"/>
      <c r="V545" s="49"/>
      <c r="W545" s="49"/>
      <c r="X545" s="49"/>
      <c r="Y545" s="49"/>
      <c r="Z545" s="49"/>
      <c r="AA545" s="49"/>
      <c r="AB545" s="49"/>
      <c r="AC545" s="49"/>
      <c r="AD545" s="49"/>
    </row>
    <row r="546">
      <c r="A546" s="49"/>
      <c r="B546" s="49"/>
      <c r="C546" s="146"/>
      <c r="D546" s="146"/>
      <c r="E546" s="49"/>
      <c r="F546" s="49"/>
      <c r="G546" s="49"/>
      <c r="H546" s="42"/>
      <c r="I546" s="49"/>
      <c r="J546" s="42"/>
      <c r="K546" s="49"/>
      <c r="L546" s="49"/>
      <c r="M546" s="42"/>
      <c r="N546" s="42"/>
      <c r="O546" s="42"/>
      <c r="P546" s="42"/>
      <c r="Q546" s="49"/>
      <c r="R546" s="49"/>
      <c r="S546" s="49"/>
      <c r="T546" s="49"/>
      <c r="U546" s="49"/>
      <c r="V546" s="49"/>
      <c r="W546" s="49"/>
      <c r="X546" s="49"/>
      <c r="Y546" s="49"/>
      <c r="Z546" s="49"/>
      <c r="AA546" s="49"/>
      <c r="AB546" s="49"/>
      <c r="AC546" s="49"/>
      <c r="AD546" s="49"/>
    </row>
    <row r="547">
      <c r="A547" s="49"/>
      <c r="B547" s="49"/>
      <c r="C547" s="146"/>
      <c r="D547" s="146"/>
      <c r="E547" s="49"/>
      <c r="F547" s="49"/>
      <c r="G547" s="49"/>
      <c r="H547" s="42"/>
      <c r="I547" s="49"/>
      <c r="J547" s="42"/>
      <c r="K547" s="49"/>
      <c r="L547" s="49"/>
      <c r="M547" s="42"/>
      <c r="N547" s="42"/>
      <c r="O547" s="42"/>
      <c r="P547" s="42"/>
      <c r="Q547" s="49"/>
      <c r="R547" s="49"/>
      <c r="S547" s="49"/>
      <c r="T547" s="49"/>
      <c r="U547" s="49"/>
      <c r="V547" s="49"/>
      <c r="W547" s="49"/>
      <c r="X547" s="49"/>
      <c r="Y547" s="49"/>
      <c r="Z547" s="49"/>
      <c r="AA547" s="49"/>
      <c r="AB547" s="49"/>
      <c r="AC547" s="49"/>
      <c r="AD547" s="49"/>
    </row>
    <row r="548">
      <c r="A548" s="49"/>
      <c r="B548" s="49"/>
      <c r="C548" s="146"/>
      <c r="D548" s="146"/>
      <c r="E548" s="49"/>
      <c r="F548" s="49"/>
      <c r="G548" s="49"/>
      <c r="H548" s="42"/>
      <c r="I548" s="49"/>
      <c r="J548" s="42"/>
      <c r="K548" s="49"/>
      <c r="L548" s="49"/>
      <c r="M548" s="42"/>
      <c r="N548" s="42"/>
      <c r="O548" s="42"/>
      <c r="P548" s="42"/>
      <c r="Q548" s="49"/>
      <c r="R548" s="49"/>
      <c r="S548" s="49"/>
      <c r="T548" s="49"/>
      <c r="U548" s="49"/>
      <c r="V548" s="49"/>
      <c r="W548" s="49"/>
      <c r="X548" s="49"/>
      <c r="Y548" s="49"/>
      <c r="Z548" s="49"/>
      <c r="AA548" s="49"/>
      <c r="AB548" s="49"/>
      <c r="AC548" s="49"/>
      <c r="AD548" s="49"/>
    </row>
    <row r="549">
      <c r="A549" s="49"/>
      <c r="B549" s="49"/>
      <c r="C549" s="146"/>
      <c r="D549" s="146"/>
      <c r="E549" s="49"/>
      <c r="F549" s="49"/>
      <c r="G549" s="49"/>
      <c r="H549" s="42"/>
      <c r="I549" s="49"/>
      <c r="J549" s="42"/>
      <c r="K549" s="49"/>
      <c r="L549" s="49"/>
      <c r="M549" s="42"/>
      <c r="N549" s="42"/>
      <c r="O549" s="42"/>
      <c r="P549" s="42"/>
      <c r="Q549" s="49"/>
      <c r="R549" s="49"/>
      <c r="S549" s="49"/>
      <c r="T549" s="49"/>
      <c r="U549" s="49"/>
      <c r="V549" s="49"/>
      <c r="W549" s="49"/>
      <c r="X549" s="49"/>
      <c r="Y549" s="49"/>
      <c r="Z549" s="49"/>
      <c r="AA549" s="49"/>
      <c r="AB549" s="49"/>
      <c r="AC549" s="49"/>
      <c r="AD549" s="49"/>
    </row>
    <row r="550">
      <c r="A550" s="49"/>
      <c r="B550" s="49"/>
      <c r="C550" s="146"/>
      <c r="D550" s="146"/>
      <c r="E550" s="49"/>
      <c r="F550" s="49"/>
      <c r="G550" s="49"/>
      <c r="H550" s="42"/>
      <c r="I550" s="49"/>
      <c r="J550" s="42"/>
      <c r="K550" s="49"/>
      <c r="L550" s="49"/>
      <c r="M550" s="42"/>
      <c r="N550" s="42"/>
      <c r="O550" s="42"/>
      <c r="P550" s="42"/>
      <c r="Q550" s="49"/>
      <c r="R550" s="49"/>
      <c r="S550" s="49"/>
      <c r="T550" s="49"/>
      <c r="U550" s="49"/>
      <c r="V550" s="49"/>
      <c r="W550" s="49"/>
      <c r="X550" s="49"/>
      <c r="Y550" s="49"/>
      <c r="Z550" s="49"/>
      <c r="AA550" s="49"/>
      <c r="AB550" s="49"/>
      <c r="AC550" s="49"/>
      <c r="AD550" s="49"/>
    </row>
    <row r="551">
      <c r="A551" s="49"/>
      <c r="B551" s="49"/>
      <c r="C551" s="146"/>
      <c r="D551" s="146"/>
      <c r="E551" s="49"/>
      <c r="F551" s="49"/>
      <c r="G551" s="49"/>
      <c r="H551" s="42"/>
      <c r="I551" s="49"/>
      <c r="J551" s="42"/>
      <c r="K551" s="49"/>
      <c r="L551" s="49"/>
      <c r="M551" s="42"/>
      <c r="N551" s="42"/>
      <c r="O551" s="42"/>
      <c r="P551" s="42"/>
      <c r="Q551" s="49"/>
      <c r="R551" s="49"/>
      <c r="S551" s="49"/>
      <c r="T551" s="49"/>
      <c r="U551" s="49"/>
      <c r="V551" s="49"/>
      <c r="W551" s="49"/>
      <c r="X551" s="49"/>
      <c r="Y551" s="49"/>
      <c r="Z551" s="49"/>
      <c r="AA551" s="49"/>
      <c r="AB551" s="49"/>
      <c r="AC551" s="49"/>
      <c r="AD551" s="49"/>
    </row>
    <row r="552">
      <c r="A552" s="49"/>
      <c r="B552" s="49"/>
      <c r="C552" s="146"/>
      <c r="D552" s="146"/>
      <c r="E552" s="49"/>
      <c r="F552" s="49"/>
      <c r="G552" s="49"/>
      <c r="H552" s="42"/>
      <c r="I552" s="49"/>
      <c r="J552" s="42"/>
      <c r="K552" s="49"/>
      <c r="L552" s="49"/>
      <c r="M552" s="42"/>
      <c r="N552" s="42"/>
      <c r="O552" s="42"/>
      <c r="P552" s="42"/>
      <c r="Q552" s="49"/>
      <c r="R552" s="49"/>
      <c r="S552" s="49"/>
      <c r="T552" s="49"/>
      <c r="U552" s="49"/>
      <c r="V552" s="49"/>
      <c r="W552" s="49"/>
      <c r="X552" s="49"/>
      <c r="Y552" s="49"/>
      <c r="Z552" s="49"/>
      <c r="AA552" s="49"/>
      <c r="AB552" s="49"/>
      <c r="AC552" s="49"/>
      <c r="AD552" s="49"/>
    </row>
    <row r="553">
      <c r="A553" s="49"/>
      <c r="B553" s="49"/>
      <c r="C553" s="146"/>
      <c r="D553" s="146"/>
      <c r="E553" s="49"/>
      <c r="F553" s="49"/>
      <c r="G553" s="49"/>
      <c r="H553" s="42"/>
      <c r="I553" s="49"/>
      <c r="J553" s="42"/>
      <c r="K553" s="49"/>
      <c r="L553" s="49"/>
      <c r="M553" s="42"/>
      <c r="N553" s="42"/>
      <c r="O553" s="42"/>
      <c r="P553" s="42"/>
      <c r="Q553" s="49"/>
      <c r="R553" s="49"/>
      <c r="S553" s="49"/>
      <c r="T553" s="49"/>
      <c r="U553" s="49"/>
      <c r="V553" s="49"/>
      <c r="W553" s="49"/>
      <c r="X553" s="49"/>
      <c r="Y553" s="49"/>
      <c r="Z553" s="49"/>
      <c r="AA553" s="49"/>
      <c r="AB553" s="49"/>
      <c r="AC553" s="49"/>
      <c r="AD553" s="49"/>
    </row>
    <row r="554">
      <c r="A554" s="49"/>
      <c r="B554" s="49"/>
      <c r="C554" s="146"/>
      <c r="D554" s="146"/>
      <c r="E554" s="49"/>
      <c r="F554" s="49"/>
      <c r="G554" s="49"/>
      <c r="H554" s="42"/>
      <c r="I554" s="49"/>
      <c r="J554" s="42"/>
      <c r="K554" s="49"/>
      <c r="L554" s="49"/>
      <c r="M554" s="42"/>
      <c r="N554" s="42"/>
      <c r="O554" s="42"/>
      <c r="P554" s="42"/>
      <c r="Q554" s="49"/>
      <c r="R554" s="49"/>
      <c r="S554" s="49"/>
      <c r="T554" s="49"/>
      <c r="U554" s="49"/>
      <c r="V554" s="49"/>
      <c r="W554" s="49"/>
      <c r="X554" s="49"/>
      <c r="Y554" s="49"/>
      <c r="Z554" s="49"/>
      <c r="AA554" s="49"/>
      <c r="AB554" s="49"/>
      <c r="AC554" s="49"/>
      <c r="AD554" s="49"/>
    </row>
    <row r="555">
      <c r="A555" s="49"/>
      <c r="B555" s="49"/>
      <c r="C555" s="146"/>
      <c r="D555" s="146"/>
      <c r="E555" s="49"/>
      <c r="F555" s="49"/>
      <c r="G555" s="49"/>
      <c r="H555" s="42"/>
      <c r="I555" s="49"/>
      <c r="J555" s="42"/>
      <c r="K555" s="49"/>
      <c r="L555" s="49"/>
      <c r="M555" s="42"/>
      <c r="N555" s="42"/>
      <c r="O555" s="42"/>
      <c r="P555" s="42"/>
      <c r="Q555" s="49"/>
      <c r="R555" s="49"/>
      <c r="S555" s="49"/>
      <c r="T555" s="49"/>
      <c r="U555" s="49"/>
      <c r="V555" s="49"/>
      <c r="W555" s="49"/>
      <c r="X555" s="49"/>
      <c r="Y555" s="49"/>
      <c r="Z555" s="49"/>
      <c r="AA555" s="49"/>
      <c r="AB555" s="49"/>
      <c r="AC555" s="49"/>
      <c r="AD555" s="49"/>
    </row>
    <row r="556">
      <c r="A556" s="49"/>
      <c r="B556" s="49"/>
      <c r="C556" s="146"/>
      <c r="D556" s="146"/>
      <c r="E556" s="49"/>
      <c r="F556" s="49"/>
      <c r="G556" s="49"/>
      <c r="H556" s="42"/>
      <c r="I556" s="49"/>
      <c r="J556" s="42"/>
      <c r="K556" s="49"/>
      <c r="L556" s="49"/>
      <c r="M556" s="42"/>
      <c r="N556" s="42"/>
      <c r="O556" s="42"/>
      <c r="P556" s="42"/>
      <c r="Q556" s="49"/>
      <c r="R556" s="49"/>
      <c r="S556" s="49"/>
      <c r="T556" s="49"/>
      <c r="U556" s="49"/>
      <c r="V556" s="49"/>
      <c r="W556" s="49"/>
      <c r="X556" s="49"/>
      <c r="Y556" s="49"/>
      <c r="Z556" s="49"/>
      <c r="AA556" s="49"/>
      <c r="AB556" s="49"/>
      <c r="AC556" s="49"/>
      <c r="AD556" s="49"/>
    </row>
    <row r="557">
      <c r="A557" s="49"/>
      <c r="B557" s="49"/>
      <c r="C557" s="146"/>
      <c r="D557" s="146"/>
      <c r="E557" s="49"/>
      <c r="F557" s="49"/>
      <c r="G557" s="49"/>
      <c r="H557" s="42"/>
      <c r="I557" s="49"/>
      <c r="J557" s="42"/>
      <c r="K557" s="49"/>
      <c r="L557" s="49"/>
      <c r="M557" s="42"/>
      <c r="N557" s="42"/>
      <c r="O557" s="42"/>
      <c r="P557" s="42"/>
      <c r="Q557" s="49"/>
      <c r="R557" s="49"/>
      <c r="S557" s="49"/>
      <c r="T557" s="49"/>
      <c r="U557" s="49"/>
      <c r="V557" s="49"/>
      <c r="W557" s="49"/>
      <c r="X557" s="49"/>
      <c r="Y557" s="49"/>
      <c r="Z557" s="49"/>
      <c r="AA557" s="49"/>
      <c r="AB557" s="49"/>
      <c r="AC557" s="49"/>
      <c r="AD557" s="49"/>
    </row>
    <row r="558">
      <c r="A558" s="49"/>
      <c r="B558" s="49"/>
      <c r="C558" s="146"/>
      <c r="D558" s="146"/>
      <c r="E558" s="49"/>
      <c r="F558" s="49"/>
      <c r="G558" s="49"/>
      <c r="H558" s="42"/>
      <c r="I558" s="49"/>
      <c r="J558" s="42"/>
      <c r="K558" s="49"/>
      <c r="L558" s="49"/>
      <c r="M558" s="42"/>
      <c r="N558" s="42"/>
      <c r="O558" s="42"/>
      <c r="P558" s="42"/>
      <c r="Q558" s="49"/>
      <c r="R558" s="49"/>
      <c r="S558" s="49"/>
      <c r="T558" s="49"/>
      <c r="U558" s="49"/>
      <c r="V558" s="49"/>
      <c r="W558" s="49"/>
      <c r="X558" s="49"/>
      <c r="Y558" s="49"/>
      <c r="Z558" s="49"/>
      <c r="AA558" s="49"/>
      <c r="AB558" s="49"/>
      <c r="AC558" s="49"/>
      <c r="AD558" s="49"/>
    </row>
    <row r="559">
      <c r="A559" s="49"/>
      <c r="B559" s="49"/>
      <c r="C559" s="146"/>
      <c r="D559" s="146"/>
      <c r="E559" s="49"/>
      <c r="F559" s="49"/>
      <c r="G559" s="49"/>
      <c r="H559" s="42"/>
      <c r="I559" s="49"/>
      <c r="J559" s="42"/>
      <c r="K559" s="49"/>
      <c r="L559" s="49"/>
      <c r="M559" s="42"/>
      <c r="N559" s="42"/>
      <c r="O559" s="42"/>
      <c r="P559" s="42"/>
      <c r="Q559" s="49"/>
      <c r="R559" s="49"/>
      <c r="S559" s="49"/>
      <c r="T559" s="49"/>
      <c r="U559" s="49"/>
      <c r="V559" s="49"/>
      <c r="W559" s="49"/>
      <c r="X559" s="49"/>
      <c r="Y559" s="49"/>
      <c r="Z559" s="49"/>
      <c r="AA559" s="49"/>
      <c r="AB559" s="49"/>
      <c r="AC559" s="49"/>
      <c r="AD559" s="49"/>
    </row>
    <row r="560">
      <c r="A560" s="49"/>
      <c r="B560" s="49"/>
      <c r="C560" s="146"/>
      <c r="D560" s="146"/>
      <c r="E560" s="49"/>
      <c r="F560" s="49"/>
      <c r="G560" s="49"/>
      <c r="H560" s="42"/>
      <c r="I560" s="49"/>
      <c r="J560" s="42"/>
      <c r="K560" s="49"/>
      <c r="L560" s="49"/>
      <c r="M560" s="42"/>
      <c r="N560" s="42"/>
      <c r="O560" s="42"/>
      <c r="P560" s="42"/>
      <c r="Q560" s="49"/>
      <c r="R560" s="49"/>
      <c r="S560" s="49"/>
      <c r="T560" s="49"/>
      <c r="U560" s="49"/>
      <c r="V560" s="49"/>
      <c r="W560" s="49"/>
      <c r="X560" s="49"/>
      <c r="Y560" s="49"/>
      <c r="Z560" s="49"/>
      <c r="AA560" s="49"/>
      <c r="AB560" s="49"/>
      <c r="AC560" s="49"/>
      <c r="AD560" s="49"/>
    </row>
    <row r="561">
      <c r="A561" s="49"/>
      <c r="B561" s="49"/>
      <c r="C561" s="146"/>
      <c r="D561" s="146"/>
      <c r="E561" s="49"/>
      <c r="F561" s="49"/>
      <c r="G561" s="49"/>
      <c r="H561" s="42"/>
      <c r="I561" s="49"/>
      <c r="J561" s="42"/>
      <c r="K561" s="49"/>
      <c r="L561" s="49"/>
      <c r="M561" s="42"/>
      <c r="N561" s="42"/>
      <c r="O561" s="42"/>
      <c r="P561" s="42"/>
      <c r="Q561" s="49"/>
      <c r="R561" s="49"/>
      <c r="S561" s="49"/>
      <c r="T561" s="49"/>
      <c r="U561" s="49"/>
      <c r="V561" s="49"/>
      <c r="W561" s="49"/>
      <c r="X561" s="49"/>
      <c r="Y561" s="49"/>
      <c r="Z561" s="49"/>
      <c r="AA561" s="49"/>
      <c r="AB561" s="49"/>
      <c r="AC561" s="49"/>
      <c r="AD561" s="49"/>
    </row>
    <row r="562">
      <c r="A562" s="49"/>
      <c r="B562" s="49"/>
      <c r="C562" s="146"/>
      <c r="D562" s="146"/>
      <c r="E562" s="49"/>
      <c r="F562" s="49"/>
      <c r="G562" s="49"/>
      <c r="H562" s="42"/>
      <c r="I562" s="49"/>
      <c r="J562" s="42"/>
      <c r="K562" s="49"/>
      <c r="L562" s="49"/>
      <c r="M562" s="42"/>
      <c r="N562" s="42"/>
      <c r="O562" s="42"/>
      <c r="P562" s="42"/>
      <c r="Q562" s="49"/>
      <c r="R562" s="49"/>
      <c r="S562" s="49"/>
      <c r="T562" s="49"/>
      <c r="U562" s="49"/>
      <c r="V562" s="49"/>
      <c r="W562" s="49"/>
      <c r="X562" s="49"/>
      <c r="Y562" s="49"/>
      <c r="Z562" s="49"/>
      <c r="AA562" s="49"/>
      <c r="AB562" s="49"/>
      <c r="AC562" s="49"/>
      <c r="AD562" s="49"/>
    </row>
    <row r="563">
      <c r="A563" s="49"/>
      <c r="B563" s="49"/>
      <c r="C563" s="146"/>
      <c r="D563" s="146"/>
      <c r="E563" s="49"/>
      <c r="F563" s="49"/>
      <c r="G563" s="49"/>
      <c r="H563" s="42"/>
      <c r="I563" s="49"/>
      <c r="J563" s="42"/>
      <c r="K563" s="49"/>
      <c r="L563" s="49"/>
      <c r="M563" s="42"/>
      <c r="N563" s="42"/>
      <c r="O563" s="42"/>
      <c r="P563" s="42"/>
      <c r="Q563" s="49"/>
      <c r="R563" s="49"/>
      <c r="S563" s="49"/>
      <c r="T563" s="49"/>
      <c r="U563" s="49"/>
      <c r="V563" s="49"/>
      <c r="W563" s="49"/>
      <c r="X563" s="49"/>
      <c r="Y563" s="49"/>
      <c r="Z563" s="49"/>
      <c r="AA563" s="49"/>
      <c r="AB563" s="49"/>
      <c r="AC563" s="49"/>
      <c r="AD563" s="49"/>
    </row>
    <row r="564">
      <c r="A564" s="49"/>
      <c r="B564" s="49"/>
      <c r="C564" s="146"/>
      <c r="D564" s="146"/>
      <c r="E564" s="49"/>
      <c r="F564" s="49"/>
      <c r="G564" s="49"/>
      <c r="H564" s="42"/>
      <c r="I564" s="49"/>
      <c r="J564" s="42"/>
      <c r="K564" s="49"/>
      <c r="L564" s="49"/>
      <c r="M564" s="42"/>
      <c r="N564" s="42"/>
      <c r="O564" s="42"/>
      <c r="P564" s="42"/>
      <c r="Q564" s="49"/>
      <c r="R564" s="49"/>
      <c r="S564" s="49"/>
      <c r="T564" s="49"/>
      <c r="U564" s="49"/>
      <c r="V564" s="49"/>
      <c r="W564" s="49"/>
      <c r="X564" s="49"/>
      <c r="Y564" s="49"/>
      <c r="Z564" s="49"/>
      <c r="AA564" s="49"/>
      <c r="AB564" s="49"/>
      <c r="AC564" s="49"/>
      <c r="AD564" s="49"/>
    </row>
    <row r="565">
      <c r="A565" s="49"/>
      <c r="B565" s="49"/>
      <c r="C565" s="146"/>
      <c r="D565" s="146"/>
      <c r="E565" s="49"/>
      <c r="F565" s="49"/>
      <c r="G565" s="49"/>
      <c r="H565" s="42"/>
      <c r="I565" s="49"/>
      <c r="J565" s="42"/>
      <c r="K565" s="49"/>
      <c r="L565" s="49"/>
      <c r="M565" s="42"/>
      <c r="N565" s="42"/>
      <c r="O565" s="42"/>
      <c r="P565" s="42"/>
      <c r="Q565" s="49"/>
      <c r="R565" s="49"/>
      <c r="S565" s="49"/>
      <c r="T565" s="49"/>
      <c r="U565" s="49"/>
      <c r="V565" s="49"/>
      <c r="W565" s="49"/>
      <c r="X565" s="49"/>
      <c r="Y565" s="49"/>
      <c r="Z565" s="49"/>
      <c r="AA565" s="49"/>
      <c r="AB565" s="49"/>
      <c r="AC565" s="49"/>
      <c r="AD565" s="49"/>
    </row>
    <row r="566">
      <c r="A566" s="49"/>
      <c r="B566" s="49"/>
      <c r="C566" s="146"/>
      <c r="D566" s="146"/>
      <c r="E566" s="49"/>
      <c r="F566" s="49"/>
      <c r="G566" s="49"/>
      <c r="H566" s="42"/>
      <c r="I566" s="49"/>
      <c r="J566" s="42"/>
      <c r="K566" s="49"/>
      <c r="L566" s="49"/>
      <c r="M566" s="42"/>
      <c r="N566" s="42"/>
      <c r="O566" s="42"/>
      <c r="P566" s="42"/>
      <c r="Q566" s="49"/>
      <c r="R566" s="49"/>
      <c r="S566" s="49"/>
      <c r="T566" s="49"/>
      <c r="U566" s="49"/>
      <c r="V566" s="49"/>
      <c r="W566" s="49"/>
      <c r="X566" s="49"/>
      <c r="Y566" s="49"/>
      <c r="Z566" s="49"/>
      <c r="AA566" s="49"/>
      <c r="AB566" s="49"/>
      <c r="AC566" s="49"/>
      <c r="AD566" s="49"/>
    </row>
    <row r="567">
      <c r="A567" s="49"/>
      <c r="B567" s="49"/>
      <c r="C567" s="146"/>
      <c r="D567" s="146"/>
      <c r="E567" s="49"/>
      <c r="F567" s="49"/>
      <c r="G567" s="49"/>
      <c r="H567" s="42"/>
      <c r="I567" s="49"/>
      <c r="J567" s="42"/>
      <c r="K567" s="49"/>
      <c r="L567" s="49"/>
      <c r="M567" s="42"/>
      <c r="N567" s="42"/>
      <c r="O567" s="42"/>
      <c r="P567" s="42"/>
      <c r="Q567" s="49"/>
      <c r="R567" s="49"/>
      <c r="S567" s="49"/>
      <c r="T567" s="49"/>
      <c r="U567" s="49"/>
      <c r="V567" s="49"/>
      <c r="W567" s="49"/>
      <c r="X567" s="49"/>
      <c r="Y567" s="49"/>
      <c r="Z567" s="49"/>
      <c r="AA567" s="49"/>
      <c r="AB567" s="49"/>
      <c r="AC567" s="49"/>
      <c r="AD567" s="49"/>
    </row>
    <row r="568">
      <c r="A568" s="49"/>
      <c r="B568" s="49"/>
      <c r="C568" s="146"/>
      <c r="D568" s="146"/>
      <c r="E568" s="49"/>
      <c r="F568" s="49"/>
      <c r="G568" s="49"/>
      <c r="H568" s="42"/>
      <c r="I568" s="49"/>
      <c r="J568" s="42"/>
      <c r="K568" s="49"/>
      <c r="L568" s="49"/>
      <c r="M568" s="42"/>
      <c r="N568" s="42"/>
      <c r="O568" s="42"/>
      <c r="P568" s="42"/>
      <c r="Q568" s="49"/>
      <c r="R568" s="49"/>
      <c r="S568" s="49"/>
      <c r="T568" s="49"/>
      <c r="U568" s="49"/>
      <c r="V568" s="49"/>
      <c r="W568" s="49"/>
      <c r="X568" s="49"/>
      <c r="Y568" s="49"/>
      <c r="Z568" s="49"/>
      <c r="AA568" s="49"/>
      <c r="AB568" s="49"/>
      <c r="AC568" s="49"/>
      <c r="AD568" s="49"/>
    </row>
    <row r="569">
      <c r="A569" s="49"/>
      <c r="B569" s="49"/>
      <c r="C569" s="146"/>
      <c r="D569" s="146"/>
      <c r="E569" s="49"/>
      <c r="F569" s="49"/>
      <c r="G569" s="49"/>
      <c r="H569" s="42"/>
      <c r="I569" s="49"/>
      <c r="J569" s="42"/>
      <c r="K569" s="49"/>
      <c r="L569" s="49"/>
      <c r="M569" s="42"/>
      <c r="N569" s="42"/>
      <c r="O569" s="42"/>
      <c r="P569" s="42"/>
      <c r="Q569" s="49"/>
      <c r="R569" s="49"/>
      <c r="S569" s="49"/>
      <c r="T569" s="49"/>
      <c r="U569" s="49"/>
      <c r="V569" s="49"/>
      <c r="W569" s="49"/>
      <c r="X569" s="49"/>
      <c r="Y569" s="49"/>
      <c r="Z569" s="49"/>
      <c r="AA569" s="49"/>
      <c r="AB569" s="49"/>
      <c r="AC569" s="49"/>
      <c r="AD569" s="49"/>
    </row>
    <row r="570">
      <c r="A570" s="49"/>
      <c r="B570" s="49"/>
      <c r="C570" s="146"/>
      <c r="D570" s="146"/>
      <c r="E570" s="49"/>
      <c r="F570" s="49"/>
      <c r="G570" s="49"/>
      <c r="H570" s="42"/>
      <c r="I570" s="49"/>
      <c r="J570" s="42"/>
      <c r="K570" s="49"/>
      <c r="L570" s="49"/>
      <c r="M570" s="42"/>
      <c r="N570" s="42"/>
      <c r="O570" s="42"/>
      <c r="P570" s="42"/>
      <c r="Q570" s="49"/>
      <c r="R570" s="49"/>
      <c r="S570" s="49"/>
      <c r="T570" s="49"/>
      <c r="U570" s="49"/>
      <c r="V570" s="49"/>
      <c r="W570" s="49"/>
      <c r="X570" s="49"/>
      <c r="Y570" s="49"/>
      <c r="Z570" s="49"/>
      <c r="AA570" s="49"/>
      <c r="AB570" s="49"/>
      <c r="AC570" s="49"/>
      <c r="AD570" s="49"/>
    </row>
    <row r="571">
      <c r="A571" s="49"/>
      <c r="B571" s="49"/>
      <c r="C571" s="146"/>
      <c r="D571" s="146"/>
      <c r="E571" s="49"/>
      <c r="F571" s="49"/>
      <c r="G571" s="49"/>
      <c r="H571" s="42"/>
      <c r="I571" s="49"/>
      <c r="J571" s="42"/>
      <c r="K571" s="49"/>
      <c r="L571" s="49"/>
      <c r="M571" s="42"/>
      <c r="N571" s="42"/>
      <c r="O571" s="42"/>
      <c r="P571" s="42"/>
      <c r="Q571" s="49"/>
      <c r="R571" s="49"/>
      <c r="S571" s="49"/>
      <c r="T571" s="49"/>
      <c r="U571" s="49"/>
      <c r="V571" s="49"/>
      <c r="W571" s="49"/>
      <c r="X571" s="49"/>
      <c r="Y571" s="49"/>
      <c r="Z571" s="49"/>
      <c r="AA571" s="49"/>
      <c r="AB571" s="49"/>
      <c r="AC571" s="49"/>
      <c r="AD571" s="49"/>
    </row>
    <row r="572">
      <c r="A572" s="49"/>
      <c r="B572" s="49"/>
      <c r="C572" s="146"/>
      <c r="D572" s="146"/>
      <c r="E572" s="49"/>
      <c r="F572" s="49"/>
      <c r="G572" s="49"/>
      <c r="H572" s="42"/>
      <c r="I572" s="49"/>
      <c r="J572" s="42"/>
      <c r="K572" s="49"/>
      <c r="L572" s="49"/>
      <c r="M572" s="42"/>
      <c r="N572" s="42"/>
      <c r="O572" s="42"/>
      <c r="P572" s="42"/>
      <c r="Q572" s="49"/>
      <c r="R572" s="49"/>
      <c r="S572" s="49"/>
      <c r="T572" s="49"/>
      <c r="U572" s="49"/>
      <c r="V572" s="49"/>
      <c r="W572" s="49"/>
      <c r="X572" s="49"/>
      <c r="Y572" s="49"/>
      <c r="Z572" s="49"/>
      <c r="AA572" s="49"/>
      <c r="AB572" s="49"/>
      <c r="AC572" s="49"/>
      <c r="AD572" s="49"/>
    </row>
    <row r="573">
      <c r="A573" s="49"/>
      <c r="B573" s="49"/>
      <c r="C573" s="146"/>
      <c r="D573" s="146"/>
      <c r="E573" s="49"/>
      <c r="F573" s="49"/>
      <c r="G573" s="49"/>
      <c r="H573" s="42"/>
      <c r="I573" s="49"/>
      <c r="J573" s="42"/>
      <c r="K573" s="49"/>
      <c r="L573" s="49"/>
      <c r="M573" s="42"/>
      <c r="N573" s="42"/>
      <c r="O573" s="42"/>
      <c r="P573" s="42"/>
      <c r="Q573" s="49"/>
      <c r="R573" s="49"/>
      <c r="S573" s="49"/>
      <c r="T573" s="49"/>
      <c r="U573" s="49"/>
      <c r="V573" s="49"/>
      <c r="W573" s="49"/>
      <c r="X573" s="49"/>
      <c r="Y573" s="49"/>
      <c r="Z573" s="49"/>
      <c r="AA573" s="49"/>
      <c r="AB573" s="49"/>
      <c r="AC573" s="49"/>
      <c r="AD573" s="49"/>
    </row>
    <row r="574">
      <c r="A574" s="49"/>
      <c r="B574" s="49"/>
      <c r="C574" s="146"/>
      <c r="D574" s="146"/>
      <c r="E574" s="49"/>
      <c r="F574" s="49"/>
      <c r="G574" s="49"/>
      <c r="H574" s="42"/>
      <c r="I574" s="49"/>
      <c r="J574" s="42"/>
      <c r="K574" s="49"/>
      <c r="L574" s="49"/>
      <c r="M574" s="42"/>
      <c r="N574" s="42"/>
      <c r="O574" s="42"/>
      <c r="P574" s="42"/>
      <c r="Q574" s="49"/>
      <c r="R574" s="49"/>
      <c r="S574" s="49"/>
      <c r="T574" s="49"/>
      <c r="U574" s="49"/>
      <c r="V574" s="49"/>
      <c r="W574" s="49"/>
      <c r="X574" s="49"/>
      <c r="Y574" s="49"/>
      <c r="Z574" s="49"/>
      <c r="AA574" s="49"/>
      <c r="AB574" s="49"/>
      <c r="AC574" s="49"/>
      <c r="AD574" s="49"/>
    </row>
    <row r="575">
      <c r="A575" s="49"/>
      <c r="B575" s="49"/>
      <c r="C575" s="146"/>
      <c r="D575" s="146"/>
      <c r="E575" s="49"/>
      <c r="F575" s="49"/>
      <c r="G575" s="49"/>
      <c r="H575" s="42"/>
      <c r="I575" s="49"/>
      <c r="J575" s="42"/>
      <c r="K575" s="49"/>
      <c r="L575" s="49"/>
      <c r="M575" s="42"/>
      <c r="N575" s="42"/>
      <c r="O575" s="42"/>
      <c r="P575" s="42"/>
      <c r="Q575" s="49"/>
      <c r="R575" s="49"/>
      <c r="S575" s="49"/>
      <c r="T575" s="49"/>
      <c r="U575" s="49"/>
      <c r="V575" s="49"/>
      <c r="W575" s="49"/>
      <c r="X575" s="49"/>
      <c r="Y575" s="49"/>
      <c r="Z575" s="49"/>
      <c r="AA575" s="49"/>
      <c r="AB575" s="49"/>
      <c r="AC575" s="49"/>
      <c r="AD575" s="49"/>
    </row>
    <row r="576">
      <c r="A576" s="49"/>
      <c r="B576" s="49"/>
      <c r="C576" s="146"/>
      <c r="D576" s="146"/>
      <c r="E576" s="49"/>
      <c r="F576" s="49"/>
      <c r="G576" s="49"/>
      <c r="H576" s="42"/>
      <c r="I576" s="49"/>
      <c r="J576" s="42"/>
      <c r="K576" s="49"/>
      <c r="L576" s="49"/>
      <c r="M576" s="42"/>
      <c r="N576" s="42"/>
      <c r="O576" s="42"/>
      <c r="P576" s="42"/>
      <c r="Q576" s="49"/>
      <c r="R576" s="49"/>
      <c r="S576" s="49"/>
      <c r="T576" s="49"/>
      <c r="U576" s="49"/>
      <c r="V576" s="49"/>
      <c r="W576" s="49"/>
      <c r="X576" s="49"/>
      <c r="Y576" s="49"/>
      <c r="Z576" s="49"/>
      <c r="AA576" s="49"/>
      <c r="AB576" s="49"/>
      <c r="AC576" s="49"/>
      <c r="AD576" s="49"/>
    </row>
    <row r="577">
      <c r="A577" s="49"/>
      <c r="B577" s="49"/>
      <c r="C577" s="146"/>
      <c r="D577" s="146"/>
      <c r="E577" s="49"/>
      <c r="F577" s="49"/>
      <c r="G577" s="49"/>
      <c r="H577" s="42"/>
      <c r="I577" s="49"/>
      <c r="J577" s="42"/>
      <c r="K577" s="49"/>
      <c r="L577" s="49"/>
      <c r="M577" s="42"/>
      <c r="N577" s="42"/>
      <c r="O577" s="42"/>
      <c r="P577" s="42"/>
      <c r="Q577" s="49"/>
      <c r="R577" s="49"/>
      <c r="S577" s="49"/>
      <c r="T577" s="49"/>
      <c r="U577" s="49"/>
      <c r="V577" s="49"/>
      <c r="W577" s="49"/>
      <c r="X577" s="49"/>
      <c r="Y577" s="49"/>
      <c r="Z577" s="49"/>
      <c r="AA577" s="49"/>
      <c r="AB577" s="49"/>
      <c r="AC577" s="49"/>
      <c r="AD577" s="49"/>
    </row>
    <row r="578">
      <c r="A578" s="49"/>
      <c r="B578" s="49"/>
      <c r="C578" s="146"/>
      <c r="D578" s="146"/>
      <c r="E578" s="49"/>
      <c r="F578" s="49"/>
      <c r="G578" s="49"/>
      <c r="H578" s="42"/>
      <c r="I578" s="49"/>
      <c r="J578" s="42"/>
      <c r="K578" s="49"/>
      <c r="L578" s="49"/>
      <c r="M578" s="42"/>
      <c r="N578" s="42"/>
      <c r="O578" s="42"/>
      <c r="P578" s="42"/>
      <c r="Q578" s="49"/>
      <c r="R578" s="49"/>
      <c r="S578" s="49"/>
      <c r="T578" s="49"/>
      <c r="U578" s="49"/>
      <c r="V578" s="49"/>
      <c r="W578" s="49"/>
      <c r="X578" s="49"/>
      <c r="Y578" s="49"/>
      <c r="Z578" s="49"/>
      <c r="AA578" s="49"/>
      <c r="AB578" s="49"/>
      <c r="AC578" s="49"/>
      <c r="AD578" s="49"/>
    </row>
    <row r="579">
      <c r="A579" s="49"/>
      <c r="B579" s="49"/>
      <c r="C579" s="146"/>
      <c r="D579" s="146"/>
      <c r="E579" s="49"/>
      <c r="F579" s="49"/>
      <c r="G579" s="49"/>
      <c r="H579" s="42"/>
      <c r="I579" s="49"/>
      <c r="J579" s="42"/>
      <c r="K579" s="49"/>
      <c r="L579" s="49"/>
      <c r="M579" s="42"/>
      <c r="N579" s="42"/>
      <c r="O579" s="42"/>
      <c r="P579" s="42"/>
      <c r="Q579" s="49"/>
      <c r="R579" s="49"/>
      <c r="S579" s="49"/>
      <c r="T579" s="49"/>
      <c r="U579" s="49"/>
      <c r="V579" s="49"/>
      <c r="W579" s="49"/>
      <c r="X579" s="49"/>
      <c r="Y579" s="49"/>
      <c r="Z579" s="49"/>
      <c r="AA579" s="49"/>
      <c r="AB579" s="49"/>
      <c r="AC579" s="49"/>
      <c r="AD579" s="49"/>
    </row>
    <row r="580">
      <c r="A580" s="49"/>
      <c r="B580" s="49"/>
      <c r="C580" s="146"/>
      <c r="D580" s="146"/>
      <c r="E580" s="49"/>
      <c r="F580" s="49"/>
      <c r="G580" s="49"/>
      <c r="H580" s="42"/>
      <c r="I580" s="49"/>
      <c r="J580" s="42"/>
      <c r="K580" s="49"/>
      <c r="L580" s="49"/>
      <c r="M580" s="42"/>
      <c r="N580" s="42"/>
      <c r="O580" s="42"/>
      <c r="P580" s="42"/>
      <c r="Q580" s="49"/>
      <c r="R580" s="49"/>
      <c r="S580" s="49"/>
      <c r="T580" s="49"/>
      <c r="U580" s="49"/>
      <c r="V580" s="49"/>
      <c r="W580" s="49"/>
      <c r="X580" s="49"/>
      <c r="Y580" s="49"/>
      <c r="Z580" s="49"/>
      <c r="AA580" s="49"/>
      <c r="AB580" s="49"/>
      <c r="AC580" s="49"/>
      <c r="AD580" s="49"/>
    </row>
    <row r="581">
      <c r="A581" s="49"/>
      <c r="B581" s="49"/>
      <c r="C581" s="146"/>
      <c r="D581" s="146"/>
      <c r="E581" s="49"/>
      <c r="F581" s="49"/>
      <c r="G581" s="49"/>
      <c r="H581" s="42"/>
      <c r="I581" s="49"/>
      <c r="J581" s="42"/>
      <c r="K581" s="49"/>
      <c r="L581" s="49"/>
      <c r="M581" s="42"/>
      <c r="N581" s="42"/>
      <c r="O581" s="42"/>
      <c r="P581" s="42"/>
      <c r="Q581" s="49"/>
      <c r="R581" s="49"/>
      <c r="S581" s="49"/>
      <c r="T581" s="49"/>
      <c r="U581" s="49"/>
      <c r="V581" s="49"/>
      <c r="W581" s="49"/>
      <c r="X581" s="49"/>
      <c r="Y581" s="49"/>
      <c r="Z581" s="49"/>
      <c r="AA581" s="49"/>
      <c r="AB581" s="49"/>
      <c r="AC581" s="49"/>
      <c r="AD581" s="49"/>
    </row>
    <row r="582">
      <c r="A582" s="49"/>
      <c r="B582" s="49"/>
      <c r="C582" s="146"/>
      <c r="D582" s="146"/>
      <c r="E582" s="49"/>
      <c r="F582" s="49"/>
      <c r="G582" s="49"/>
      <c r="H582" s="42"/>
      <c r="I582" s="49"/>
      <c r="J582" s="42"/>
      <c r="K582" s="49"/>
      <c r="L582" s="49"/>
      <c r="M582" s="42"/>
      <c r="N582" s="42"/>
      <c r="O582" s="42"/>
      <c r="P582" s="42"/>
      <c r="Q582" s="49"/>
      <c r="R582" s="49"/>
      <c r="S582" s="49"/>
      <c r="T582" s="49"/>
      <c r="U582" s="49"/>
      <c r="V582" s="49"/>
      <c r="W582" s="49"/>
      <c r="X582" s="49"/>
      <c r="Y582" s="49"/>
      <c r="Z582" s="49"/>
      <c r="AA582" s="49"/>
      <c r="AB582" s="49"/>
      <c r="AC582" s="49"/>
      <c r="AD582" s="49"/>
    </row>
    <row r="583">
      <c r="A583" s="49"/>
      <c r="B583" s="49"/>
      <c r="C583" s="146"/>
      <c r="D583" s="146"/>
      <c r="E583" s="49"/>
      <c r="F583" s="49"/>
      <c r="G583" s="49"/>
      <c r="H583" s="42"/>
      <c r="I583" s="49"/>
      <c r="J583" s="42"/>
      <c r="K583" s="49"/>
      <c r="L583" s="49"/>
      <c r="M583" s="42"/>
      <c r="N583" s="42"/>
      <c r="O583" s="42"/>
      <c r="P583" s="42"/>
      <c r="Q583" s="49"/>
      <c r="R583" s="49"/>
      <c r="S583" s="49"/>
      <c r="T583" s="49"/>
      <c r="U583" s="49"/>
      <c r="V583" s="49"/>
      <c r="W583" s="49"/>
      <c r="X583" s="49"/>
      <c r="Y583" s="49"/>
      <c r="Z583" s="49"/>
      <c r="AA583" s="49"/>
      <c r="AB583" s="49"/>
      <c r="AC583" s="49"/>
      <c r="AD583" s="49"/>
    </row>
    <row r="584">
      <c r="A584" s="49"/>
      <c r="B584" s="49"/>
      <c r="C584" s="146"/>
      <c r="D584" s="146"/>
      <c r="E584" s="49"/>
      <c r="F584" s="49"/>
      <c r="G584" s="49"/>
      <c r="H584" s="42"/>
      <c r="I584" s="49"/>
      <c r="J584" s="42"/>
      <c r="K584" s="49"/>
      <c r="L584" s="49"/>
      <c r="M584" s="42"/>
      <c r="N584" s="42"/>
      <c r="O584" s="42"/>
      <c r="P584" s="42"/>
      <c r="Q584" s="49"/>
      <c r="R584" s="49"/>
      <c r="S584" s="49"/>
      <c r="T584" s="49"/>
      <c r="U584" s="49"/>
      <c r="V584" s="49"/>
      <c r="W584" s="49"/>
      <c r="X584" s="49"/>
      <c r="Y584" s="49"/>
      <c r="Z584" s="49"/>
      <c r="AA584" s="49"/>
      <c r="AB584" s="49"/>
      <c r="AC584" s="49"/>
      <c r="AD584" s="49"/>
    </row>
    <row r="585">
      <c r="A585" s="49"/>
      <c r="B585" s="49"/>
      <c r="C585" s="146"/>
      <c r="D585" s="146"/>
      <c r="E585" s="49"/>
      <c r="F585" s="49"/>
      <c r="G585" s="49"/>
      <c r="H585" s="42"/>
      <c r="I585" s="49"/>
      <c r="J585" s="42"/>
      <c r="K585" s="49"/>
      <c r="L585" s="49"/>
      <c r="M585" s="42"/>
      <c r="N585" s="42"/>
      <c r="O585" s="42"/>
      <c r="P585" s="42"/>
      <c r="Q585" s="49"/>
      <c r="R585" s="49"/>
      <c r="S585" s="49"/>
      <c r="T585" s="49"/>
      <c r="U585" s="49"/>
      <c r="V585" s="49"/>
      <c r="W585" s="49"/>
      <c r="X585" s="49"/>
      <c r="Y585" s="49"/>
      <c r="Z585" s="49"/>
      <c r="AA585" s="49"/>
      <c r="AB585" s="49"/>
      <c r="AC585" s="49"/>
      <c r="AD585" s="49"/>
    </row>
    <row r="586">
      <c r="A586" s="49"/>
      <c r="B586" s="49"/>
      <c r="C586" s="146"/>
      <c r="D586" s="146"/>
      <c r="E586" s="49"/>
      <c r="F586" s="49"/>
      <c r="G586" s="49"/>
      <c r="H586" s="42"/>
      <c r="I586" s="49"/>
      <c r="J586" s="42"/>
      <c r="K586" s="49"/>
      <c r="L586" s="49"/>
      <c r="M586" s="42"/>
      <c r="N586" s="42"/>
      <c r="O586" s="42"/>
      <c r="P586" s="42"/>
      <c r="Q586" s="49"/>
      <c r="R586" s="49"/>
      <c r="S586" s="49"/>
      <c r="T586" s="49"/>
      <c r="U586" s="49"/>
      <c r="V586" s="49"/>
      <c r="W586" s="49"/>
      <c r="X586" s="49"/>
      <c r="Y586" s="49"/>
      <c r="Z586" s="49"/>
      <c r="AA586" s="49"/>
      <c r="AB586" s="49"/>
      <c r="AC586" s="49"/>
      <c r="AD586" s="49"/>
    </row>
    <row r="587">
      <c r="A587" s="49"/>
      <c r="B587" s="49"/>
      <c r="C587" s="146"/>
      <c r="D587" s="146"/>
      <c r="E587" s="49"/>
      <c r="F587" s="49"/>
      <c r="G587" s="49"/>
      <c r="H587" s="42"/>
      <c r="I587" s="49"/>
      <c r="J587" s="42"/>
      <c r="K587" s="49"/>
      <c r="L587" s="49"/>
      <c r="M587" s="42"/>
      <c r="N587" s="42"/>
      <c r="O587" s="42"/>
      <c r="P587" s="42"/>
      <c r="Q587" s="49"/>
      <c r="R587" s="49"/>
      <c r="S587" s="49"/>
      <c r="T587" s="49"/>
      <c r="U587" s="49"/>
      <c r="V587" s="49"/>
      <c r="W587" s="49"/>
      <c r="X587" s="49"/>
      <c r="Y587" s="49"/>
      <c r="Z587" s="49"/>
      <c r="AA587" s="49"/>
      <c r="AB587" s="49"/>
      <c r="AC587" s="49"/>
      <c r="AD587" s="49"/>
    </row>
    <row r="588">
      <c r="A588" s="49"/>
      <c r="B588" s="49"/>
      <c r="C588" s="146"/>
      <c r="D588" s="146"/>
      <c r="E588" s="49"/>
      <c r="F588" s="49"/>
      <c r="G588" s="49"/>
      <c r="H588" s="42"/>
      <c r="I588" s="49"/>
      <c r="J588" s="42"/>
      <c r="K588" s="49"/>
      <c r="L588" s="49"/>
      <c r="M588" s="42"/>
      <c r="N588" s="42"/>
      <c r="O588" s="42"/>
      <c r="P588" s="42"/>
      <c r="Q588" s="49"/>
      <c r="R588" s="49"/>
      <c r="S588" s="49"/>
      <c r="T588" s="49"/>
      <c r="U588" s="49"/>
      <c r="V588" s="49"/>
      <c r="W588" s="49"/>
      <c r="X588" s="49"/>
      <c r="Y588" s="49"/>
      <c r="Z588" s="49"/>
      <c r="AA588" s="49"/>
      <c r="AB588" s="49"/>
      <c r="AC588" s="49"/>
      <c r="AD588" s="49"/>
    </row>
    <row r="589">
      <c r="A589" s="49"/>
      <c r="B589" s="49"/>
      <c r="C589" s="146"/>
      <c r="D589" s="146"/>
      <c r="E589" s="49"/>
      <c r="F589" s="49"/>
      <c r="G589" s="49"/>
      <c r="H589" s="42"/>
      <c r="I589" s="49"/>
      <c r="J589" s="42"/>
      <c r="K589" s="49"/>
      <c r="L589" s="49"/>
      <c r="M589" s="42"/>
      <c r="N589" s="42"/>
      <c r="O589" s="42"/>
      <c r="P589" s="42"/>
      <c r="Q589" s="49"/>
      <c r="R589" s="49"/>
      <c r="S589" s="49"/>
      <c r="T589" s="49"/>
      <c r="U589" s="49"/>
      <c r="V589" s="49"/>
      <c r="W589" s="49"/>
      <c r="X589" s="49"/>
      <c r="Y589" s="49"/>
      <c r="Z589" s="49"/>
      <c r="AA589" s="49"/>
      <c r="AB589" s="49"/>
      <c r="AC589" s="49"/>
      <c r="AD589" s="49"/>
    </row>
    <row r="590">
      <c r="A590" s="49"/>
      <c r="B590" s="49"/>
      <c r="C590" s="146"/>
      <c r="D590" s="146"/>
      <c r="E590" s="49"/>
      <c r="F590" s="49"/>
      <c r="G590" s="49"/>
      <c r="H590" s="42"/>
      <c r="I590" s="49"/>
      <c r="J590" s="42"/>
      <c r="K590" s="49"/>
      <c r="L590" s="49"/>
      <c r="M590" s="42"/>
      <c r="N590" s="42"/>
      <c r="O590" s="42"/>
      <c r="P590" s="42"/>
      <c r="Q590" s="49"/>
      <c r="R590" s="49"/>
      <c r="S590" s="49"/>
      <c r="T590" s="49"/>
      <c r="U590" s="49"/>
      <c r="V590" s="49"/>
      <c r="W590" s="49"/>
      <c r="X590" s="49"/>
      <c r="Y590" s="49"/>
      <c r="Z590" s="49"/>
      <c r="AA590" s="49"/>
      <c r="AB590" s="49"/>
      <c r="AC590" s="49"/>
      <c r="AD590" s="49"/>
    </row>
    <row r="591">
      <c r="A591" s="49"/>
      <c r="B591" s="49"/>
      <c r="C591" s="146"/>
      <c r="D591" s="146"/>
      <c r="E591" s="49"/>
      <c r="F591" s="49"/>
      <c r="G591" s="49"/>
      <c r="H591" s="42"/>
      <c r="I591" s="49"/>
      <c r="J591" s="42"/>
      <c r="K591" s="49"/>
      <c r="L591" s="49"/>
      <c r="M591" s="42"/>
      <c r="N591" s="42"/>
      <c r="O591" s="42"/>
      <c r="P591" s="42"/>
      <c r="Q591" s="49"/>
      <c r="R591" s="49"/>
      <c r="S591" s="49"/>
      <c r="T591" s="49"/>
      <c r="U591" s="49"/>
      <c r="V591" s="49"/>
      <c r="W591" s="49"/>
      <c r="X591" s="49"/>
      <c r="Y591" s="49"/>
      <c r="Z591" s="49"/>
      <c r="AA591" s="49"/>
      <c r="AB591" s="49"/>
      <c r="AC591" s="49"/>
      <c r="AD591" s="49"/>
    </row>
    <row r="592">
      <c r="A592" s="49"/>
      <c r="B592" s="49"/>
      <c r="C592" s="146"/>
      <c r="D592" s="146"/>
      <c r="E592" s="49"/>
      <c r="F592" s="49"/>
      <c r="G592" s="49"/>
      <c r="H592" s="42"/>
      <c r="I592" s="49"/>
      <c r="J592" s="42"/>
      <c r="K592" s="49"/>
      <c r="L592" s="49"/>
      <c r="M592" s="42"/>
      <c r="N592" s="42"/>
      <c r="O592" s="42"/>
      <c r="P592" s="42"/>
      <c r="Q592" s="49"/>
      <c r="R592" s="49"/>
      <c r="S592" s="49"/>
      <c r="T592" s="49"/>
      <c r="U592" s="49"/>
      <c r="V592" s="49"/>
      <c r="W592" s="49"/>
      <c r="X592" s="49"/>
      <c r="Y592" s="49"/>
      <c r="Z592" s="49"/>
      <c r="AA592" s="49"/>
      <c r="AB592" s="49"/>
      <c r="AC592" s="49"/>
      <c r="AD592" s="49"/>
    </row>
    <row r="593">
      <c r="A593" s="49"/>
      <c r="B593" s="49"/>
      <c r="C593" s="146"/>
      <c r="D593" s="146"/>
      <c r="E593" s="49"/>
      <c r="F593" s="49"/>
      <c r="G593" s="49"/>
      <c r="H593" s="42"/>
      <c r="I593" s="49"/>
      <c r="J593" s="42"/>
      <c r="K593" s="49"/>
      <c r="L593" s="49"/>
      <c r="M593" s="42"/>
      <c r="N593" s="42"/>
      <c r="O593" s="42"/>
      <c r="P593" s="42"/>
      <c r="Q593" s="49"/>
      <c r="R593" s="49"/>
      <c r="S593" s="49"/>
      <c r="T593" s="49"/>
      <c r="U593" s="49"/>
      <c r="V593" s="49"/>
      <c r="W593" s="49"/>
      <c r="X593" s="49"/>
      <c r="Y593" s="49"/>
      <c r="Z593" s="49"/>
      <c r="AA593" s="49"/>
      <c r="AB593" s="49"/>
      <c r="AC593" s="49"/>
      <c r="AD593" s="49"/>
    </row>
    <row r="594">
      <c r="A594" s="49"/>
      <c r="B594" s="49"/>
      <c r="C594" s="146"/>
      <c r="D594" s="146"/>
      <c r="E594" s="49"/>
      <c r="F594" s="49"/>
      <c r="G594" s="49"/>
      <c r="H594" s="42"/>
      <c r="I594" s="49"/>
      <c r="J594" s="42"/>
      <c r="K594" s="49"/>
      <c r="L594" s="49"/>
      <c r="M594" s="42"/>
      <c r="N594" s="42"/>
      <c r="O594" s="42"/>
      <c r="P594" s="42"/>
      <c r="Q594" s="49"/>
      <c r="R594" s="49"/>
      <c r="S594" s="49"/>
      <c r="T594" s="49"/>
      <c r="U594" s="49"/>
      <c r="V594" s="49"/>
      <c r="W594" s="49"/>
      <c r="X594" s="49"/>
      <c r="Y594" s="49"/>
      <c r="Z594" s="49"/>
      <c r="AA594" s="49"/>
      <c r="AB594" s="49"/>
      <c r="AC594" s="49"/>
      <c r="AD594" s="49"/>
    </row>
    <row r="595">
      <c r="A595" s="49"/>
      <c r="B595" s="49"/>
      <c r="C595" s="146"/>
      <c r="D595" s="146"/>
      <c r="E595" s="49"/>
      <c r="F595" s="49"/>
      <c r="G595" s="49"/>
      <c r="H595" s="42"/>
      <c r="I595" s="49"/>
      <c r="J595" s="42"/>
      <c r="K595" s="49"/>
      <c r="L595" s="49"/>
      <c r="M595" s="42"/>
      <c r="N595" s="42"/>
      <c r="O595" s="42"/>
      <c r="P595" s="42"/>
      <c r="Q595" s="49"/>
      <c r="R595" s="49"/>
      <c r="S595" s="49"/>
      <c r="T595" s="49"/>
      <c r="U595" s="49"/>
      <c r="V595" s="49"/>
      <c r="W595" s="49"/>
      <c r="X595" s="49"/>
      <c r="Y595" s="49"/>
      <c r="Z595" s="49"/>
      <c r="AA595" s="49"/>
      <c r="AB595" s="49"/>
      <c r="AC595" s="49"/>
      <c r="AD595" s="49"/>
    </row>
    <row r="596">
      <c r="A596" s="49"/>
      <c r="B596" s="49"/>
      <c r="C596" s="146"/>
      <c r="D596" s="146"/>
      <c r="E596" s="49"/>
      <c r="F596" s="49"/>
      <c r="G596" s="49"/>
      <c r="H596" s="42"/>
      <c r="I596" s="49"/>
      <c r="J596" s="42"/>
      <c r="K596" s="49"/>
      <c r="L596" s="49"/>
      <c r="M596" s="42"/>
      <c r="N596" s="42"/>
      <c r="O596" s="42"/>
      <c r="P596" s="42"/>
      <c r="Q596" s="49"/>
      <c r="R596" s="49"/>
      <c r="S596" s="49"/>
      <c r="T596" s="49"/>
      <c r="U596" s="49"/>
      <c r="V596" s="49"/>
      <c r="W596" s="49"/>
      <c r="X596" s="49"/>
      <c r="Y596" s="49"/>
      <c r="Z596" s="49"/>
      <c r="AA596" s="49"/>
      <c r="AB596" s="49"/>
      <c r="AC596" s="49"/>
      <c r="AD596" s="49"/>
    </row>
    <row r="597">
      <c r="A597" s="49"/>
      <c r="B597" s="49"/>
      <c r="C597" s="146"/>
      <c r="D597" s="146"/>
      <c r="E597" s="49"/>
      <c r="F597" s="49"/>
      <c r="G597" s="49"/>
      <c r="H597" s="42"/>
      <c r="I597" s="49"/>
      <c r="J597" s="42"/>
      <c r="K597" s="49"/>
      <c r="L597" s="49"/>
      <c r="M597" s="42"/>
      <c r="N597" s="42"/>
      <c r="O597" s="42"/>
      <c r="P597" s="42"/>
      <c r="Q597" s="49"/>
      <c r="R597" s="49"/>
      <c r="S597" s="49"/>
      <c r="T597" s="49"/>
      <c r="U597" s="49"/>
      <c r="V597" s="49"/>
      <c r="W597" s="49"/>
      <c r="X597" s="49"/>
      <c r="Y597" s="49"/>
      <c r="Z597" s="49"/>
      <c r="AA597" s="49"/>
      <c r="AB597" s="49"/>
      <c r="AC597" s="49"/>
      <c r="AD597" s="49"/>
    </row>
    <row r="598">
      <c r="A598" s="49"/>
      <c r="B598" s="49"/>
      <c r="C598" s="146"/>
      <c r="D598" s="146"/>
      <c r="E598" s="49"/>
      <c r="F598" s="49"/>
      <c r="G598" s="49"/>
      <c r="H598" s="42"/>
      <c r="I598" s="49"/>
      <c r="J598" s="42"/>
      <c r="K598" s="49"/>
      <c r="L598" s="49"/>
      <c r="M598" s="42"/>
      <c r="N598" s="42"/>
      <c r="O598" s="42"/>
      <c r="P598" s="42"/>
      <c r="Q598" s="49"/>
      <c r="R598" s="49"/>
      <c r="S598" s="49"/>
      <c r="T598" s="49"/>
      <c r="U598" s="49"/>
      <c r="V598" s="49"/>
      <c r="W598" s="49"/>
      <c r="X598" s="49"/>
      <c r="Y598" s="49"/>
      <c r="Z598" s="49"/>
      <c r="AA598" s="49"/>
      <c r="AB598" s="49"/>
      <c r="AC598" s="49"/>
      <c r="AD598" s="49"/>
    </row>
    <row r="599">
      <c r="A599" s="49"/>
      <c r="B599" s="49"/>
      <c r="C599" s="146"/>
      <c r="D599" s="146"/>
      <c r="E599" s="49"/>
      <c r="F599" s="49"/>
      <c r="G599" s="49"/>
      <c r="H599" s="42"/>
      <c r="I599" s="49"/>
      <c r="J599" s="42"/>
      <c r="K599" s="49"/>
      <c r="L599" s="49"/>
      <c r="M599" s="42"/>
      <c r="N599" s="42"/>
      <c r="O599" s="42"/>
      <c r="P599" s="42"/>
      <c r="Q599" s="49"/>
      <c r="R599" s="49"/>
      <c r="S599" s="49"/>
      <c r="T599" s="49"/>
      <c r="U599" s="49"/>
      <c r="V599" s="49"/>
      <c r="W599" s="49"/>
      <c r="X599" s="49"/>
      <c r="Y599" s="49"/>
      <c r="Z599" s="49"/>
      <c r="AA599" s="49"/>
      <c r="AB599" s="49"/>
      <c r="AC599" s="49"/>
      <c r="AD599" s="49"/>
    </row>
    <row r="600">
      <c r="A600" s="49"/>
      <c r="B600" s="49"/>
      <c r="C600" s="146"/>
      <c r="D600" s="146"/>
      <c r="E600" s="49"/>
      <c r="F600" s="49"/>
      <c r="G600" s="49"/>
      <c r="H600" s="42"/>
      <c r="I600" s="49"/>
      <c r="J600" s="42"/>
      <c r="K600" s="49"/>
      <c r="L600" s="49"/>
      <c r="M600" s="42"/>
      <c r="N600" s="42"/>
      <c r="O600" s="42"/>
      <c r="P600" s="42"/>
      <c r="Q600" s="49"/>
      <c r="R600" s="49"/>
      <c r="S600" s="49"/>
      <c r="T600" s="49"/>
      <c r="U600" s="49"/>
      <c r="V600" s="49"/>
      <c r="W600" s="49"/>
      <c r="X600" s="49"/>
      <c r="Y600" s="49"/>
      <c r="Z600" s="49"/>
      <c r="AA600" s="49"/>
      <c r="AB600" s="49"/>
      <c r="AC600" s="49"/>
      <c r="AD600" s="49"/>
    </row>
    <row r="601">
      <c r="A601" s="49"/>
      <c r="B601" s="49"/>
      <c r="C601" s="146"/>
      <c r="D601" s="146"/>
      <c r="E601" s="49"/>
      <c r="F601" s="49"/>
      <c r="G601" s="49"/>
      <c r="H601" s="42"/>
      <c r="I601" s="49"/>
      <c r="J601" s="42"/>
      <c r="K601" s="49"/>
      <c r="L601" s="49"/>
      <c r="M601" s="42"/>
      <c r="N601" s="42"/>
      <c r="O601" s="42"/>
      <c r="P601" s="42"/>
      <c r="Q601" s="49"/>
      <c r="R601" s="49"/>
      <c r="S601" s="49"/>
      <c r="T601" s="49"/>
      <c r="U601" s="49"/>
      <c r="V601" s="49"/>
      <c r="W601" s="49"/>
      <c r="X601" s="49"/>
      <c r="Y601" s="49"/>
      <c r="Z601" s="49"/>
      <c r="AA601" s="49"/>
      <c r="AB601" s="49"/>
      <c r="AC601" s="49"/>
      <c r="AD601" s="49"/>
    </row>
    <row r="602">
      <c r="A602" s="49"/>
      <c r="B602" s="49"/>
      <c r="C602" s="146"/>
      <c r="D602" s="146"/>
      <c r="E602" s="49"/>
      <c r="F602" s="49"/>
      <c r="G602" s="49"/>
      <c r="H602" s="42"/>
      <c r="I602" s="49"/>
      <c r="J602" s="42"/>
      <c r="K602" s="49"/>
      <c r="L602" s="49"/>
      <c r="M602" s="42"/>
      <c r="N602" s="42"/>
      <c r="O602" s="42"/>
      <c r="P602" s="42"/>
      <c r="Q602" s="49"/>
      <c r="R602" s="49"/>
      <c r="S602" s="49"/>
      <c r="T602" s="49"/>
      <c r="U602" s="49"/>
      <c r="V602" s="49"/>
      <c r="W602" s="49"/>
      <c r="X602" s="49"/>
      <c r="Y602" s="49"/>
      <c r="Z602" s="49"/>
      <c r="AA602" s="49"/>
      <c r="AB602" s="49"/>
      <c r="AC602" s="49"/>
      <c r="AD602" s="49"/>
    </row>
    <row r="603">
      <c r="A603" s="49"/>
      <c r="B603" s="49"/>
      <c r="C603" s="146"/>
      <c r="D603" s="146"/>
      <c r="E603" s="49"/>
      <c r="F603" s="49"/>
      <c r="G603" s="49"/>
      <c r="H603" s="42"/>
      <c r="I603" s="49"/>
      <c r="J603" s="42"/>
      <c r="K603" s="49"/>
      <c r="L603" s="49"/>
      <c r="M603" s="42"/>
      <c r="N603" s="42"/>
      <c r="O603" s="42"/>
      <c r="P603" s="42"/>
      <c r="Q603" s="49"/>
      <c r="R603" s="49"/>
      <c r="S603" s="49"/>
      <c r="T603" s="49"/>
      <c r="U603" s="49"/>
      <c r="V603" s="49"/>
      <c r="W603" s="49"/>
      <c r="X603" s="49"/>
      <c r="Y603" s="49"/>
      <c r="Z603" s="49"/>
      <c r="AA603" s="49"/>
      <c r="AB603" s="49"/>
      <c r="AC603" s="49"/>
      <c r="AD603" s="49"/>
    </row>
    <row r="604">
      <c r="A604" s="49"/>
      <c r="B604" s="49"/>
      <c r="C604" s="146"/>
      <c r="D604" s="146"/>
      <c r="E604" s="49"/>
      <c r="F604" s="49"/>
      <c r="G604" s="49"/>
      <c r="H604" s="42"/>
      <c r="I604" s="49"/>
      <c r="J604" s="42"/>
      <c r="K604" s="49"/>
      <c r="L604" s="49"/>
      <c r="M604" s="42"/>
      <c r="N604" s="42"/>
      <c r="O604" s="42"/>
      <c r="P604" s="42"/>
      <c r="Q604" s="49"/>
      <c r="R604" s="49"/>
      <c r="S604" s="49"/>
      <c r="T604" s="49"/>
      <c r="U604" s="49"/>
      <c r="V604" s="49"/>
      <c r="W604" s="49"/>
      <c r="X604" s="49"/>
      <c r="Y604" s="49"/>
      <c r="Z604" s="49"/>
      <c r="AA604" s="49"/>
      <c r="AB604" s="49"/>
      <c r="AC604" s="49"/>
      <c r="AD604" s="49"/>
    </row>
    <row r="605">
      <c r="A605" s="49"/>
      <c r="B605" s="49"/>
      <c r="C605" s="146"/>
      <c r="D605" s="146"/>
      <c r="E605" s="49"/>
      <c r="F605" s="49"/>
      <c r="G605" s="49"/>
      <c r="H605" s="42"/>
      <c r="I605" s="49"/>
      <c r="J605" s="42"/>
      <c r="K605" s="49"/>
      <c r="L605" s="49"/>
      <c r="M605" s="42"/>
      <c r="N605" s="42"/>
      <c r="O605" s="42"/>
      <c r="P605" s="42"/>
      <c r="Q605" s="49"/>
      <c r="R605" s="49"/>
      <c r="S605" s="49"/>
      <c r="T605" s="49"/>
      <c r="U605" s="49"/>
      <c r="V605" s="49"/>
      <c r="W605" s="49"/>
      <c r="X605" s="49"/>
      <c r="Y605" s="49"/>
      <c r="Z605" s="49"/>
      <c r="AA605" s="49"/>
      <c r="AB605" s="49"/>
      <c r="AC605" s="49"/>
      <c r="AD605" s="49"/>
    </row>
    <row r="606">
      <c r="A606" s="49"/>
      <c r="B606" s="49"/>
      <c r="C606" s="146"/>
      <c r="D606" s="146"/>
      <c r="E606" s="49"/>
      <c r="F606" s="49"/>
      <c r="G606" s="49"/>
      <c r="H606" s="42"/>
      <c r="I606" s="49"/>
      <c r="J606" s="42"/>
      <c r="K606" s="49"/>
      <c r="L606" s="49"/>
      <c r="M606" s="42"/>
      <c r="N606" s="42"/>
      <c r="O606" s="42"/>
      <c r="P606" s="42"/>
      <c r="Q606" s="49"/>
      <c r="R606" s="49"/>
      <c r="S606" s="49"/>
      <c r="T606" s="49"/>
      <c r="U606" s="49"/>
      <c r="V606" s="49"/>
      <c r="W606" s="49"/>
      <c r="X606" s="49"/>
      <c r="Y606" s="49"/>
      <c r="Z606" s="49"/>
      <c r="AA606" s="49"/>
      <c r="AB606" s="49"/>
      <c r="AC606" s="49"/>
      <c r="AD606" s="49"/>
    </row>
    <row r="607">
      <c r="A607" s="49"/>
      <c r="B607" s="49"/>
      <c r="C607" s="146"/>
      <c r="D607" s="146"/>
      <c r="E607" s="49"/>
      <c r="F607" s="49"/>
      <c r="G607" s="49"/>
      <c r="H607" s="42"/>
      <c r="I607" s="49"/>
      <c r="J607" s="42"/>
      <c r="K607" s="49"/>
      <c r="L607" s="49"/>
      <c r="M607" s="42"/>
      <c r="N607" s="42"/>
      <c r="O607" s="42"/>
      <c r="P607" s="42"/>
      <c r="Q607" s="49"/>
      <c r="R607" s="49"/>
      <c r="S607" s="49"/>
      <c r="T607" s="49"/>
      <c r="U607" s="49"/>
      <c r="V607" s="49"/>
      <c r="W607" s="49"/>
      <c r="X607" s="49"/>
      <c r="Y607" s="49"/>
      <c r="Z607" s="49"/>
      <c r="AA607" s="49"/>
      <c r="AB607" s="49"/>
      <c r="AC607" s="49"/>
      <c r="AD607" s="49"/>
    </row>
    <row r="608">
      <c r="A608" s="49"/>
      <c r="B608" s="49"/>
      <c r="C608" s="146"/>
      <c r="D608" s="146"/>
      <c r="E608" s="49"/>
      <c r="F608" s="49"/>
      <c r="G608" s="49"/>
      <c r="H608" s="42"/>
      <c r="I608" s="49"/>
      <c r="J608" s="42"/>
      <c r="K608" s="49"/>
      <c r="L608" s="49"/>
      <c r="M608" s="42"/>
      <c r="N608" s="42"/>
      <c r="O608" s="42"/>
      <c r="P608" s="42"/>
      <c r="Q608" s="49"/>
      <c r="R608" s="49"/>
      <c r="S608" s="49"/>
      <c r="T608" s="49"/>
      <c r="U608" s="49"/>
      <c r="V608" s="49"/>
      <c r="W608" s="49"/>
      <c r="X608" s="49"/>
      <c r="Y608" s="49"/>
      <c r="Z608" s="49"/>
      <c r="AA608" s="49"/>
      <c r="AB608" s="49"/>
      <c r="AC608" s="49"/>
      <c r="AD608" s="49"/>
    </row>
    <row r="609">
      <c r="A609" s="49"/>
      <c r="B609" s="49"/>
      <c r="C609" s="146"/>
      <c r="D609" s="146"/>
      <c r="E609" s="49"/>
      <c r="F609" s="49"/>
      <c r="G609" s="49"/>
      <c r="H609" s="42"/>
      <c r="I609" s="49"/>
      <c r="J609" s="42"/>
      <c r="K609" s="49"/>
      <c r="L609" s="49"/>
      <c r="M609" s="42"/>
      <c r="N609" s="42"/>
      <c r="O609" s="42"/>
      <c r="P609" s="42"/>
      <c r="Q609" s="49"/>
      <c r="R609" s="49"/>
      <c r="S609" s="49"/>
      <c r="T609" s="49"/>
      <c r="U609" s="49"/>
      <c r="V609" s="49"/>
      <c r="W609" s="49"/>
      <c r="X609" s="49"/>
      <c r="Y609" s="49"/>
      <c r="Z609" s="49"/>
      <c r="AA609" s="49"/>
      <c r="AB609" s="49"/>
      <c r="AC609" s="49"/>
      <c r="AD609" s="49"/>
    </row>
    <row r="610">
      <c r="A610" s="49"/>
      <c r="B610" s="49"/>
      <c r="C610" s="146"/>
      <c r="D610" s="146"/>
      <c r="E610" s="49"/>
      <c r="F610" s="49"/>
      <c r="G610" s="49"/>
      <c r="H610" s="42"/>
      <c r="I610" s="49"/>
      <c r="J610" s="42"/>
      <c r="K610" s="49"/>
      <c r="L610" s="49"/>
      <c r="M610" s="42"/>
      <c r="N610" s="42"/>
      <c r="O610" s="42"/>
      <c r="P610" s="42"/>
      <c r="Q610" s="49"/>
      <c r="R610" s="49"/>
      <c r="S610" s="49"/>
      <c r="T610" s="49"/>
      <c r="U610" s="49"/>
      <c r="V610" s="49"/>
      <c r="W610" s="49"/>
      <c r="X610" s="49"/>
      <c r="Y610" s="49"/>
      <c r="Z610" s="49"/>
      <c r="AA610" s="49"/>
      <c r="AB610" s="49"/>
      <c r="AC610" s="49"/>
      <c r="AD610" s="49"/>
    </row>
    <row r="611">
      <c r="A611" s="49"/>
      <c r="B611" s="49"/>
      <c r="C611" s="146"/>
      <c r="D611" s="146"/>
      <c r="E611" s="49"/>
      <c r="F611" s="49"/>
      <c r="G611" s="49"/>
      <c r="H611" s="42"/>
      <c r="I611" s="49"/>
      <c r="J611" s="42"/>
      <c r="K611" s="49"/>
      <c r="L611" s="49"/>
      <c r="M611" s="42"/>
      <c r="N611" s="42"/>
      <c r="O611" s="42"/>
      <c r="P611" s="42"/>
      <c r="Q611" s="49"/>
      <c r="R611" s="49"/>
      <c r="S611" s="49"/>
      <c r="T611" s="49"/>
      <c r="U611" s="49"/>
      <c r="V611" s="49"/>
      <c r="W611" s="49"/>
      <c r="X611" s="49"/>
      <c r="Y611" s="49"/>
      <c r="Z611" s="49"/>
      <c r="AA611" s="49"/>
      <c r="AB611" s="49"/>
      <c r="AC611" s="49"/>
      <c r="AD611" s="49"/>
    </row>
    <row r="612">
      <c r="A612" s="49"/>
      <c r="B612" s="49"/>
      <c r="C612" s="146"/>
      <c r="D612" s="146"/>
      <c r="E612" s="49"/>
      <c r="F612" s="49"/>
      <c r="G612" s="49"/>
      <c r="H612" s="42"/>
      <c r="I612" s="49"/>
      <c r="J612" s="42"/>
      <c r="K612" s="49"/>
      <c r="L612" s="49"/>
      <c r="M612" s="42"/>
      <c r="N612" s="42"/>
      <c r="O612" s="42"/>
      <c r="P612" s="42"/>
      <c r="Q612" s="49"/>
      <c r="R612" s="49"/>
      <c r="S612" s="49"/>
      <c r="T612" s="49"/>
      <c r="U612" s="49"/>
      <c r="V612" s="49"/>
      <c r="W612" s="49"/>
      <c r="X612" s="49"/>
      <c r="Y612" s="49"/>
      <c r="Z612" s="49"/>
      <c r="AA612" s="49"/>
      <c r="AB612" s="49"/>
      <c r="AC612" s="49"/>
      <c r="AD612" s="49"/>
    </row>
    <row r="613">
      <c r="A613" s="49"/>
      <c r="B613" s="49"/>
      <c r="C613" s="146"/>
      <c r="D613" s="146"/>
      <c r="E613" s="49"/>
      <c r="F613" s="49"/>
      <c r="G613" s="49"/>
      <c r="H613" s="42"/>
      <c r="I613" s="49"/>
      <c r="J613" s="42"/>
      <c r="K613" s="49"/>
      <c r="L613" s="49"/>
      <c r="M613" s="42"/>
      <c r="N613" s="42"/>
      <c r="O613" s="42"/>
      <c r="P613" s="42"/>
      <c r="Q613" s="49"/>
      <c r="R613" s="49"/>
      <c r="S613" s="49"/>
      <c r="T613" s="49"/>
      <c r="U613" s="49"/>
      <c r="V613" s="49"/>
      <c r="W613" s="49"/>
      <c r="X613" s="49"/>
      <c r="Y613" s="49"/>
      <c r="Z613" s="49"/>
      <c r="AA613" s="49"/>
      <c r="AB613" s="49"/>
      <c r="AC613" s="49"/>
      <c r="AD613" s="49"/>
    </row>
    <row r="614">
      <c r="A614" s="49"/>
      <c r="B614" s="49"/>
      <c r="C614" s="146"/>
      <c r="D614" s="146"/>
      <c r="E614" s="49"/>
      <c r="F614" s="49"/>
      <c r="G614" s="49"/>
      <c r="H614" s="42"/>
      <c r="I614" s="49"/>
      <c r="J614" s="42"/>
      <c r="K614" s="49"/>
      <c r="L614" s="49"/>
      <c r="M614" s="42"/>
      <c r="N614" s="42"/>
      <c r="O614" s="42"/>
      <c r="P614" s="42"/>
      <c r="Q614" s="49"/>
      <c r="R614" s="49"/>
      <c r="S614" s="49"/>
      <c r="T614" s="49"/>
      <c r="U614" s="49"/>
      <c r="V614" s="49"/>
      <c r="W614" s="49"/>
      <c r="X614" s="49"/>
      <c r="Y614" s="49"/>
      <c r="Z614" s="49"/>
      <c r="AA614" s="49"/>
      <c r="AB614" s="49"/>
      <c r="AC614" s="49"/>
      <c r="AD614" s="49"/>
    </row>
    <row r="615">
      <c r="A615" s="49"/>
      <c r="B615" s="49"/>
      <c r="C615" s="146"/>
      <c r="D615" s="146"/>
      <c r="E615" s="49"/>
      <c r="F615" s="49"/>
      <c r="G615" s="49"/>
      <c r="H615" s="42"/>
      <c r="I615" s="49"/>
      <c r="J615" s="42"/>
      <c r="K615" s="49"/>
      <c r="L615" s="49"/>
      <c r="M615" s="42"/>
      <c r="N615" s="42"/>
      <c r="O615" s="42"/>
      <c r="P615" s="42"/>
      <c r="Q615" s="49"/>
      <c r="R615" s="49"/>
      <c r="S615" s="49"/>
      <c r="T615" s="49"/>
      <c r="U615" s="49"/>
      <c r="V615" s="49"/>
      <c r="W615" s="49"/>
      <c r="X615" s="49"/>
      <c r="Y615" s="49"/>
      <c r="Z615" s="49"/>
      <c r="AA615" s="49"/>
      <c r="AB615" s="49"/>
      <c r="AC615" s="49"/>
      <c r="AD615" s="49"/>
    </row>
    <row r="616">
      <c r="A616" s="49"/>
      <c r="B616" s="49"/>
      <c r="C616" s="146"/>
      <c r="D616" s="146"/>
      <c r="E616" s="49"/>
      <c r="F616" s="49"/>
      <c r="G616" s="49"/>
      <c r="H616" s="42"/>
      <c r="I616" s="49"/>
      <c r="J616" s="42"/>
      <c r="K616" s="49"/>
      <c r="L616" s="49"/>
      <c r="M616" s="42"/>
      <c r="N616" s="42"/>
      <c r="O616" s="42"/>
      <c r="P616" s="42"/>
      <c r="Q616" s="49"/>
      <c r="R616" s="49"/>
      <c r="S616" s="49"/>
      <c r="T616" s="49"/>
      <c r="U616" s="49"/>
      <c r="V616" s="49"/>
      <c r="W616" s="49"/>
      <c r="X616" s="49"/>
      <c r="Y616" s="49"/>
      <c r="Z616" s="49"/>
      <c r="AA616" s="49"/>
      <c r="AB616" s="49"/>
      <c r="AC616" s="49"/>
      <c r="AD616" s="49"/>
    </row>
    <row r="617">
      <c r="A617" s="49"/>
      <c r="B617" s="49"/>
      <c r="C617" s="146"/>
      <c r="D617" s="146"/>
      <c r="E617" s="49"/>
      <c r="F617" s="49"/>
      <c r="G617" s="49"/>
      <c r="H617" s="42"/>
      <c r="I617" s="49"/>
      <c r="J617" s="42"/>
      <c r="K617" s="49"/>
      <c r="L617" s="49"/>
      <c r="M617" s="42"/>
      <c r="N617" s="42"/>
      <c r="O617" s="42"/>
      <c r="P617" s="42"/>
      <c r="Q617" s="49"/>
      <c r="R617" s="49"/>
      <c r="S617" s="49"/>
      <c r="T617" s="49"/>
      <c r="U617" s="49"/>
      <c r="V617" s="49"/>
      <c r="W617" s="49"/>
      <c r="X617" s="49"/>
      <c r="Y617" s="49"/>
      <c r="Z617" s="49"/>
      <c r="AA617" s="49"/>
      <c r="AB617" s="49"/>
      <c r="AC617" s="49"/>
      <c r="AD617" s="49"/>
    </row>
    <row r="618">
      <c r="A618" s="49"/>
      <c r="B618" s="49"/>
      <c r="C618" s="146"/>
      <c r="D618" s="146"/>
      <c r="E618" s="49"/>
      <c r="F618" s="49"/>
      <c r="G618" s="49"/>
      <c r="H618" s="42"/>
      <c r="I618" s="49"/>
      <c r="J618" s="42"/>
      <c r="K618" s="49"/>
      <c r="L618" s="49"/>
      <c r="M618" s="42"/>
      <c r="N618" s="42"/>
      <c r="O618" s="42"/>
      <c r="P618" s="42"/>
      <c r="Q618" s="49"/>
      <c r="R618" s="49"/>
      <c r="S618" s="49"/>
      <c r="T618" s="49"/>
      <c r="U618" s="49"/>
      <c r="V618" s="49"/>
      <c r="W618" s="49"/>
      <c r="X618" s="49"/>
      <c r="Y618" s="49"/>
      <c r="Z618" s="49"/>
      <c r="AA618" s="49"/>
      <c r="AB618" s="49"/>
      <c r="AC618" s="49"/>
      <c r="AD618" s="49"/>
    </row>
    <row r="619">
      <c r="A619" s="49"/>
      <c r="B619" s="49"/>
      <c r="C619" s="146"/>
      <c r="D619" s="146"/>
      <c r="E619" s="49"/>
      <c r="F619" s="49"/>
      <c r="G619" s="49"/>
      <c r="H619" s="42"/>
      <c r="I619" s="49"/>
      <c r="J619" s="42"/>
      <c r="K619" s="49"/>
      <c r="L619" s="49"/>
      <c r="M619" s="42"/>
      <c r="N619" s="42"/>
      <c r="O619" s="42"/>
      <c r="P619" s="42"/>
      <c r="Q619" s="49"/>
      <c r="R619" s="49"/>
      <c r="S619" s="49"/>
      <c r="T619" s="49"/>
      <c r="U619" s="49"/>
      <c r="V619" s="49"/>
      <c r="W619" s="49"/>
      <c r="X619" s="49"/>
      <c r="Y619" s="49"/>
      <c r="Z619" s="49"/>
      <c r="AA619" s="49"/>
      <c r="AB619" s="49"/>
      <c r="AC619" s="49"/>
      <c r="AD619" s="49"/>
    </row>
    <row r="620">
      <c r="A620" s="49"/>
      <c r="B620" s="49"/>
      <c r="C620" s="146"/>
      <c r="D620" s="146"/>
      <c r="E620" s="49"/>
      <c r="F620" s="49"/>
      <c r="G620" s="49"/>
      <c r="H620" s="42"/>
      <c r="I620" s="49"/>
      <c r="J620" s="42"/>
      <c r="K620" s="49"/>
      <c r="L620" s="49"/>
      <c r="M620" s="42"/>
      <c r="N620" s="42"/>
      <c r="O620" s="42"/>
      <c r="P620" s="42"/>
      <c r="Q620" s="49"/>
      <c r="R620" s="49"/>
      <c r="S620" s="49"/>
      <c r="T620" s="49"/>
      <c r="U620" s="49"/>
      <c r="V620" s="49"/>
      <c r="W620" s="49"/>
      <c r="X620" s="49"/>
      <c r="Y620" s="49"/>
      <c r="Z620" s="49"/>
      <c r="AA620" s="49"/>
      <c r="AB620" s="49"/>
      <c r="AC620" s="49"/>
      <c r="AD620" s="49"/>
    </row>
    <row r="621">
      <c r="A621" s="49"/>
      <c r="B621" s="49"/>
      <c r="C621" s="146"/>
      <c r="D621" s="146"/>
      <c r="E621" s="49"/>
      <c r="F621" s="49"/>
      <c r="G621" s="49"/>
      <c r="H621" s="42"/>
      <c r="I621" s="49"/>
      <c r="J621" s="42"/>
      <c r="K621" s="49"/>
      <c r="L621" s="49"/>
      <c r="M621" s="42"/>
      <c r="N621" s="42"/>
      <c r="O621" s="42"/>
      <c r="P621" s="42"/>
      <c r="Q621" s="49"/>
      <c r="R621" s="49"/>
      <c r="S621" s="49"/>
      <c r="T621" s="49"/>
      <c r="U621" s="49"/>
      <c r="V621" s="49"/>
      <c r="W621" s="49"/>
      <c r="X621" s="49"/>
      <c r="Y621" s="49"/>
      <c r="Z621" s="49"/>
      <c r="AA621" s="49"/>
      <c r="AB621" s="49"/>
      <c r="AC621" s="49"/>
      <c r="AD621" s="49"/>
    </row>
    <row r="622">
      <c r="A622" s="49"/>
      <c r="B622" s="49"/>
      <c r="C622" s="146"/>
      <c r="D622" s="146"/>
      <c r="E622" s="49"/>
      <c r="F622" s="49"/>
      <c r="G622" s="49"/>
      <c r="H622" s="42"/>
      <c r="I622" s="49"/>
      <c r="J622" s="42"/>
      <c r="K622" s="49"/>
      <c r="L622" s="49"/>
      <c r="M622" s="42"/>
      <c r="N622" s="42"/>
      <c r="O622" s="42"/>
      <c r="P622" s="42"/>
      <c r="Q622" s="49"/>
      <c r="R622" s="49"/>
      <c r="S622" s="49"/>
      <c r="T622" s="49"/>
      <c r="U622" s="49"/>
      <c r="V622" s="49"/>
      <c r="W622" s="49"/>
      <c r="X622" s="49"/>
      <c r="Y622" s="49"/>
      <c r="Z622" s="49"/>
      <c r="AA622" s="49"/>
      <c r="AB622" s="49"/>
      <c r="AC622" s="49"/>
      <c r="AD622" s="49"/>
    </row>
    <row r="623">
      <c r="A623" s="49"/>
      <c r="B623" s="49"/>
      <c r="C623" s="146"/>
      <c r="D623" s="146"/>
      <c r="E623" s="49"/>
      <c r="F623" s="49"/>
      <c r="G623" s="49"/>
      <c r="H623" s="42"/>
      <c r="I623" s="49"/>
      <c r="J623" s="42"/>
      <c r="K623" s="49"/>
      <c r="L623" s="49"/>
      <c r="M623" s="42"/>
      <c r="N623" s="42"/>
      <c r="O623" s="42"/>
      <c r="P623" s="42"/>
      <c r="Q623" s="49"/>
      <c r="R623" s="49"/>
      <c r="S623" s="49"/>
      <c r="T623" s="49"/>
      <c r="U623" s="49"/>
      <c r="V623" s="49"/>
      <c r="W623" s="49"/>
      <c r="X623" s="49"/>
      <c r="Y623" s="49"/>
      <c r="Z623" s="49"/>
      <c r="AA623" s="49"/>
      <c r="AB623" s="49"/>
      <c r="AC623" s="49"/>
      <c r="AD623" s="49"/>
    </row>
    <row r="624">
      <c r="A624" s="49"/>
      <c r="B624" s="49"/>
      <c r="C624" s="146"/>
      <c r="D624" s="146"/>
      <c r="E624" s="49"/>
      <c r="F624" s="49"/>
      <c r="G624" s="49"/>
      <c r="H624" s="42"/>
      <c r="I624" s="49"/>
      <c r="J624" s="42"/>
      <c r="K624" s="49"/>
      <c r="L624" s="49"/>
      <c r="M624" s="42"/>
      <c r="N624" s="42"/>
      <c r="O624" s="42"/>
      <c r="P624" s="42"/>
      <c r="Q624" s="49"/>
      <c r="R624" s="49"/>
      <c r="S624" s="49"/>
      <c r="T624" s="49"/>
      <c r="U624" s="49"/>
      <c r="V624" s="49"/>
      <c r="W624" s="49"/>
      <c r="X624" s="49"/>
      <c r="Y624" s="49"/>
      <c r="Z624" s="49"/>
      <c r="AA624" s="49"/>
      <c r="AB624" s="49"/>
      <c r="AC624" s="49"/>
      <c r="AD624" s="49"/>
    </row>
    <row r="625">
      <c r="A625" s="49"/>
      <c r="B625" s="49"/>
      <c r="C625" s="146"/>
      <c r="D625" s="146"/>
      <c r="E625" s="49"/>
      <c r="F625" s="49"/>
      <c r="G625" s="49"/>
      <c r="H625" s="42"/>
      <c r="I625" s="49"/>
      <c r="J625" s="42"/>
      <c r="K625" s="49"/>
      <c r="L625" s="49"/>
      <c r="M625" s="42"/>
      <c r="N625" s="42"/>
      <c r="O625" s="42"/>
      <c r="P625" s="42"/>
      <c r="Q625" s="49"/>
      <c r="R625" s="49"/>
      <c r="S625" s="49"/>
      <c r="T625" s="49"/>
      <c r="U625" s="49"/>
      <c r="V625" s="49"/>
      <c r="W625" s="49"/>
      <c r="X625" s="49"/>
      <c r="Y625" s="49"/>
      <c r="Z625" s="49"/>
      <c r="AA625" s="49"/>
      <c r="AB625" s="49"/>
      <c r="AC625" s="49"/>
      <c r="AD625" s="49"/>
    </row>
    <row r="626">
      <c r="A626" s="49"/>
      <c r="B626" s="49"/>
      <c r="C626" s="146"/>
      <c r="D626" s="146"/>
      <c r="E626" s="49"/>
      <c r="F626" s="49"/>
      <c r="G626" s="49"/>
      <c r="H626" s="42"/>
      <c r="I626" s="49"/>
      <c r="J626" s="42"/>
      <c r="K626" s="49"/>
      <c r="L626" s="49"/>
      <c r="M626" s="42"/>
      <c r="N626" s="42"/>
      <c r="O626" s="42"/>
      <c r="P626" s="42"/>
      <c r="Q626" s="49"/>
      <c r="R626" s="49"/>
      <c r="S626" s="49"/>
      <c r="T626" s="49"/>
      <c r="U626" s="49"/>
      <c r="V626" s="49"/>
      <c r="W626" s="49"/>
      <c r="X626" s="49"/>
      <c r="Y626" s="49"/>
      <c r="Z626" s="49"/>
      <c r="AA626" s="49"/>
      <c r="AB626" s="49"/>
      <c r="AC626" s="49"/>
      <c r="AD626" s="49"/>
    </row>
    <row r="627">
      <c r="A627" s="49"/>
      <c r="B627" s="49"/>
      <c r="C627" s="146"/>
      <c r="D627" s="146"/>
      <c r="E627" s="49"/>
      <c r="F627" s="49"/>
      <c r="G627" s="49"/>
      <c r="H627" s="42"/>
      <c r="I627" s="49"/>
      <c r="J627" s="42"/>
      <c r="K627" s="49"/>
      <c r="L627" s="49"/>
      <c r="M627" s="42"/>
      <c r="N627" s="42"/>
      <c r="O627" s="42"/>
      <c r="P627" s="42"/>
      <c r="Q627" s="49"/>
      <c r="R627" s="49"/>
      <c r="S627" s="49"/>
      <c r="T627" s="49"/>
      <c r="U627" s="49"/>
      <c r="V627" s="49"/>
      <c r="W627" s="49"/>
      <c r="X627" s="49"/>
      <c r="Y627" s="49"/>
      <c r="Z627" s="49"/>
      <c r="AA627" s="49"/>
      <c r="AB627" s="49"/>
      <c r="AC627" s="49"/>
      <c r="AD627" s="49"/>
    </row>
    <row r="628">
      <c r="A628" s="49"/>
      <c r="B628" s="49"/>
      <c r="C628" s="146"/>
      <c r="D628" s="146"/>
      <c r="E628" s="49"/>
      <c r="F628" s="49"/>
      <c r="G628" s="49"/>
      <c r="H628" s="42"/>
      <c r="I628" s="49"/>
      <c r="J628" s="42"/>
      <c r="K628" s="49"/>
      <c r="L628" s="49"/>
      <c r="M628" s="42"/>
      <c r="N628" s="42"/>
      <c r="O628" s="42"/>
      <c r="P628" s="42"/>
      <c r="Q628" s="49"/>
      <c r="R628" s="49"/>
      <c r="S628" s="49"/>
      <c r="T628" s="49"/>
      <c r="U628" s="49"/>
      <c r="V628" s="49"/>
      <c r="W628" s="49"/>
      <c r="X628" s="49"/>
      <c r="Y628" s="49"/>
      <c r="Z628" s="49"/>
      <c r="AA628" s="49"/>
      <c r="AB628" s="49"/>
      <c r="AC628" s="49"/>
      <c r="AD628" s="49"/>
    </row>
    <row r="629">
      <c r="A629" s="49"/>
      <c r="B629" s="49"/>
      <c r="C629" s="146"/>
      <c r="D629" s="146"/>
      <c r="E629" s="49"/>
      <c r="F629" s="49"/>
      <c r="G629" s="49"/>
      <c r="H629" s="42"/>
      <c r="I629" s="49"/>
      <c r="J629" s="42"/>
      <c r="K629" s="49"/>
      <c r="L629" s="49"/>
      <c r="M629" s="42"/>
      <c r="N629" s="42"/>
      <c r="O629" s="42"/>
      <c r="P629" s="42"/>
      <c r="Q629" s="49"/>
      <c r="R629" s="49"/>
      <c r="S629" s="49"/>
      <c r="T629" s="49"/>
      <c r="U629" s="49"/>
      <c r="V629" s="49"/>
      <c r="W629" s="49"/>
      <c r="X629" s="49"/>
      <c r="Y629" s="49"/>
      <c r="Z629" s="49"/>
      <c r="AA629" s="49"/>
      <c r="AB629" s="49"/>
      <c r="AC629" s="49"/>
      <c r="AD629" s="49"/>
    </row>
    <row r="630">
      <c r="A630" s="49"/>
      <c r="B630" s="49"/>
      <c r="C630" s="146"/>
      <c r="D630" s="146"/>
      <c r="E630" s="49"/>
      <c r="F630" s="49"/>
      <c r="G630" s="49"/>
      <c r="H630" s="42"/>
      <c r="I630" s="49"/>
      <c r="J630" s="42"/>
      <c r="K630" s="49"/>
      <c r="L630" s="49"/>
      <c r="M630" s="42"/>
      <c r="N630" s="42"/>
      <c r="O630" s="42"/>
      <c r="P630" s="42"/>
      <c r="Q630" s="49"/>
      <c r="R630" s="49"/>
      <c r="S630" s="49"/>
      <c r="T630" s="49"/>
      <c r="U630" s="49"/>
      <c r="V630" s="49"/>
      <c r="W630" s="49"/>
      <c r="X630" s="49"/>
      <c r="Y630" s="49"/>
      <c r="Z630" s="49"/>
      <c r="AA630" s="49"/>
      <c r="AB630" s="49"/>
      <c r="AC630" s="49"/>
      <c r="AD630" s="49"/>
    </row>
    <row r="631">
      <c r="A631" s="49"/>
      <c r="B631" s="49"/>
      <c r="C631" s="146"/>
      <c r="D631" s="146"/>
      <c r="E631" s="49"/>
      <c r="F631" s="49"/>
      <c r="G631" s="49"/>
      <c r="H631" s="42"/>
      <c r="I631" s="49"/>
      <c r="J631" s="42"/>
      <c r="K631" s="49"/>
      <c r="L631" s="49"/>
      <c r="M631" s="42"/>
      <c r="N631" s="42"/>
      <c r="O631" s="42"/>
      <c r="P631" s="42"/>
      <c r="Q631" s="49"/>
      <c r="R631" s="49"/>
      <c r="S631" s="49"/>
      <c r="T631" s="49"/>
      <c r="U631" s="49"/>
      <c r="V631" s="49"/>
      <c r="W631" s="49"/>
      <c r="X631" s="49"/>
      <c r="Y631" s="49"/>
      <c r="Z631" s="49"/>
      <c r="AA631" s="49"/>
      <c r="AB631" s="49"/>
      <c r="AC631" s="49"/>
      <c r="AD631" s="49"/>
    </row>
    <row r="632">
      <c r="A632" s="49"/>
      <c r="B632" s="49"/>
      <c r="C632" s="146"/>
      <c r="D632" s="146"/>
      <c r="E632" s="49"/>
      <c r="F632" s="49"/>
      <c r="G632" s="49"/>
      <c r="H632" s="42"/>
      <c r="I632" s="49"/>
      <c r="J632" s="42"/>
      <c r="K632" s="49"/>
      <c r="L632" s="49"/>
      <c r="M632" s="42"/>
      <c r="N632" s="42"/>
      <c r="O632" s="42"/>
      <c r="P632" s="42"/>
      <c r="Q632" s="49"/>
      <c r="R632" s="49"/>
      <c r="S632" s="49"/>
      <c r="T632" s="49"/>
      <c r="U632" s="49"/>
      <c r="V632" s="49"/>
      <c r="W632" s="49"/>
      <c r="X632" s="49"/>
      <c r="Y632" s="49"/>
      <c r="Z632" s="49"/>
      <c r="AA632" s="49"/>
      <c r="AB632" s="49"/>
      <c r="AC632" s="49"/>
      <c r="AD632" s="49"/>
    </row>
    <row r="633">
      <c r="A633" s="49"/>
      <c r="B633" s="49"/>
      <c r="C633" s="146"/>
      <c r="D633" s="146"/>
      <c r="E633" s="49"/>
      <c r="F633" s="49"/>
      <c r="G633" s="49"/>
      <c r="H633" s="42"/>
      <c r="I633" s="49"/>
      <c r="J633" s="42"/>
      <c r="K633" s="49"/>
      <c r="L633" s="49"/>
      <c r="M633" s="42"/>
      <c r="N633" s="42"/>
      <c r="O633" s="42"/>
      <c r="P633" s="42"/>
      <c r="Q633" s="49"/>
      <c r="R633" s="49"/>
      <c r="S633" s="49"/>
      <c r="T633" s="49"/>
      <c r="U633" s="49"/>
      <c r="V633" s="49"/>
      <c r="W633" s="49"/>
      <c r="X633" s="49"/>
      <c r="Y633" s="49"/>
      <c r="Z633" s="49"/>
      <c r="AA633" s="49"/>
      <c r="AB633" s="49"/>
      <c r="AC633" s="49"/>
      <c r="AD633" s="49"/>
    </row>
    <row r="634">
      <c r="A634" s="49"/>
      <c r="B634" s="49"/>
      <c r="C634" s="146"/>
      <c r="D634" s="146"/>
      <c r="E634" s="49"/>
      <c r="F634" s="49"/>
      <c r="G634" s="49"/>
      <c r="H634" s="42"/>
      <c r="I634" s="49"/>
      <c r="J634" s="42"/>
      <c r="K634" s="49"/>
      <c r="L634" s="49"/>
      <c r="M634" s="42"/>
      <c r="N634" s="42"/>
      <c r="O634" s="42"/>
      <c r="P634" s="42"/>
      <c r="Q634" s="49"/>
      <c r="R634" s="49"/>
      <c r="S634" s="49"/>
      <c r="T634" s="49"/>
      <c r="U634" s="49"/>
      <c r="V634" s="49"/>
      <c r="W634" s="49"/>
      <c r="X634" s="49"/>
      <c r="Y634" s="49"/>
      <c r="Z634" s="49"/>
      <c r="AA634" s="49"/>
      <c r="AB634" s="49"/>
      <c r="AC634" s="49"/>
      <c r="AD634" s="49"/>
    </row>
    <row r="635">
      <c r="A635" s="49"/>
      <c r="B635" s="49"/>
      <c r="C635" s="146"/>
      <c r="D635" s="146"/>
      <c r="E635" s="49"/>
      <c r="F635" s="49"/>
      <c r="G635" s="49"/>
      <c r="H635" s="42"/>
      <c r="I635" s="49"/>
      <c r="J635" s="42"/>
      <c r="K635" s="49"/>
      <c r="L635" s="49"/>
      <c r="M635" s="42"/>
      <c r="N635" s="42"/>
      <c r="O635" s="42"/>
      <c r="P635" s="42"/>
      <c r="Q635" s="49"/>
      <c r="R635" s="49"/>
      <c r="S635" s="49"/>
      <c r="T635" s="49"/>
      <c r="U635" s="49"/>
      <c r="V635" s="49"/>
      <c r="W635" s="49"/>
      <c r="X635" s="49"/>
      <c r="Y635" s="49"/>
      <c r="Z635" s="49"/>
      <c r="AA635" s="49"/>
      <c r="AB635" s="49"/>
      <c r="AC635" s="49"/>
      <c r="AD635" s="49"/>
    </row>
    <row r="636">
      <c r="A636" s="49"/>
      <c r="B636" s="49"/>
      <c r="C636" s="146"/>
      <c r="D636" s="146"/>
      <c r="E636" s="49"/>
      <c r="F636" s="49"/>
      <c r="G636" s="49"/>
      <c r="H636" s="42"/>
      <c r="I636" s="49"/>
      <c r="J636" s="42"/>
      <c r="K636" s="49"/>
      <c r="L636" s="49"/>
      <c r="M636" s="42"/>
      <c r="N636" s="42"/>
      <c r="O636" s="42"/>
      <c r="P636" s="42"/>
      <c r="Q636" s="49"/>
      <c r="R636" s="49"/>
      <c r="S636" s="49"/>
      <c r="T636" s="49"/>
      <c r="U636" s="49"/>
      <c r="V636" s="49"/>
      <c r="W636" s="49"/>
      <c r="X636" s="49"/>
      <c r="Y636" s="49"/>
      <c r="Z636" s="49"/>
      <c r="AA636" s="49"/>
      <c r="AB636" s="49"/>
      <c r="AC636" s="49"/>
      <c r="AD636" s="49"/>
    </row>
    <row r="637">
      <c r="A637" s="49"/>
      <c r="B637" s="49"/>
      <c r="C637" s="146"/>
      <c r="D637" s="146"/>
      <c r="E637" s="49"/>
      <c r="F637" s="49"/>
      <c r="G637" s="49"/>
      <c r="H637" s="42"/>
      <c r="I637" s="49"/>
      <c r="J637" s="42"/>
      <c r="K637" s="49"/>
      <c r="L637" s="49"/>
      <c r="M637" s="42"/>
      <c r="N637" s="42"/>
      <c r="O637" s="42"/>
      <c r="P637" s="42"/>
      <c r="Q637" s="49"/>
      <c r="R637" s="49"/>
      <c r="S637" s="49"/>
      <c r="T637" s="49"/>
      <c r="U637" s="49"/>
      <c r="V637" s="49"/>
      <c r="W637" s="49"/>
      <c r="X637" s="49"/>
      <c r="Y637" s="49"/>
      <c r="Z637" s="49"/>
      <c r="AA637" s="49"/>
      <c r="AB637" s="49"/>
      <c r="AC637" s="49"/>
      <c r="AD637" s="49"/>
    </row>
    <row r="638">
      <c r="A638" s="49"/>
      <c r="B638" s="49"/>
      <c r="C638" s="146"/>
      <c r="D638" s="146"/>
      <c r="E638" s="49"/>
      <c r="F638" s="49"/>
      <c r="G638" s="49"/>
      <c r="H638" s="42"/>
      <c r="I638" s="49"/>
      <c r="J638" s="42"/>
      <c r="K638" s="49"/>
      <c r="L638" s="49"/>
      <c r="M638" s="42"/>
      <c r="N638" s="42"/>
      <c r="O638" s="42"/>
      <c r="P638" s="42"/>
      <c r="Q638" s="49"/>
      <c r="R638" s="49"/>
      <c r="S638" s="49"/>
      <c r="T638" s="49"/>
      <c r="U638" s="49"/>
      <c r="V638" s="49"/>
      <c r="W638" s="49"/>
      <c r="X638" s="49"/>
      <c r="Y638" s="49"/>
      <c r="Z638" s="49"/>
      <c r="AA638" s="49"/>
      <c r="AB638" s="49"/>
      <c r="AC638" s="49"/>
      <c r="AD638" s="49"/>
    </row>
    <row r="639">
      <c r="A639" s="49"/>
      <c r="B639" s="49"/>
      <c r="C639" s="146"/>
      <c r="D639" s="146"/>
      <c r="E639" s="49"/>
      <c r="F639" s="49"/>
      <c r="G639" s="49"/>
      <c r="H639" s="42"/>
      <c r="I639" s="49"/>
      <c r="J639" s="42"/>
      <c r="K639" s="49"/>
      <c r="L639" s="49"/>
      <c r="M639" s="42"/>
      <c r="N639" s="42"/>
      <c r="O639" s="42"/>
      <c r="P639" s="42"/>
      <c r="Q639" s="49"/>
      <c r="R639" s="49"/>
      <c r="S639" s="49"/>
      <c r="T639" s="49"/>
      <c r="U639" s="49"/>
      <c r="V639" s="49"/>
      <c r="W639" s="49"/>
      <c r="X639" s="49"/>
      <c r="Y639" s="49"/>
      <c r="Z639" s="49"/>
      <c r="AA639" s="49"/>
      <c r="AB639" s="49"/>
      <c r="AC639" s="49"/>
      <c r="AD639" s="49"/>
    </row>
    <row r="640">
      <c r="A640" s="49"/>
      <c r="B640" s="49"/>
      <c r="C640" s="146"/>
      <c r="D640" s="146"/>
      <c r="E640" s="49"/>
      <c r="F640" s="49"/>
      <c r="G640" s="49"/>
      <c r="H640" s="42"/>
      <c r="I640" s="49"/>
      <c r="J640" s="42"/>
      <c r="K640" s="49"/>
      <c r="L640" s="49"/>
      <c r="M640" s="42"/>
      <c r="N640" s="42"/>
      <c r="O640" s="42"/>
      <c r="P640" s="42"/>
      <c r="Q640" s="49"/>
      <c r="R640" s="49"/>
      <c r="S640" s="49"/>
      <c r="T640" s="49"/>
      <c r="U640" s="49"/>
      <c r="V640" s="49"/>
      <c r="W640" s="49"/>
      <c r="X640" s="49"/>
      <c r="Y640" s="49"/>
      <c r="Z640" s="49"/>
      <c r="AA640" s="49"/>
      <c r="AB640" s="49"/>
      <c r="AC640" s="49"/>
      <c r="AD640" s="49"/>
    </row>
    <row r="641">
      <c r="A641" s="49"/>
      <c r="B641" s="49"/>
      <c r="C641" s="146"/>
      <c r="D641" s="146"/>
      <c r="E641" s="49"/>
      <c r="F641" s="49"/>
      <c r="G641" s="49"/>
      <c r="H641" s="42"/>
      <c r="I641" s="49"/>
      <c r="J641" s="42"/>
      <c r="K641" s="49"/>
      <c r="L641" s="49"/>
      <c r="M641" s="42"/>
      <c r="N641" s="42"/>
      <c r="O641" s="42"/>
      <c r="P641" s="42"/>
      <c r="Q641" s="49"/>
      <c r="R641" s="49"/>
      <c r="S641" s="49"/>
      <c r="T641" s="49"/>
      <c r="U641" s="49"/>
      <c r="V641" s="49"/>
      <c r="W641" s="49"/>
      <c r="X641" s="49"/>
      <c r="Y641" s="49"/>
      <c r="Z641" s="49"/>
      <c r="AA641" s="49"/>
      <c r="AB641" s="49"/>
      <c r="AC641" s="49"/>
      <c r="AD641" s="49"/>
    </row>
    <row r="642">
      <c r="A642" s="49"/>
      <c r="B642" s="49"/>
      <c r="C642" s="146"/>
      <c r="D642" s="146"/>
      <c r="E642" s="49"/>
      <c r="F642" s="49"/>
      <c r="G642" s="49"/>
      <c r="H642" s="42"/>
      <c r="I642" s="49"/>
      <c r="J642" s="42"/>
      <c r="K642" s="49"/>
      <c r="L642" s="49"/>
      <c r="M642" s="42"/>
      <c r="N642" s="42"/>
      <c r="O642" s="42"/>
      <c r="P642" s="42"/>
      <c r="Q642" s="49"/>
      <c r="R642" s="49"/>
      <c r="S642" s="49"/>
      <c r="T642" s="49"/>
      <c r="U642" s="49"/>
      <c r="V642" s="49"/>
      <c r="W642" s="49"/>
      <c r="X642" s="49"/>
      <c r="Y642" s="49"/>
      <c r="Z642" s="49"/>
      <c r="AA642" s="49"/>
      <c r="AB642" s="49"/>
      <c r="AC642" s="49"/>
      <c r="AD642" s="49"/>
    </row>
    <row r="643">
      <c r="A643" s="49"/>
      <c r="B643" s="49"/>
      <c r="C643" s="146"/>
      <c r="D643" s="146"/>
      <c r="E643" s="49"/>
      <c r="F643" s="49"/>
      <c r="G643" s="49"/>
      <c r="H643" s="42"/>
      <c r="I643" s="49"/>
      <c r="J643" s="42"/>
      <c r="K643" s="49"/>
      <c r="L643" s="49"/>
      <c r="M643" s="42"/>
      <c r="N643" s="42"/>
      <c r="O643" s="42"/>
      <c r="P643" s="42"/>
      <c r="Q643" s="49"/>
      <c r="R643" s="49"/>
      <c r="S643" s="49"/>
      <c r="T643" s="49"/>
      <c r="U643" s="49"/>
      <c r="V643" s="49"/>
      <c r="W643" s="49"/>
      <c r="X643" s="49"/>
      <c r="Y643" s="49"/>
      <c r="Z643" s="49"/>
      <c r="AA643" s="49"/>
      <c r="AB643" s="49"/>
      <c r="AC643" s="49"/>
      <c r="AD643" s="49"/>
    </row>
    <row r="644">
      <c r="A644" s="49"/>
      <c r="B644" s="49"/>
      <c r="C644" s="146"/>
      <c r="D644" s="146"/>
      <c r="E644" s="49"/>
      <c r="F644" s="49"/>
      <c r="G644" s="49"/>
      <c r="H644" s="42"/>
      <c r="I644" s="49"/>
      <c r="J644" s="42"/>
      <c r="K644" s="49"/>
      <c r="L644" s="49"/>
      <c r="M644" s="42"/>
      <c r="N644" s="42"/>
      <c r="O644" s="42"/>
      <c r="P644" s="42"/>
      <c r="Q644" s="49"/>
      <c r="R644" s="49"/>
      <c r="S644" s="49"/>
      <c r="T644" s="49"/>
      <c r="U644" s="49"/>
      <c r="V644" s="49"/>
      <c r="W644" s="49"/>
      <c r="X644" s="49"/>
      <c r="Y644" s="49"/>
      <c r="Z644" s="49"/>
      <c r="AA644" s="49"/>
      <c r="AB644" s="49"/>
      <c r="AC644" s="49"/>
      <c r="AD644" s="49"/>
    </row>
    <row r="645">
      <c r="A645" s="49"/>
      <c r="B645" s="49"/>
      <c r="C645" s="146"/>
      <c r="D645" s="146"/>
      <c r="E645" s="49"/>
      <c r="F645" s="49"/>
      <c r="G645" s="49"/>
      <c r="H645" s="42"/>
      <c r="I645" s="49"/>
      <c r="J645" s="42"/>
      <c r="K645" s="49"/>
      <c r="L645" s="49"/>
      <c r="M645" s="42"/>
      <c r="N645" s="42"/>
      <c r="O645" s="42"/>
      <c r="P645" s="42"/>
      <c r="Q645" s="49"/>
      <c r="R645" s="49"/>
      <c r="S645" s="49"/>
      <c r="T645" s="49"/>
      <c r="U645" s="49"/>
      <c r="V645" s="49"/>
      <c r="W645" s="49"/>
      <c r="X645" s="49"/>
      <c r="Y645" s="49"/>
      <c r="Z645" s="49"/>
      <c r="AA645" s="49"/>
      <c r="AB645" s="49"/>
      <c r="AC645" s="49"/>
      <c r="AD645" s="49"/>
    </row>
    <row r="646">
      <c r="A646" s="49"/>
      <c r="B646" s="49"/>
      <c r="C646" s="146"/>
      <c r="D646" s="146"/>
      <c r="E646" s="49"/>
      <c r="F646" s="49"/>
      <c r="G646" s="49"/>
      <c r="H646" s="42"/>
      <c r="I646" s="49"/>
      <c r="J646" s="42"/>
      <c r="K646" s="49"/>
      <c r="L646" s="49"/>
      <c r="M646" s="42"/>
      <c r="N646" s="42"/>
      <c r="O646" s="42"/>
      <c r="P646" s="42"/>
      <c r="Q646" s="49"/>
      <c r="R646" s="49"/>
      <c r="S646" s="49"/>
      <c r="T646" s="49"/>
      <c r="U646" s="49"/>
      <c r="V646" s="49"/>
      <c r="W646" s="49"/>
      <c r="X646" s="49"/>
      <c r="Y646" s="49"/>
      <c r="Z646" s="49"/>
      <c r="AA646" s="49"/>
      <c r="AB646" s="49"/>
      <c r="AC646" s="49"/>
      <c r="AD646" s="49"/>
    </row>
    <row r="647">
      <c r="A647" s="49"/>
      <c r="B647" s="49"/>
      <c r="C647" s="146"/>
      <c r="D647" s="146"/>
      <c r="E647" s="49"/>
      <c r="F647" s="49"/>
      <c r="G647" s="49"/>
      <c r="H647" s="42"/>
      <c r="I647" s="49"/>
      <c r="J647" s="42"/>
      <c r="K647" s="49"/>
      <c r="L647" s="49"/>
      <c r="M647" s="42"/>
      <c r="N647" s="42"/>
      <c r="O647" s="42"/>
      <c r="P647" s="42"/>
      <c r="Q647" s="49"/>
      <c r="R647" s="49"/>
      <c r="S647" s="49"/>
      <c r="T647" s="49"/>
      <c r="U647" s="49"/>
      <c r="V647" s="49"/>
      <c r="W647" s="49"/>
      <c r="X647" s="49"/>
      <c r="Y647" s="49"/>
      <c r="Z647" s="49"/>
      <c r="AA647" s="49"/>
      <c r="AB647" s="49"/>
      <c r="AC647" s="49"/>
      <c r="AD647" s="49"/>
    </row>
    <row r="648">
      <c r="A648" s="49"/>
      <c r="B648" s="49"/>
      <c r="C648" s="146"/>
      <c r="D648" s="146"/>
      <c r="E648" s="49"/>
      <c r="F648" s="49"/>
      <c r="G648" s="49"/>
      <c r="H648" s="42"/>
      <c r="I648" s="49"/>
      <c r="J648" s="42"/>
      <c r="K648" s="49"/>
      <c r="L648" s="49"/>
      <c r="M648" s="42"/>
      <c r="N648" s="42"/>
      <c r="O648" s="42"/>
      <c r="P648" s="42"/>
      <c r="Q648" s="49"/>
      <c r="R648" s="49"/>
      <c r="S648" s="49"/>
      <c r="T648" s="49"/>
      <c r="U648" s="49"/>
      <c r="V648" s="49"/>
      <c r="W648" s="49"/>
      <c r="X648" s="49"/>
      <c r="Y648" s="49"/>
      <c r="Z648" s="49"/>
      <c r="AA648" s="49"/>
      <c r="AB648" s="49"/>
      <c r="AC648" s="49"/>
      <c r="AD648" s="49"/>
    </row>
    <row r="649">
      <c r="A649" s="49"/>
      <c r="B649" s="49"/>
      <c r="C649" s="146"/>
      <c r="D649" s="146"/>
      <c r="E649" s="49"/>
      <c r="F649" s="49"/>
      <c r="G649" s="49"/>
      <c r="H649" s="42"/>
      <c r="I649" s="49"/>
      <c r="J649" s="42"/>
      <c r="K649" s="49"/>
      <c r="L649" s="49"/>
      <c r="M649" s="42"/>
      <c r="N649" s="42"/>
      <c r="O649" s="42"/>
      <c r="P649" s="42"/>
      <c r="Q649" s="49"/>
      <c r="R649" s="49"/>
      <c r="S649" s="49"/>
      <c r="T649" s="49"/>
      <c r="U649" s="49"/>
      <c r="V649" s="49"/>
      <c r="W649" s="49"/>
      <c r="X649" s="49"/>
      <c r="Y649" s="49"/>
      <c r="Z649" s="49"/>
      <c r="AA649" s="49"/>
      <c r="AB649" s="49"/>
      <c r="AC649" s="49"/>
      <c r="AD649" s="49"/>
    </row>
    <row r="650">
      <c r="A650" s="49"/>
      <c r="B650" s="49"/>
      <c r="C650" s="146"/>
      <c r="D650" s="146"/>
      <c r="E650" s="49"/>
      <c r="F650" s="49"/>
      <c r="G650" s="49"/>
      <c r="H650" s="42"/>
      <c r="I650" s="49"/>
      <c r="J650" s="42"/>
      <c r="K650" s="49"/>
      <c r="L650" s="49"/>
      <c r="M650" s="42"/>
      <c r="N650" s="42"/>
      <c r="O650" s="42"/>
      <c r="P650" s="42"/>
      <c r="Q650" s="49"/>
      <c r="R650" s="49"/>
      <c r="S650" s="49"/>
      <c r="T650" s="49"/>
      <c r="U650" s="49"/>
      <c r="V650" s="49"/>
      <c r="W650" s="49"/>
      <c r="X650" s="49"/>
      <c r="Y650" s="49"/>
      <c r="Z650" s="49"/>
      <c r="AA650" s="49"/>
      <c r="AB650" s="49"/>
      <c r="AC650" s="49"/>
      <c r="AD650" s="49"/>
    </row>
    <row r="651">
      <c r="A651" s="49"/>
      <c r="B651" s="49"/>
      <c r="C651" s="146"/>
      <c r="D651" s="146"/>
      <c r="E651" s="49"/>
      <c r="F651" s="49"/>
      <c r="G651" s="49"/>
      <c r="H651" s="42"/>
      <c r="I651" s="49"/>
      <c r="J651" s="42"/>
      <c r="K651" s="49"/>
      <c r="L651" s="49"/>
      <c r="M651" s="42"/>
      <c r="N651" s="42"/>
      <c r="O651" s="42"/>
      <c r="P651" s="42"/>
      <c r="Q651" s="49"/>
      <c r="R651" s="49"/>
      <c r="S651" s="49"/>
      <c r="T651" s="49"/>
      <c r="U651" s="49"/>
      <c r="V651" s="49"/>
      <c r="W651" s="49"/>
      <c r="X651" s="49"/>
      <c r="Y651" s="49"/>
      <c r="Z651" s="49"/>
      <c r="AA651" s="49"/>
      <c r="AB651" s="49"/>
      <c r="AC651" s="49"/>
      <c r="AD651" s="49"/>
    </row>
    <row r="652">
      <c r="A652" s="49"/>
      <c r="B652" s="49"/>
      <c r="C652" s="146"/>
      <c r="D652" s="146"/>
      <c r="E652" s="49"/>
      <c r="F652" s="49"/>
      <c r="G652" s="49"/>
      <c r="H652" s="42"/>
      <c r="I652" s="49"/>
      <c r="J652" s="42"/>
      <c r="K652" s="49"/>
      <c r="L652" s="49"/>
      <c r="M652" s="42"/>
      <c r="N652" s="42"/>
      <c r="O652" s="42"/>
      <c r="P652" s="42"/>
      <c r="Q652" s="49"/>
      <c r="R652" s="49"/>
      <c r="S652" s="49"/>
      <c r="T652" s="49"/>
      <c r="U652" s="49"/>
      <c r="V652" s="49"/>
      <c r="W652" s="49"/>
      <c r="X652" s="49"/>
      <c r="Y652" s="49"/>
      <c r="Z652" s="49"/>
      <c r="AA652" s="49"/>
      <c r="AB652" s="49"/>
      <c r="AC652" s="49"/>
      <c r="AD652" s="49"/>
    </row>
    <row r="653">
      <c r="A653" s="49"/>
      <c r="B653" s="49"/>
      <c r="C653" s="146"/>
      <c r="D653" s="146"/>
      <c r="E653" s="49"/>
      <c r="F653" s="49"/>
      <c r="G653" s="49"/>
      <c r="H653" s="42"/>
      <c r="I653" s="49"/>
      <c r="J653" s="42"/>
      <c r="K653" s="49"/>
      <c r="L653" s="49"/>
      <c r="M653" s="42"/>
      <c r="N653" s="42"/>
      <c r="O653" s="42"/>
      <c r="P653" s="42"/>
      <c r="Q653" s="49"/>
      <c r="R653" s="49"/>
      <c r="S653" s="49"/>
      <c r="T653" s="49"/>
      <c r="U653" s="49"/>
      <c r="V653" s="49"/>
      <c r="W653" s="49"/>
      <c r="X653" s="49"/>
      <c r="Y653" s="49"/>
      <c r="Z653" s="49"/>
      <c r="AA653" s="49"/>
      <c r="AB653" s="49"/>
      <c r="AC653" s="49"/>
      <c r="AD653" s="49"/>
    </row>
    <row r="654">
      <c r="A654" s="49"/>
      <c r="B654" s="49"/>
      <c r="C654" s="146"/>
      <c r="D654" s="146"/>
      <c r="E654" s="49"/>
      <c r="F654" s="49"/>
      <c r="G654" s="49"/>
      <c r="H654" s="42"/>
      <c r="I654" s="49"/>
      <c r="J654" s="42"/>
      <c r="K654" s="49"/>
      <c r="L654" s="49"/>
      <c r="M654" s="42"/>
      <c r="N654" s="42"/>
      <c r="O654" s="42"/>
      <c r="P654" s="42"/>
      <c r="Q654" s="49"/>
      <c r="R654" s="49"/>
      <c r="S654" s="49"/>
      <c r="T654" s="49"/>
      <c r="U654" s="49"/>
      <c r="V654" s="49"/>
      <c r="W654" s="49"/>
      <c r="X654" s="49"/>
      <c r="Y654" s="49"/>
      <c r="Z654" s="49"/>
      <c r="AA654" s="49"/>
      <c r="AB654" s="49"/>
      <c r="AC654" s="49"/>
      <c r="AD654" s="49"/>
    </row>
    <row r="655">
      <c r="A655" s="49"/>
      <c r="B655" s="49"/>
      <c r="C655" s="146"/>
      <c r="D655" s="146"/>
      <c r="E655" s="49"/>
      <c r="F655" s="49"/>
      <c r="G655" s="49"/>
      <c r="H655" s="42"/>
      <c r="I655" s="49"/>
      <c r="J655" s="42"/>
      <c r="K655" s="49"/>
      <c r="L655" s="49"/>
      <c r="M655" s="42"/>
      <c r="N655" s="42"/>
      <c r="O655" s="42"/>
      <c r="P655" s="42"/>
      <c r="Q655" s="49"/>
      <c r="R655" s="49"/>
      <c r="S655" s="49"/>
      <c r="T655" s="49"/>
      <c r="U655" s="49"/>
      <c r="V655" s="49"/>
      <c r="W655" s="49"/>
      <c r="X655" s="49"/>
      <c r="Y655" s="49"/>
      <c r="Z655" s="49"/>
      <c r="AA655" s="49"/>
      <c r="AB655" s="49"/>
      <c r="AC655" s="49"/>
      <c r="AD655" s="49"/>
    </row>
    <row r="656">
      <c r="A656" s="49"/>
      <c r="B656" s="49"/>
      <c r="C656" s="146"/>
      <c r="D656" s="146"/>
      <c r="E656" s="49"/>
      <c r="F656" s="49"/>
      <c r="G656" s="49"/>
      <c r="H656" s="42"/>
      <c r="I656" s="49"/>
      <c r="J656" s="42"/>
      <c r="K656" s="49"/>
      <c r="L656" s="49"/>
      <c r="M656" s="42"/>
      <c r="N656" s="42"/>
      <c r="O656" s="42"/>
      <c r="P656" s="42"/>
      <c r="Q656" s="49"/>
      <c r="R656" s="49"/>
      <c r="S656" s="49"/>
      <c r="T656" s="49"/>
      <c r="U656" s="49"/>
      <c r="V656" s="49"/>
      <c r="W656" s="49"/>
      <c r="X656" s="49"/>
      <c r="Y656" s="49"/>
      <c r="Z656" s="49"/>
      <c r="AA656" s="49"/>
      <c r="AB656" s="49"/>
      <c r="AC656" s="49"/>
      <c r="AD656" s="49"/>
    </row>
    <row r="657">
      <c r="A657" s="49"/>
      <c r="B657" s="49"/>
      <c r="C657" s="146"/>
      <c r="D657" s="146"/>
      <c r="E657" s="49"/>
      <c r="F657" s="49"/>
      <c r="G657" s="49"/>
      <c r="H657" s="42"/>
      <c r="I657" s="49"/>
      <c r="J657" s="42"/>
      <c r="K657" s="49"/>
      <c r="L657" s="49"/>
      <c r="M657" s="42"/>
      <c r="N657" s="42"/>
      <c r="O657" s="42"/>
      <c r="P657" s="42"/>
      <c r="Q657" s="49"/>
      <c r="R657" s="49"/>
      <c r="S657" s="49"/>
      <c r="T657" s="49"/>
      <c r="U657" s="49"/>
      <c r="V657" s="49"/>
      <c r="W657" s="49"/>
      <c r="X657" s="49"/>
      <c r="Y657" s="49"/>
      <c r="Z657" s="49"/>
      <c r="AA657" s="49"/>
      <c r="AB657" s="49"/>
      <c r="AC657" s="49"/>
      <c r="AD657" s="49"/>
    </row>
    <row r="658">
      <c r="A658" s="49"/>
      <c r="B658" s="49"/>
      <c r="C658" s="146"/>
      <c r="D658" s="146"/>
      <c r="E658" s="49"/>
      <c r="F658" s="49"/>
      <c r="G658" s="49"/>
      <c r="H658" s="42"/>
      <c r="I658" s="49"/>
      <c r="J658" s="42"/>
      <c r="K658" s="49"/>
      <c r="L658" s="49"/>
      <c r="M658" s="42"/>
      <c r="N658" s="42"/>
      <c r="O658" s="42"/>
      <c r="P658" s="42"/>
      <c r="Q658" s="49"/>
      <c r="R658" s="49"/>
      <c r="S658" s="49"/>
      <c r="T658" s="49"/>
      <c r="U658" s="49"/>
      <c r="V658" s="49"/>
      <c r="W658" s="49"/>
      <c r="X658" s="49"/>
      <c r="Y658" s="49"/>
      <c r="Z658" s="49"/>
      <c r="AA658" s="49"/>
      <c r="AB658" s="49"/>
      <c r="AC658" s="49"/>
      <c r="AD658" s="49"/>
    </row>
    <row r="659">
      <c r="A659" s="49"/>
      <c r="B659" s="49"/>
      <c r="C659" s="146"/>
      <c r="D659" s="146"/>
      <c r="E659" s="49"/>
      <c r="F659" s="49"/>
      <c r="G659" s="49"/>
      <c r="H659" s="42"/>
      <c r="I659" s="49"/>
      <c r="J659" s="42"/>
      <c r="K659" s="49"/>
      <c r="L659" s="49"/>
      <c r="M659" s="42"/>
      <c r="N659" s="42"/>
      <c r="O659" s="42"/>
      <c r="P659" s="42"/>
      <c r="Q659" s="49"/>
      <c r="R659" s="49"/>
      <c r="S659" s="49"/>
      <c r="T659" s="49"/>
      <c r="U659" s="49"/>
      <c r="V659" s="49"/>
      <c r="W659" s="49"/>
      <c r="X659" s="49"/>
      <c r="Y659" s="49"/>
      <c r="Z659" s="49"/>
      <c r="AA659" s="49"/>
      <c r="AB659" s="49"/>
      <c r="AC659" s="49"/>
      <c r="AD659" s="49"/>
    </row>
    <row r="660">
      <c r="A660" s="49"/>
      <c r="B660" s="49"/>
      <c r="C660" s="146"/>
      <c r="D660" s="146"/>
      <c r="E660" s="49"/>
      <c r="F660" s="49"/>
      <c r="G660" s="49"/>
      <c r="H660" s="42"/>
      <c r="I660" s="49"/>
      <c r="J660" s="42"/>
      <c r="K660" s="49"/>
      <c r="L660" s="49"/>
      <c r="M660" s="42"/>
      <c r="N660" s="42"/>
      <c r="O660" s="42"/>
      <c r="P660" s="42"/>
      <c r="Q660" s="49"/>
      <c r="R660" s="49"/>
      <c r="S660" s="49"/>
      <c r="T660" s="49"/>
      <c r="U660" s="49"/>
      <c r="V660" s="49"/>
      <c r="W660" s="49"/>
      <c r="X660" s="49"/>
      <c r="Y660" s="49"/>
      <c r="Z660" s="49"/>
      <c r="AA660" s="49"/>
      <c r="AB660" s="49"/>
      <c r="AC660" s="49"/>
      <c r="AD660" s="49"/>
    </row>
    <row r="661">
      <c r="A661" s="49"/>
      <c r="B661" s="49"/>
      <c r="C661" s="146"/>
      <c r="D661" s="146"/>
      <c r="E661" s="49"/>
      <c r="F661" s="49"/>
      <c r="G661" s="49"/>
      <c r="H661" s="42"/>
      <c r="I661" s="49"/>
      <c r="J661" s="42"/>
      <c r="K661" s="49"/>
      <c r="L661" s="49"/>
      <c r="M661" s="42"/>
      <c r="N661" s="42"/>
      <c r="O661" s="42"/>
      <c r="P661" s="42"/>
      <c r="Q661" s="49"/>
      <c r="R661" s="49"/>
      <c r="S661" s="49"/>
      <c r="T661" s="49"/>
      <c r="U661" s="49"/>
      <c r="V661" s="49"/>
      <c r="W661" s="49"/>
      <c r="X661" s="49"/>
      <c r="Y661" s="49"/>
      <c r="Z661" s="49"/>
      <c r="AA661" s="49"/>
      <c r="AB661" s="49"/>
      <c r="AC661" s="49"/>
      <c r="AD661" s="49"/>
    </row>
    <row r="662">
      <c r="A662" s="49"/>
      <c r="B662" s="49"/>
      <c r="C662" s="146"/>
      <c r="D662" s="146"/>
      <c r="E662" s="49"/>
      <c r="F662" s="49"/>
      <c r="G662" s="49"/>
      <c r="H662" s="42"/>
      <c r="I662" s="49"/>
      <c r="J662" s="42"/>
      <c r="K662" s="49"/>
      <c r="L662" s="49"/>
      <c r="M662" s="42"/>
      <c r="N662" s="42"/>
      <c r="O662" s="42"/>
      <c r="P662" s="42"/>
      <c r="Q662" s="49"/>
      <c r="R662" s="49"/>
      <c r="S662" s="49"/>
      <c r="T662" s="49"/>
      <c r="U662" s="49"/>
      <c r="V662" s="49"/>
      <c r="W662" s="49"/>
      <c r="X662" s="49"/>
      <c r="Y662" s="49"/>
      <c r="Z662" s="49"/>
      <c r="AA662" s="49"/>
      <c r="AB662" s="49"/>
      <c r="AC662" s="49"/>
      <c r="AD662" s="49"/>
    </row>
    <row r="663">
      <c r="A663" s="49"/>
      <c r="B663" s="49"/>
      <c r="C663" s="146"/>
      <c r="D663" s="146"/>
      <c r="E663" s="49"/>
      <c r="F663" s="49"/>
      <c r="G663" s="49"/>
      <c r="H663" s="42"/>
      <c r="I663" s="49"/>
      <c r="J663" s="42"/>
      <c r="K663" s="49"/>
      <c r="L663" s="49"/>
      <c r="M663" s="42"/>
      <c r="N663" s="42"/>
      <c r="O663" s="42"/>
      <c r="P663" s="42"/>
      <c r="Q663" s="49"/>
      <c r="R663" s="49"/>
      <c r="S663" s="49"/>
      <c r="T663" s="49"/>
      <c r="U663" s="49"/>
      <c r="V663" s="49"/>
      <c r="W663" s="49"/>
      <c r="X663" s="49"/>
      <c r="Y663" s="49"/>
      <c r="Z663" s="49"/>
      <c r="AA663" s="49"/>
      <c r="AB663" s="49"/>
      <c r="AC663" s="49"/>
      <c r="AD663" s="49"/>
    </row>
    <row r="664">
      <c r="A664" s="49"/>
      <c r="B664" s="49"/>
      <c r="C664" s="146"/>
      <c r="D664" s="146"/>
      <c r="E664" s="49"/>
      <c r="F664" s="49"/>
      <c r="G664" s="49"/>
      <c r="H664" s="42"/>
      <c r="I664" s="49"/>
      <c r="J664" s="42"/>
      <c r="K664" s="49"/>
      <c r="L664" s="49"/>
      <c r="M664" s="42"/>
      <c r="N664" s="42"/>
      <c r="O664" s="42"/>
      <c r="P664" s="42"/>
      <c r="Q664" s="49"/>
      <c r="R664" s="49"/>
      <c r="S664" s="49"/>
      <c r="T664" s="49"/>
      <c r="U664" s="49"/>
      <c r="V664" s="49"/>
      <c r="W664" s="49"/>
      <c r="X664" s="49"/>
      <c r="Y664" s="49"/>
      <c r="Z664" s="49"/>
      <c r="AA664" s="49"/>
      <c r="AB664" s="49"/>
      <c r="AC664" s="49"/>
      <c r="AD664" s="49"/>
    </row>
    <row r="665">
      <c r="A665" s="49"/>
      <c r="B665" s="49"/>
      <c r="C665" s="146"/>
      <c r="D665" s="146"/>
      <c r="E665" s="49"/>
      <c r="F665" s="49"/>
      <c r="G665" s="49"/>
      <c r="H665" s="42"/>
      <c r="I665" s="49"/>
      <c r="J665" s="42"/>
      <c r="K665" s="49"/>
      <c r="L665" s="49"/>
      <c r="M665" s="42"/>
      <c r="N665" s="42"/>
      <c r="O665" s="42"/>
      <c r="P665" s="42"/>
      <c r="Q665" s="49"/>
      <c r="R665" s="49"/>
      <c r="S665" s="49"/>
      <c r="T665" s="49"/>
      <c r="U665" s="49"/>
      <c r="V665" s="49"/>
      <c r="W665" s="49"/>
      <c r="X665" s="49"/>
      <c r="Y665" s="49"/>
      <c r="Z665" s="49"/>
      <c r="AA665" s="49"/>
      <c r="AB665" s="49"/>
      <c r="AC665" s="49"/>
      <c r="AD665" s="49"/>
    </row>
    <row r="666">
      <c r="A666" s="49"/>
      <c r="B666" s="49"/>
      <c r="C666" s="146"/>
      <c r="D666" s="146"/>
      <c r="E666" s="49"/>
      <c r="F666" s="49"/>
      <c r="G666" s="49"/>
      <c r="H666" s="42"/>
      <c r="I666" s="49"/>
      <c r="J666" s="42"/>
      <c r="K666" s="49"/>
      <c r="L666" s="49"/>
      <c r="M666" s="42"/>
      <c r="N666" s="42"/>
      <c r="O666" s="42"/>
      <c r="P666" s="42"/>
      <c r="Q666" s="49"/>
      <c r="R666" s="49"/>
      <c r="S666" s="49"/>
      <c r="T666" s="49"/>
      <c r="U666" s="49"/>
      <c r="V666" s="49"/>
      <c r="W666" s="49"/>
      <c r="X666" s="49"/>
      <c r="Y666" s="49"/>
      <c r="Z666" s="49"/>
      <c r="AA666" s="49"/>
      <c r="AB666" s="49"/>
      <c r="AC666" s="49"/>
      <c r="AD666" s="49"/>
    </row>
    <row r="667">
      <c r="A667" s="49"/>
      <c r="B667" s="49"/>
      <c r="C667" s="146"/>
      <c r="D667" s="146"/>
      <c r="E667" s="49"/>
      <c r="F667" s="49"/>
      <c r="G667" s="49"/>
      <c r="H667" s="42"/>
      <c r="I667" s="49"/>
      <c r="J667" s="42"/>
      <c r="K667" s="49"/>
      <c r="L667" s="49"/>
      <c r="M667" s="42"/>
      <c r="N667" s="42"/>
      <c r="O667" s="42"/>
      <c r="P667" s="42"/>
      <c r="Q667" s="49"/>
      <c r="R667" s="49"/>
      <c r="S667" s="49"/>
      <c r="T667" s="49"/>
      <c r="U667" s="49"/>
      <c r="V667" s="49"/>
      <c r="W667" s="49"/>
      <c r="X667" s="49"/>
      <c r="Y667" s="49"/>
      <c r="Z667" s="49"/>
      <c r="AA667" s="49"/>
      <c r="AB667" s="49"/>
      <c r="AC667" s="49"/>
      <c r="AD667" s="49"/>
    </row>
    <row r="668">
      <c r="A668" s="49"/>
      <c r="B668" s="49"/>
      <c r="C668" s="146"/>
      <c r="D668" s="146"/>
      <c r="E668" s="49"/>
      <c r="F668" s="49"/>
      <c r="G668" s="49"/>
      <c r="H668" s="42"/>
      <c r="I668" s="49"/>
      <c r="J668" s="42"/>
      <c r="K668" s="49"/>
      <c r="L668" s="49"/>
      <c r="M668" s="42"/>
      <c r="N668" s="42"/>
      <c r="O668" s="42"/>
      <c r="P668" s="42"/>
      <c r="Q668" s="49"/>
      <c r="R668" s="49"/>
      <c r="S668" s="49"/>
      <c r="T668" s="49"/>
      <c r="U668" s="49"/>
      <c r="V668" s="49"/>
      <c r="W668" s="49"/>
      <c r="X668" s="49"/>
      <c r="Y668" s="49"/>
      <c r="Z668" s="49"/>
      <c r="AA668" s="49"/>
      <c r="AB668" s="49"/>
      <c r="AC668" s="49"/>
      <c r="AD668" s="49"/>
    </row>
    <row r="669">
      <c r="A669" s="49"/>
      <c r="B669" s="49"/>
      <c r="C669" s="146"/>
      <c r="D669" s="146"/>
      <c r="E669" s="49"/>
      <c r="F669" s="49"/>
      <c r="G669" s="49"/>
      <c r="H669" s="42"/>
      <c r="I669" s="49"/>
      <c r="J669" s="42"/>
      <c r="K669" s="49"/>
      <c r="L669" s="49"/>
      <c r="M669" s="42"/>
      <c r="N669" s="42"/>
      <c r="O669" s="42"/>
      <c r="P669" s="42"/>
      <c r="Q669" s="49"/>
      <c r="R669" s="49"/>
      <c r="S669" s="49"/>
      <c r="T669" s="49"/>
      <c r="U669" s="49"/>
      <c r="V669" s="49"/>
      <c r="W669" s="49"/>
      <c r="X669" s="49"/>
      <c r="Y669" s="49"/>
      <c r="Z669" s="49"/>
      <c r="AA669" s="49"/>
      <c r="AB669" s="49"/>
      <c r="AC669" s="49"/>
      <c r="AD669" s="49"/>
    </row>
    <row r="670">
      <c r="A670" s="49"/>
      <c r="B670" s="49"/>
      <c r="C670" s="146"/>
      <c r="D670" s="146"/>
      <c r="E670" s="49"/>
      <c r="F670" s="49"/>
      <c r="G670" s="49"/>
      <c r="H670" s="42"/>
      <c r="I670" s="49"/>
      <c r="J670" s="42"/>
      <c r="K670" s="49"/>
      <c r="L670" s="49"/>
      <c r="M670" s="42"/>
      <c r="N670" s="42"/>
      <c r="O670" s="42"/>
      <c r="P670" s="42"/>
      <c r="Q670" s="49"/>
      <c r="R670" s="49"/>
      <c r="S670" s="49"/>
      <c r="T670" s="49"/>
      <c r="U670" s="49"/>
      <c r="V670" s="49"/>
      <c r="W670" s="49"/>
      <c r="X670" s="49"/>
      <c r="Y670" s="49"/>
      <c r="Z670" s="49"/>
      <c r="AA670" s="49"/>
      <c r="AB670" s="49"/>
      <c r="AC670" s="49"/>
      <c r="AD670" s="49"/>
    </row>
    <row r="671">
      <c r="A671" s="49"/>
      <c r="B671" s="49"/>
      <c r="C671" s="146"/>
      <c r="D671" s="146"/>
      <c r="E671" s="49"/>
      <c r="F671" s="49"/>
      <c r="G671" s="49"/>
      <c r="H671" s="42"/>
      <c r="I671" s="49"/>
      <c r="J671" s="42"/>
      <c r="K671" s="49"/>
      <c r="L671" s="49"/>
      <c r="M671" s="42"/>
      <c r="N671" s="42"/>
      <c r="O671" s="42"/>
      <c r="P671" s="42"/>
      <c r="Q671" s="49"/>
      <c r="R671" s="49"/>
      <c r="S671" s="49"/>
      <c r="T671" s="49"/>
      <c r="U671" s="49"/>
      <c r="V671" s="49"/>
      <c r="W671" s="49"/>
      <c r="X671" s="49"/>
      <c r="Y671" s="49"/>
      <c r="Z671" s="49"/>
      <c r="AA671" s="49"/>
      <c r="AB671" s="49"/>
      <c r="AC671" s="49"/>
      <c r="AD671" s="49"/>
    </row>
    <row r="672">
      <c r="A672" s="49"/>
      <c r="B672" s="49"/>
      <c r="C672" s="146"/>
      <c r="D672" s="146"/>
      <c r="E672" s="49"/>
      <c r="F672" s="49"/>
      <c r="G672" s="49"/>
      <c r="H672" s="42"/>
      <c r="I672" s="49"/>
      <c r="J672" s="42"/>
      <c r="K672" s="49"/>
      <c r="L672" s="49"/>
      <c r="M672" s="42"/>
      <c r="N672" s="42"/>
      <c r="O672" s="42"/>
      <c r="P672" s="42"/>
      <c r="Q672" s="49"/>
      <c r="R672" s="49"/>
      <c r="S672" s="49"/>
      <c r="T672" s="49"/>
      <c r="U672" s="49"/>
      <c r="V672" s="49"/>
      <c r="W672" s="49"/>
      <c r="X672" s="49"/>
      <c r="Y672" s="49"/>
      <c r="Z672" s="49"/>
      <c r="AA672" s="49"/>
      <c r="AB672" s="49"/>
      <c r="AC672" s="49"/>
      <c r="AD672" s="49"/>
    </row>
    <row r="673">
      <c r="A673" s="49"/>
      <c r="B673" s="49"/>
      <c r="C673" s="146"/>
      <c r="D673" s="146"/>
      <c r="E673" s="49"/>
      <c r="F673" s="49"/>
      <c r="G673" s="49"/>
      <c r="H673" s="42"/>
      <c r="I673" s="49"/>
      <c r="J673" s="42"/>
      <c r="K673" s="49"/>
      <c r="L673" s="49"/>
      <c r="M673" s="42"/>
      <c r="N673" s="42"/>
      <c r="O673" s="42"/>
      <c r="P673" s="42"/>
      <c r="Q673" s="49"/>
      <c r="R673" s="49"/>
      <c r="S673" s="49"/>
      <c r="T673" s="49"/>
      <c r="U673" s="49"/>
      <c r="V673" s="49"/>
      <c r="W673" s="49"/>
      <c r="X673" s="49"/>
      <c r="Y673" s="49"/>
      <c r="Z673" s="49"/>
      <c r="AA673" s="49"/>
      <c r="AB673" s="49"/>
      <c r="AC673" s="49"/>
      <c r="AD673" s="49"/>
    </row>
    <row r="674">
      <c r="A674" s="49"/>
      <c r="B674" s="49"/>
      <c r="C674" s="146"/>
      <c r="D674" s="146"/>
      <c r="E674" s="49"/>
      <c r="F674" s="49"/>
      <c r="G674" s="49"/>
      <c r="H674" s="42"/>
      <c r="I674" s="49"/>
      <c r="J674" s="42"/>
      <c r="K674" s="49"/>
      <c r="L674" s="49"/>
      <c r="M674" s="42"/>
      <c r="N674" s="42"/>
      <c r="O674" s="42"/>
      <c r="P674" s="42"/>
      <c r="Q674" s="49"/>
      <c r="R674" s="49"/>
      <c r="S674" s="49"/>
      <c r="T674" s="49"/>
      <c r="U674" s="49"/>
      <c r="V674" s="49"/>
      <c r="W674" s="49"/>
      <c r="X674" s="49"/>
      <c r="Y674" s="49"/>
      <c r="Z674" s="49"/>
      <c r="AA674" s="49"/>
      <c r="AB674" s="49"/>
      <c r="AC674" s="49"/>
      <c r="AD674" s="49"/>
    </row>
    <row r="675">
      <c r="A675" s="49"/>
      <c r="B675" s="49"/>
      <c r="C675" s="146"/>
      <c r="D675" s="146"/>
      <c r="E675" s="49"/>
      <c r="F675" s="49"/>
      <c r="G675" s="49"/>
      <c r="H675" s="42"/>
      <c r="I675" s="49"/>
      <c r="J675" s="42"/>
      <c r="K675" s="49"/>
      <c r="L675" s="49"/>
      <c r="M675" s="42"/>
      <c r="N675" s="42"/>
      <c r="O675" s="42"/>
      <c r="P675" s="42"/>
      <c r="Q675" s="49"/>
      <c r="R675" s="49"/>
      <c r="S675" s="49"/>
      <c r="T675" s="49"/>
      <c r="U675" s="49"/>
      <c r="V675" s="49"/>
      <c r="W675" s="49"/>
      <c r="X675" s="49"/>
      <c r="Y675" s="49"/>
      <c r="Z675" s="49"/>
      <c r="AA675" s="49"/>
      <c r="AB675" s="49"/>
      <c r="AC675" s="49"/>
      <c r="AD675" s="49"/>
    </row>
    <row r="676">
      <c r="A676" s="49"/>
      <c r="B676" s="49"/>
      <c r="C676" s="146"/>
      <c r="D676" s="146"/>
      <c r="E676" s="49"/>
      <c r="F676" s="49"/>
      <c r="G676" s="49"/>
      <c r="H676" s="42"/>
      <c r="I676" s="49"/>
      <c r="J676" s="42"/>
      <c r="K676" s="49"/>
      <c r="L676" s="49"/>
      <c r="M676" s="42"/>
      <c r="N676" s="42"/>
      <c r="O676" s="42"/>
      <c r="P676" s="42"/>
      <c r="Q676" s="49"/>
      <c r="R676" s="49"/>
      <c r="S676" s="49"/>
      <c r="T676" s="49"/>
      <c r="U676" s="49"/>
      <c r="V676" s="49"/>
      <c r="W676" s="49"/>
      <c r="X676" s="49"/>
      <c r="Y676" s="49"/>
      <c r="Z676" s="49"/>
      <c r="AA676" s="49"/>
      <c r="AB676" s="49"/>
      <c r="AC676" s="49"/>
      <c r="AD676" s="49"/>
    </row>
    <row r="677">
      <c r="A677" s="49"/>
      <c r="B677" s="49"/>
      <c r="C677" s="146"/>
      <c r="D677" s="146"/>
      <c r="E677" s="49"/>
      <c r="F677" s="49"/>
      <c r="G677" s="49"/>
      <c r="H677" s="42"/>
      <c r="I677" s="49"/>
      <c r="J677" s="42"/>
      <c r="K677" s="49"/>
      <c r="L677" s="49"/>
      <c r="M677" s="42"/>
      <c r="N677" s="42"/>
      <c r="O677" s="42"/>
      <c r="P677" s="42"/>
      <c r="Q677" s="49"/>
      <c r="R677" s="49"/>
      <c r="S677" s="49"/>
      <c r="T677" s="49"/>
      <c r="U677" s="49"/>
      <c r="V677" s="49"/>
      <c r="W677" s="49"/>
      <c r="X677" s="49"/>
      <c r="Y677" s="49"/>
      <c r="Z677" s="49"/>
      <c r="AA677" s="49"/>
      <c r="AB677" s="49"/>
      <c r="AC677" s="49"/>
      <c r="AD677" s="49"/>
    </row>
    <row r="678">
      <c r="A678" s="49"/>
      <c r="B678" s="49"/>
      <c r="C678" s="146"/>
      <c r="D678" s="146"/>
      <c r="E678" s="49"/>
      <c r="F678" s="49"/>
      <c r="G678" s="49"/>
      <c r="H678" s="42"/>
      <c r="I678" s="49"/>
      <c r="J678" s="42"/>
      <c r="K678" s="49"/>
      <c r="L678" s="49"/>
      <c r="M678" s="42"/>
      <c r="N678" s="42"/>
      <c r="O678" s="42"/>
      <c r="P678" s="42"/>
      <c r="Q678" s="49"/>
      <c r="R678" s="49"/>
      <c r="S678" s="49"/>
      <c r="T678" s="49"/>
      <c r="U678" s="49"/>
      <c r="V678" s="49"/>
      <c r="W678" s="49"/>
      <c r="X678" s="49"/>
      <c r="Y678" s="49"/>
      <c r="Z678" s="49"/>
      <c r="AA678" s="49"/>
      <c r="AB678" s="49"/>
      <c r="AC678" s="49"/>
      <c r="AD678" s="49"/>
    </row>
    <row r="679">
      <c r="A679" s="49"/>
      <c r="B679" s="49"/>
      <c r="C679" s="146"/>
      <c r="D679" s="146"/>
      <c r="E679" s="49"/>
      <c r="F679" s="49"/>
      <c r="G679" s="49"/>
      <c r="H679" s="42"/>
      <c r="I679" s="49"/>
      <c r="J679" s="42"/>
      <c r="K679" s="49"/>
      <c r="L679" s="49"/>
      <c r="M679" s="42"/>
      <c r="N679" s="42"/>
      <c r="O679" s="42"/>
      <c r="P679" s="42"/>
      <c r="Q679" s="49"/>
      <c r="R679" s="49"/>
      <c r="S679" s="49"/>
      <c r="T679" s="49"/>
      <c r="U679" s="49"/>
      <c r="V679" s="49"/>
      <c r="W679" s="49"/>
      <c r="X679" s="49"/>
      <c r="Y679" s="49"/>
      <c r="Z679" s="49"/>
      <c r="AA679" s="49"/>
      <c r="AB679" s="49"/>
      <c r="AC679" s="49"/>
      <c r="AD679" s="49"/>
    </row>
    <row r="680">
      <c r="A680" s="49"/>
      <c r="B680" s="49"/>
      <c r="C680" s="146"/>
      <c r="D680" s="146"/>
      <c r="E680" s="49"/>
      <c r="F680" s="49"/>
      <c r="G680" s="49"/>
      <c r="H680" s="42"/>
      <c r="I680" s="49"/>
      <c r="J680" s="42"/>
      <c r="K680" s="49"/>
      <c r="L680" s="49"/>
      <c r="M680" s="42"/>
      <c r="N680" s="42"/>
      <c r="O680" s="42"/>
      <c r="P680" s="42"/>
      <c r="Q680" s="49"/>
      <c r="R680" s="49"/>
      <c r="S680" s="49"/>
      <c r="T680" s="49"/>
      <c r="U680" s="49"/>
      <c r="V680" s="49"/>
      <c r="W680" s="49"/>
      <c r="X680" s="49"/>
      <c r="Y680" s="49"/>
      <c r="Z680" s="49"/>
      <c r="AA680" s="49"/>
      <c r="AB680" s="49"/>
      <c r="AC680" s="49"/>
      <c r="AD680" s="49"/>
    </row>
    <row r="681">
      <c r="A681" s="49"/>
      <c r="B681" s="49"/>
      <c r="C681" s="146"/>
      <c r="D681" s="146"/>
      <c r="E681" s="49"/>
      <c r="F681" s="49"/>
      <c r="G681" s="49"/>
      <c r="H681" s="42"/>
      <c r="I681" s="49"/>
      <c r="J681" s="42"/>
      <c r="K681" s="49"/>
      <c r="L681" s="49"/>
      <c r="M681" s="42"/>
      <c r="N681" s="42"/>
      <c r="O681" s="42"/>
      <c r="P681" s="42"/>
      <c r="Q681" s="49"/>
      <c r="R681" s="49"/>
      <c r="S681" s="49"/>
      <c r="T681" s="49"/>
      <c r="U681" s="49"/>
      <c r="V681" s="49"/>
      <c r="W681" s="49"/>
      <c r="X681" s="49"/>
      <c r="Y681" s="49"/>
      <c r="Z681" s="49"/>
      <c r="AA681" s="49"/>
      <c r="AB681" s="49"/>
      <c r="AC681" s="49"/>
      <c r="AD681" s="49"/>
    </row>
    <row r="682">
      <c r="A682" s="49"/>
      <c r="B682" s="49"/>
      <c r="C682" s="146"/>
      <c r="D682" s="146"/>
      <c r="E682" s="49"/>
      <c r="F682" s="49"/>
      <c r="G682" s="49"/>
      <c r="H682" s="42"/>
      <c r="I682" s="49"/>
      <c r="J682" s="42"/>
      <c r="K682" s="49"/>
      <c r="L682" s="49"/>
      <c r="M682" s="42"/>
      <c r="N682" s="42"/>
      <c r="O682" s="42"/>
      <c r="P682" s="42"/>
      <c r="Q682" s="49"/>
      <c r="R682" s="49"/>
      <c r="S682" s="49"/>
      <c r="T682" s="49"/>
      <c r="U682" s="49"/>
      <c r="V682" s="49"/>
      <c r="W682" s="49"/>
      <c r="X682" s="49"/>
      <c r="Y682" s="49"/>
      <c r="Z682" s="49"/>
      <c r="AA682" s="49"/>
      <c r="AB682" s="49"/>
      <c r="AC682" s="49"/>
      <c r="AD682" s="49"/>
    </row>
    <row r="683">
      <c r="A683" s="49"/>
      <c r="B683" s="49"/>
      <c r="C683" s="146"/>
      <c r="D683" s="146"/>
      <c r="E683" s="49"/>
      <c r="F683" s="49"/>
      <c r="G683" s="49"/>
      <c r="H683" s="42"/>
      <c r="I683" s="49"/>
      <c r="J683" s="42"/>
      <c r="K683" s="49"/>
      <c r="L683" s="49"/>
      <c r="M683" s="42"/>
      <c r="N683" s="42"/>
      <c r="O683" s="42"/>
      <c r="P683" s="42"/>
      <c r="Q683" s="49"/>
      <c r="R683" s="49"/>
      <c r="S683" s="49"/>
      <c r="T683" s="49"/>
      <c r="U683" s="49"/>
      <c r="V683" s="49"/>
      <c r="W683" s="49"/>
      <c r="X683" s="49"/>
      <c r="Y683" s="49"/>
      <c r="Z683" s="49"/>
      <c r="AA683" s="49"/>
      <c r="AB683" s="49"/>
      <c r="AC683" s="49"/>
      <c r="AD683" s="49"/>
    </row>
    <row r="684">
      <c r="A684" s="49"/>
      <c r="B684" s="49"/>
      <c r="C684" s="146"/>
      <c r="D684" s="146"/>
      <c r="E684" s="49"/>
      <c r="F684" s="49"/>
      <c r="G684" s="49"/>
      <c r="H684" s="42"/>
      <c r="I684" s="49"/>
      <c r="J684" s="42"/>
      <c r="K684" s="49"/>
      <c r="L684" s="49"/>
      <c r="M684" s="42"/>
      <c r="N684" s="42"/>
      <c r="O684" s="42"/>
      <c r="P684" s="42"/>
      <c r="Q684" s="49"/>
      <c r="R684" s="49"/>
      <c r="S684" s="49"/>
      <c r="T684" s="49"/>
      <c r="U684" s="49"/>
      <c r="V684" s="49"/>
      <c r="W684" s="49"/>
      <c r="X684" s="49"/>
      <c r="Y684" s="49"/>
      <c r="Z684" s="49"/>
      <c r="AA684" s="49"/>
      <c r="AB684" s="49"/>
      <c r="AC684" s="49"/>
      <c r="AD684" s="49"/>
    </row>
    <row r="685">
      <c r="A685" s="49"/>
      <c r="B685" s="49"/>
      <c r="C685" s="146"/>
      <c r="D685" s="146"/>
      <c r="E685" s="49"/>
      <c r="F685" s="49"/>
      <c r="G685" s="49"/>
      <c r="H685" s="42"/>
      <c r="I685" s="49"/>
      <c r="J685" s="42"/>
      <c r="K685" s="49"/>
      <c r="L685" s="49"/>
      <c r="M685" s="42"/>
      <c r="N685" s="42"/>
      <c r="O685" s="42"/>
      <c r="P685" s="42"/>
      <c r="Q685" s="49"/>
      <c r="R685" s="49"/>
      <c r="S685" s="49"/>
      <c r="T685" s="49"/>
      <c r="U685" s="49"/>
      <c r="V685" s="49"/>
      <c r="W685" s="49"/>
      <c r="X685" s="49"/>
      <c r="Y685" s="49"/>
      <c r="Z685" s="49"/>
      <c r="AA685" s="49"/>
      <c r="AB685" s="49"/>
      <c r="AC685" s="49"/>
      <c r="AD685" s="49"/>
    </row>
    <row r="686">
      <c r="A686" s="49"/>
      <c r="B686" s="49"/>
      <c r="C686" s="146"/>
      <c r="D686" s="146"/>
      <c r="E686" s="49"/>
      <c r="F686" s="49"/>
      <c r="G686" s="49"/>
      <c r="H686" s="42"/>
      <c r="I686" s="49"/>
      <c r="J686" s="42"/>
      <c r="K686" s="49"/>
      <c r="L686" s="49"/>
      <c r="M686" s="42"/>
      <c r="N686" s="42"/>
      <c r="O686" s="42"/>
      <c r="P686" s="42"/>
      <c r="Q686" s="49"/>
      <c r="R686" s="49"/>
      <c r="S686" s="49"/>
      <c r="T686" s="49"/>
      <c r="U686" s="49"/>
      <c r="V686" s="49"/>
      <c r="W686" s="49"/>
      <c r="X686" s="49"/>
      <c r="Y686" s="49"/>
      <c r="Z686" s="49"/>
      <c r="AA686" s="49"/>
      <c r="AB686" s="49"/>
      <c r="AC686" s="49"/>
      <c r="AD686" s="49"/>
    </row>
    <row r="687">
      <c r="A687" s="49"/>
      <c r="B687" s="49"/>
      <c r="C687" s="146"/>
      <c r="D687" s="146"/>
      <c r="E687" s="49"/>
      <c r="F687" s="49"/>
      <c r="G687" s="49"/>
      <c r="H687" s="42"/>
      <c r="I687" s="49"/>
      <c r="J687" s="42"/>
      <c r="K687" s="49"/>
      <c r="L687" s="49"/>
      <c r="M687" s="42"/>
      <c r="N687" s="42"/>
      <c r="O687" s="42"/>
      <c r="P687" s="42"/>
      <c r="Q687" s="49"/>
      <c r="R687" s="49"/>
      <c r="S687" s="49"/>
      <c r="T687" s="49"/>
      <c r="U687" s="49"/>
      <c r="V687" s="49"/>
      <c r="W687" s="49"/>
      <c r="X687" s="49"/>
      <c r="Y687" s="49"/>
      <c r="Z687" s="49"/>
      <c r="AA687" s="49"/>
      <c r="AB687" s="49"/>
      <c r="AC687" s="49"/>
      <c r="AD687" s="49"/>
    </row>
    <row r="688">
      <c r="A688" s="49"/>
      <c r="B688" s="49"/>
      <c r="C688" s="146"/>
      <c r="D688" s="146"/>
      <c r="E688" s="49"/>
      <c r="F688" s="49"/>
      <c r="G688" s="49"/>
      <c r="H688" s="42"/>
      <c r="I688" s="49"/>
      <c r="J688" s="42"/>
      <c r="K688" s="49"/>
      <c r="L688" s="49"/>
      <c r="M688" s="42"/>
      <c r="N688" s="42"/>
      <c r="O688" s="42"/>
      <c r="P688" s="42"/>
      <c r="Q688" s="49"/>
      <c r="R688" s="49"/>
      <c r="S688" s="49"/>
      <c r="T688" s="49"/>
      <c r="U688" s="49"/>
      <c r="V688" s="49"/>
      <c r="W688" s="49"/>
      <c r="X688" s="49"/>
      <c r="Y688" s="49"/>
      <c r="Z688" s="49"/>
      <c r="AA688" s="49"/>
      <c r="AB688" s="49"/>
      <c r="AC688" s="49"/>
      <c r="AD688" s="49"/>
    </row>
    <row r="689">
      <c r="A689" s="49"/>
      <c r="B689" s="49"/>
      <c r="C689" s="146"/>
      <c r="D689" s="146"/>
      <c r="E689" s="49"/>
      <c r="F689" s="49"/>
      <c r="G689" s="49"/>
      <c r="H689" s="42"/>
      <c r="I689" s="49"/>
      <c r="J689" s="42"/>
      <c r="K689" s="49"/>
      <c r="L689" s="49"/>
      <c r="M689" s="42"/>
      <c r="N689" s="42"/>
      <c r="O689" s="42"/>
      <c r="P689" s="42"/>
      <c r="Q689" s="49"/>
      <c r="R689" s="49"/>
      <c r="S689" s="49"/>
      <c r="T689" s="49"/>
      <c r="U689" s="49"/>
      <c r="V689" s="49"/>
      <c r="W689" s="49"/>
      <c r="X689" s="49"/>
      <c r="Y689" s="49"/>
      <c r="Z689" s="49"/>
      <c r="AA689" s="49"/>
      <c r="AB689" s="49"/>
      <c r="AC689" s="49"/>
      <c r="AD689" s="49"/>
    </row>
    <row r="690">
      <c r="A690" s="49"/>
      <c r="B690" s="49"/>
      <c r="C690" s="146"/>
      <c r="D690" s="146"/>
      <c r="E690" s="49"/>
      <c r="F690" s="49"/>
      <c r="G690" s="49"/>
      <c r="H690" s="42"/>
      <c r="I690" s="49"/>
      <c r="J690" s="42"/>
      <c r="K690" s="49"/>
      <c r="L690" s="49"/>
      <c r="M690" s="42"/>
      <c r="N690" s="42"/>
      <c r="O690" s="42"/>
      <c r="P690" s="42"/>
      <c r="Q690" s="49"/>
      <c r="R690" s="49"/>
      <c r="S690" s="49"/>
      <c r="T690" s="49"/>
      <c r="U690" s="49"/>
      <c r="V690" s="49"/>
      <c r="W690" s="49"/>
      <c r="X690" s="49"/>
      <c r="Y690" s="49"/>
      <c r="Z690" s="49"/>
      <c r="AA690" s="49"/>
      <c r="AB690" s="49"/>
      <c r="AC690" s="49"/>
      <c r="AD690" s="49"/>
    </row>
    <row r="691">
      <c r="A691" s="49"/>
      <c r="B691" s="49"/>
      <c r="C691" s="146"/>
      <c r="D691" s="146"/>
      <c r="E691" s="49"/>
      <c r="F691" s="49"/>
      <c r="G691" s="49"/>
      <c r="H691" s="42"/>
      <c r="I691" s="49"/>
      <c r="J691" s="42"/>
      <c r="K691" s="49"/>
      <c r="L691" s="49"/>
      <c r="M691" s="42"/>
      <c r="N691" s="42"/>
      <c r="O691" s="42"/>
      <c r="P691" s="42"/>
      <c r="Q691" s="49"/>
      <c r="R691" s="49"/>
      <c r="S691" s="49"/>
      <c r="T691" s="49"/>
      <c r="U691" s="49"/>
      <c r="V691" s="49"/>
      <c r="W691" s="49"/>
      <c r="X691" s="49"/>
      <c r="Y691" s="49"/>
      <c r="Z691" s="49"/>
      <c r="AA691" s="49"/>
      <c r="AB691" s="49"/>
      <c r="AC691" s="49"/>
      <c r="AD691" s="49"/>
    </row>
    <row r="692">
      <c r="A692" s="49"/>
      <c r="B692" s="49"/>
      <c r="C692" s="146"/>
      <c r="D692" s="146"/>
      <c r="E692" s="49"/>
      <c r="F692" s="49"/>
      <c r="G692" s="49"/>
      <c r="H692" s="42"/>
      <c r="I692" s="49"/>
      <c r="J692" s="42"/>
      <c r="K692" s="49"/>
      <c r="L692" s="49"/>
      <c r="M692" s="42"/>
      <c r="N692" s="42"/>
      <c r="O692" s="42"/>
      <c r="P692" s="42"/>
      <c r="Q692" s="49"/>
      <c r="R692" s="49"/>
      <c r="S692" s="49"/>
      <c r="T692" s="49"/>
      <c r="U692" s="49"/>
      <c r="V692" s="49"/>
      <c r="W692" s="49"/>
      <c r="X692" s="49"/>
      <c r="Y692" s="49"/>
      <c r="Z692" s="49"/>
      <c r="AA692" s="49"/>
      <c r="AB692" s="49"/>
      <c r="AC692" s="49"/>
      <c r="AD692" s="49"/>
    </row>
    <row r="693">
      <c r="A693" s="49"/>
      <c r="B693" s="49"/>
      <c r="C693" s="146"/>
      <c r="D693" s="146"/>
      <c r="E693" s="49"/>
      <c r="F693" s="49"/>
      <c r="G693" s="49"/>
      <c r="H693" s="42"/>
      <c r="I693" s="49"/>
      <c r="J693" s="42"/>
      <c r="K693" s="49"/>
      <c r="L693" s="49"/>
      <c r="M693" s="42"/>
      <c r="N693" s="42"/>
      <c r="O693" s="42"/>
      <c r="P693" s="42"/>
      <c r="Q693" s="49"/>
      <c r="R693" s="49"/>
      <c r="S693" s="49"/>
      <c r="T693" s="49"/>
      <c r="U693" s="49"/>
      <c r="V693" s="49"/>
      <c r="W693" s="49"/>
      <c r="X693" s="49"/>
      <c r="Y693" s="49"/>
      <c r="Z693" s="49"/>
      <c r="AA693" s="49"/>
      <c r="AB693" s="49"/>
      <c r="AC693" s="49"/>
      <c r="AD693" s="49"/>
    </row>
    <row r="694">
      <c r="A694" s="49"/>
      <c r="B694" s="49"/>
      <c r="C694" s="146"/>
      <c r="D694" s="146"/>
      <c r="E694" s="49"/>
      <c r="F694" s="49"/>
      <c r="G694" s="49"/>
      <c r="H694" s="42"/>
      <c r="I694" s="49"/>
      <c r="J694" s="42"/>
      <c r="K694" s="49"/>
      <c r="L694" s="49"/>
      <c r="M694" s="42"/>
      <c r="N694" s="42"/>
      <c r="O694" s="42"/>
      <c r="P694" s="42"/>
      <c r="Q694" s="49"/>
      <c r="R694" s="49"/>
      <c r="S694" s="49"/>
      <c r="T694" s="49"/>
      <c r="U694" s="49"/>
      <c r="V694" s="49"/>
      <c r="W694" s="49"/>
      <c r="X694" s="49"/>
      <c r="Y694" s="49"/>
      <c r="Z694" s="49"/>
      <c r="AA694" s="49"/>
      <c r="AB694" s="49"/>
      <c r="AC694" s="49"/>
      <c r="AD694" s="49"/>
    </row>
    <row r="695">
      <c r="A695" s="49"/>
      <c r="B695" s="49"/>
      <c r="C695" s="146"/>
      <c r="D695" s="146"/>
      <c r="E695" s="49"/>
      <c r="F695" s="49"/>
      <c r="G695" s="49"/>
      <c r="H695" s="42"/>
      <c r="I695" s="49"/>
      <c r="J695" s="42"/>
      <c r="K695" s="49"/>
      <c r="L695" s="49"/>
      <c r="M695" s="42"/>
      <c r="N695" s="42"/>
      <c r="O695" s="42"/>
      <c r="P695" s="42"/>
      <c r="Q695" s="49"/>
      <c r="R695" s="49"/>
      <c r="S695" s="49"/>
      <c r="T695" s="49"/>
      <c r="U695" s="49"/>
      <c r="V695" s="49"/>
      <c r="W695" s="49"/>
      <c r="X695" s="49"/>
      <c r="Y695" s="49"/>
      <c r="Z695" s="49"/>
      <c r="AA695" s="49"/>
      <c r="AB695" s="49"/>
      <c r="AC695" s="49"/>
      <c r="AD695" s="49"/>
    </row>
    <row r="696">
      <c r="A696" s="49"/>
      <c r="B696" s="49"/>
      <c r="C696" s="146"/>
      <c r="D696" s="146"/>
      <c r="E696" s="49"/>
      <c r="F696" s="49"/>
      <c r="G696" s="49"/>
      <c r="H696" s="42"/>
      <c r="I696" s="49"/>
      <c r="J696" s="42"/>
      <c r="K696" s="49"/>
      <c r="L696" s="49"/>
      <c r="M696" s="42"/>
      <c r="N696" s="42"/>
      <c r="O696" s="42"/>
      <c r="P696" s="42"/>
      <c r="Q696" s="49"/>
      <c r="R696" s="49"/>
      <c r="S696" s="49"/>
      <c r="T696" s="49"/>
      <c r="U696" s="49"/>
      <c r="V696" s="49"/>
      <c r="W696" s="49"/>
      <c r="X696" s="49"/>
      <c r="Y696" s="49"/>
      <c r="Z696" s="49"/>
      <c r="AA696" s="49"/>
      <c r="AB696" s="49"/>
      <c r="AC696" s="49"/>
      <c r="AD696" s="49"/>
    </row>
    <row r="697">
      <c r="A697" s="49"/>
      <c r="B697" s="49"/>
      <c r="C697" s="146"/>
      <c r="D697" s="146"/>
      <c r="E697" s="49"/>
      <c r="F697" s="49"/>
      <c r="G697" s="49"/>
      <c r="H697" s="42"/>
      <c r="I697" s="49"/>
      <c r="J697" s="42"/>
      <c r="K697" s="49"/>
      <c r="L697" s="49"/>
      <c r="M697" s="42"/>
      <c r="N697" s="42"/>
      <c r="O697" s="42"/>
      <c r="P697" s="42"/>
      <c r="Q697" s="49"/>
      <c r="R697" s="49"/>
      <c r="S697" s="49"/>
      <c r="T697" s="49"/>
      <c r="U697" s="49"/>
      <c r="V697" s="49"/>
      <c r="W697" s="49"/>
      <c r="X697" s="49"/>
      <c r="Y697" s="49"/>
      <c r="Z697" s="49"/>
      <c r="AA697" s="49"/>
      <c r="AB697" s="49"/>
      <c r="AC697" s="49"/>
      <c r="AD697" s="49"/>
    </row>
    <row r="698">
      <c r="A698" s="49"/>
      <c r="B698" s="49"/>
      <c r="C698" s="146"/>
      <c r="D698" s="146"/>
      <c r="E698" s="49"/>
      <c r="F698" s="49"/>
      <c r="G698" s="49"/>
      <c r="H698" s="42"/>
      <c r="I698" s="49"/>
      <c r="J698" s="42"/>
      <c r="K698" s="49"/>
      <c r="L698" s="49"/>
      <c r="M698" s="42"/>
      <c r="N698" s="42"/>
      <c r="O698" s="42"/>
      <c r="P698" s="42"/>
      <c r="Q698" s="49"/>
      <c r="R698" s="49"/>
      <c r="S698" s="49"/>
      <c r="T698" s="49"/>
      <c r="U698" s="49"/>
      <c r="V698" s="49"/>
      <c r="W698" s="49"/>
      <c r="X698" s="49"/>
      <c r="Y698" s="49"/>
      <c r="Z698" s="49"/>
      <c r="AA698" s="49"/>
      <c r="AB698" s="49"/>
      <c r="AC698" s="49"/>
      <c r="AD698" s="49"/>
    </row>
    <row r="699">
      <c r="A699" s="49"/>
      <c r="B699" s="49"/>
      <c r="C699" s="146"/>
      <c r="D699" s="146"/>
      <c r="E699" s="49"/>
      <c r="F699" s="49"/>
      <c r="G699" s="49"/>
      <c r="H699" s="42"/>
      <c r="I699" s="49"/>
      <c r="J699" s="42"/>
      <c r="K699" s="49"/>
      <c r="L699" s="49"/>
      <c r="M699" s="42"/>
      <c r="N699" s="42"/>
      <c r="O699" s="42"/>
      <c r="P699" s="42"/>
      <c r="Q699" s="49"/>
      <c r="R699" s="49"/>
      <c r="S699" s="49"/>
      <c r="T699" s="49"/>
      <c r="U699" s="49"/>
      <c r="V699" s="49"/>
      <c r="W699" s="49"/>
      <c r="X699" s="49"/>
      <c r="Y699" s="49"/>
      <c r="Z699" s="49"/>
      <c r="AA699" s="49"/>
      <c r="AB699" s="49"/>
      <c r="AC699" s="49"/>
      <c r="AD699" s="49"/>
    </row>
    <row r="700">
      <c r="A700" s="49"/>
      <c r="B700" s="49"/>
      <c r="C700" s="146"/>
      <c r="D700" s="146"/>
      <c r="E700" s="49"/>
      <c r="F700" s="49"/>
      <c r="G700" s="49"/>
      <c r="H700" s="42"/>
      <c r="I700" s="49"/>
      <c r="J700" s="42"/>
      <c r="K700" s="49"/>
      <c r="L700" s="49"/>
      <c r="M700" s="42"/>
      <c r="N700" s="42"/>
      <c r="O700" s="42"/>
      <c r="P700" s="42"/>
      <c r="Q700" s="49"/>
      <c r="R700" s="49"/>
      <c r="S700" s="49"/>
      <c r="T700" s="49"/>
      <c r="U700" s="49"/>
      <c r="V700" s="49"/>
      <c r="W700" s="49"/>
      <c r="X700" s="49"/>
      <c r="Y700" s="49"/>
      <c r="Z700" s="49"/>
      <c r="AA700" s="49"/>
      <c r="AB700" s="49"/>
      <c r="AC700" s="49"/>
      <c r="AD700" s="49"/>
    </row>
    <row r="701">
      <c r="A701" s="49"/>
      <c r="B701" s="49"/>
      <c r="C701" s="146"/>
      <c r="D701" s="146"/>
      <c r="E701" s="49"/>
      <c r="F701" s="49"/>
      <c r="G701" s="49"/>
      <c r="H701" s="42"/>
      <c r="I701" s="49"/>
      <c r="J701" s="42"/>
      <c r="K701" s="49"/>
      <c r="L701" s="49"/>
      <c r="M701" s="42"/>
      <c r="N701" s="42"/>
      <c r="O701" s="42"/>
      <c r="P701" s="42"/>
      <c r="Q701" s="49"/>
      <c r="R701" s="49"/>
      <c r="S701" s="49"/>
      <c r="T701" s="49"/>
      <c r="U701" s="49"/>
      <c r="V701" s="49"/>
      <c r="W701" s="49"/>
      <c r="X701" s="49"/>
      <c r="Y701" s="49"/>
      <c r="Z701" s="49"/>
      <c r="AA701" s="49"/>
      <c r="AB701" s="49"/>
      <c r="AC701" s="49"/>
      <c r="AD701" s="49"/>
    </row>
    <row r="702">
      <c r="A702" s="49"/>
      <c r="B702" s="49"/>
      <c r="C702" s="146"/>
      <c r="D702" s="146"/>
      <c r="E702" s="49"/>
      <c r="F702" s="49"/>
      <c r="G702" s="49"/>
      <c r="H702" s="42"/>
      <c r="I702" s="49"/>
      <c r="J702" s="42"/>
      <c r="K702" s="49"/>
      <c r="L702" s="49"/>
      <c r="M702" s="42"/>
      <c r="N702" s="42"/>
      <c r="O702" s="42"/>
      <c r="P702" s="42"/>
      <c r="Q702" s="49"/>
      <c r="R702" s="49"/>
      <c r="S702" s="49"/>
      <c r="T702" s="49"/>
      <c r="U702" s="49"/>
      <c r="V702" s="49"/>
      <c r="W702" s="49"/>
      <c r="X702" s="49"/>
      <c r="Y702" s="49"/>
      <c r="Z702" s="49"/>
      <c r="AA702" s="49"/>
      <c r="AB702" s="49"/>
      <c r="AC702" s="49"/>
      <c r="AD702" s="49"/>
    </row>
    <row r="703">
      <c r="A703" s="49"/>
      <c r="B703" s="49"/>
      <c r="C703" s="146"/>
      <c r="D703" s="146"/>
      <c r="E703" s="49"/>
      <c r="F703" s="49"/>
      <c r="G703" s="49"/>
      <c r="H703" s="42"/>
      <c r="I703" s="49"/>
      <c r="J703" s="42"/>
      <c r="K703" s="49"/>
      <c r="L703" s="49"/>
      <c r="M703" s="42"/>
      <c r="N703" s="42"/>
      <c r="O703" s="42"/>
      <c r="P703" s="42"/>
      <c r="Q703" s="49"/>
      <c r="R703" s="49"/>
      <c r="S703" s="49"/>
      <c r="T703" s="49"/>
      <c r="U703" s="49"/>
      <c r="V703" s="49"/>
      <c r="W703" s="49"/>
      <c r="X703" s="49"/>
      <c r="Y703" s="49"/>
      <c r="Z703" s="49"/>
      <c r="AA703" s="49"/>
      <c r="AB703" s="49"/>
      <c r="AC703" s="49"/>
      <c r="AD703" s="49"/>
    </row>
    <row r="704">
      <c r="A704" s="49"/>
      <c r="B704" s="49"/>
      <c r="C704" s="146"/>
      <c r="D704" s="146"/>
      <c r="E704" s="49"/>
      <c r="F704" s="49"/>
      <c r="G704" s="49"/>
      <c r="H704" s="42"/>
      <c r="I704" s="49"/>
      <c r="J704" s="42"/>
      <c r="K704" s="49"/>
      <c r="L704" s="49"/>
      <c r="M704" s="42"/>
      <c r="N704" s="42"/>
      <c r="O704" s="42"/>
      <c r="P704" s="42"/>
      <c r="Q704" s="49"/>
      <c r="R704" s="49"/>
      <c r="S704" s="49"/>
      <c r="T704" s="49"/>
      <c r="U704" s="49"/>
      <c r="V704" s="49"/>
      <c r="W704" s="49"/>
      <c r="X704" s="49"/>
      <c r="Y704" s="49"/>
      <c r="Z704" s="49"/>
      <c r="AA704" s="49"/>
      <c r="AB704" s="49"/>
      <c r="AC704" s="49"/>
      <c r="AD704" s="49"/>
    </row>
    <row r="705">
      <c r="A705" s="49"/>
      <c r="B705" s="49"/>
      <c r="C705" s="146"/>
      <c r="D705" s="146"/>
      <c r="E705" s="49"/>
      <c r="F705" s="49"/>
      <c r="G705" s="49"/>
      <c r="H705" s="42"/>
      <c r="I705" s="49"/>
      <c r="J705" s="42"/>
      <c r="K705" s="49"/>
      <c r="L705" s="49"/>
      <c r="M705" s="42"/>
      <c r="N705" s="42"/>
      <c r="O705" s="42"/>
      <c r="P705" s="42"/>
      <c r="Q705" s="49"/>
      <c r="R705" s="49"/>
      <c r="S705" s="49"/>
      <c r="T705" s="49"/>
      <c r="U705" s="49"/>
      <c r="V705" s="49"/>
      <c r="W705" s="49"/>
      <c r="X705" s="49"/>
      <c r="Y705" s="49"/>
      <c r="Z705" s="49"/>
      <c r="AA705" s="49"/>
      <c r="AB705" s="49"/>
      <c r="AC705" s="49"/>
      <c r="AD705" s="49"/>
    </row>
    <row r="706">
      <c r="A706" s="49"/>
      <c r="B706" s="49"/>
      <c r="C706" s="146"/>
      <c r="D706" s="146"/>
      <c r="E706" s="49"/>
      <c r="F706" s="49"/>
      <c r="G706" s="49"/>
      <c r="H706" s="42"/>
      <c r="I706" s="49"/>
      <c r="J706" s="42"/>
      <c r="K706" s="49"/>
      <c r="L706" s="49"/>
      <c r="M706" s="42"/>
      <c r="N706" s="42"/>
      <c r="O706" s="42"/>
      <c r="P706" s="42"/>
      <c r="Q706" s="49"/>
      <c r="R706" s="49"/>
      <c r="S706" s="49"/>
      <c r="T706" s="49"/>
      <c r="U706" s="49"/>
      <c r="V706" s="49"/>
      <c r="W706" s="49"/>
      <c r="X706" s="49"/>
      <c r="Y706" s="49"/>
      <c r="Z706" s="49"/>
      <c r="AA706" s="49"/>
      <c r="AB706" s="49"/>
      <c r="AC706" s="49"/>
      <c r="AD706" s="49"/>
    </row>
    <row r="707">
      <c r="A707" s="49"/>
      <c r="B707" s="49"/>
      <c r="C707" s="146"/>
      <c r="D707" s="146"/>
      <c r="E707" s="49"/>
      <c r="F707" s="49"/>
      <c r="G707" s="49"/>
      <c r="H707" s="42"/>
      <c r="I707" s="49"/>
      <c r="J707" s="42"/>
      <c r="K707" s="49"/>
      <c r="L707" s="49"/>
      <c r="M707" s="42"/>
      <c r="N707" s="42"/>
      <c r="O707" s="42"/>
      <c r="P707" s="42"/>
      <c r="Q707" s="49"/>
      <c r="R707" s="49"/>
      <c r="S707" s="49"/>
      <c r="T707" s="49"/>
      <c r="U707" s="49"/>
      <c r="V707" s="49"/>
      <c r="W707" s="49"/>
      <c r="X707" s="49"/>
      <c r="Y707" s="49"/>
      <c r="Z707" s="49"/>
      <c r="AA707" s="49"/>
      <c r="AB707" s="49"/>
      <c r="AC707" s="49"/>
      <c r="AD707" s="49"/>
    </row>
    <row r="708">
      <c r="A708" s="49"/>
      <c r="B708" s="49"/>
      <c r="C708" s="146"/>
      <c r="D708" s="146"/>
      <c r="E708" s="49"/>
      <c r="F708" s="49"/>
      <c r="G708" s="49"/>
      <c r="H708" s="42"/>
      <c r="I708" s="49"/>
      <c r="J708" s="42"/>
      <c r="K708" s="49"/>
      <c r="L708" s="49"/>
      <c r="M708" s="42"/>
      <c r="N708" s="42"/>
      <c r="O708" s="42"/>
      <c r="P708" s="42"/>
      <c r="Q708" s="49"/>
      <c r="R708" s="49"/>
      <c r="S708" s="49"/>
      <c r="T708" s="49"/>
      <c r="U708" s="49"/>
      <c r="V708" s="49"/>
      <c r="W708" s="49"/>
      <c r="X708" s="49"/>
      <c r="Y708" s="49"/>
      <c r="Z708" s="49"/>
      <c r="AA708" s="49"/>
      <c r="AB708" s="49"/>
      <c r="AC708" s="49"/>
      <c r="AD708" s="49"/>
    </row>
    <row r="709">
      <c r="A709" s="49"/>
      <c r="B709" s="49"/>
      <c r="C709" s="146"/>
      <c r="D709" s="146"/>
      <c r="E709" s="49"/>
      <c r="F709" s="49"/>
      <c r="G709" s="49"/>
      <c r="H709" s="42"/>
      <c r="I709" s="49"/>
      <c r="J709" s="42"/>
      <c r="K709" s="49"/>
      <c r="L709" s="49"/>
      <c r="M709" s="42"/>
      <c r="N709" s="42"/>
      <c r="O709" s="42"/>
      <c r="P709" s="42"/>
      <c r="Q709" s="49"/>
      <c r="R709" s="49"/>
      <c r="S709" s="49"/>
      <c r="T709" s="49"/>
      <c r="U709" s="49"/>
      <c r="V709" s="49"/>
      <c r="W709" s="49"/>
      <c r="X709" s="49"/>
      <c r="Y709" s="49"/>
      <c r="Z709" s="49"/>
      <c r="AA709" s="49"/>
      <c r="AB709" s="49"/>
      <c r="AC709" s="49"/>
      <c r="AD709" s="49"/>
    </row>
    <row r="710">
      <c r="A710" s="49"/>
      <c r="B710" s="49"/>
      <c r="C710" s="146"/>
      <c r="D710" s="146"/>
      <c r="E710" s="49"/>
      <c r="F710" s="49"/>
      <c r="G710" s="49"/>
      <c r="H710" s="42"/>
      <c r="I710" s="49"/>
      <c r="J710" s="42"/>
      <c r="K710" s="49"/>
      <c r="L710" s="49"/>
      <c r="M710" s="42"/>
      <c r="N710" s="42"/>
      <c r="O710" s="42"/>
      <c r="P710" s="42"/>
      <c r="Q710" s="49"/>
      <c r="R710" s="49"/>
      <c r="S710" s="49"/>
      <c r="T710" s="49"/>
      <c r="U710" s="49"/>
      <c r="V710" s="49"/>
      <c r="W710" s="49"/>
      <c r="X710" s="49"/>
      <c r="Y710" s="49"/>
      <c r="Z710" s="49"/>
      <c r="AA710" s="49"/>
      <c r="AB710" s="49"/>
      <c r="AC710" s="49"/>
      <c r="AD710" s="49"/>
    </row>
    <row r="711">
      <c r="A711" s="49"/>
      <c r="B711" s="49"/>
      <c r="C711" s="146"/>
      <c r="D711" s="146"/>
      <c r="E711" s="49"/>
      <c r="F711" s="49"/>
      <c r="G711" s="49"/>
      <c r="H711" s="42"/>
      <c r="I711" s="49"/>
      <c r="J711" s="42"/>
      <c r="K711" s="49"/>
      <c r="L711" s="49"/>
      <c r="M711" s="42"/>
      <c r="N711" s="42"/>
      <c r="O711" s="42"/>
      <c r="P711" s="42"/>
      <c r="Q711" s="49"/>
      <c r="R711" s="49"/>
      <c r="S711" s="49"/>
      <c r="T711" s="49"/>
      <c r="U711" s="49"/>
      <c r="V711" s="49"/>
      <c r="W711" s="49"/>
      <c r="X711" s="49"/>
      <c r="Y711" s="49"/>
      <c r="Z711" s="49"/>
      <c r="AA711" s="49"/>
      <c r="AB711" s="49"/>
      <c r="AC711" s="49"/>
      <c r="AD711" s="49"/>
    </row>
    <row r="712">
      <c r="A712" s="49"/>
      <c r="B712" s="49"/>
      <c r="C712" s="146"/>
      <c r="D712" s="146"/>
      <c r="E712" s="49"/>
      <c r="F712" s="49"/>
      <c r="G712" s="49"/>
      <c r="H712" s="42"/>
      <c r="I712" s="49"/>
      <c r="J712" s="42"/>
      <c r="K712" s="49"/>
      <c r="L712" s="49"/>
      <c r="M712" s="42"/>
      <c r="N712" s="42"/>
      <c r="O712" s="42"/>
      <c r="P712" s="42"/>
      <c r="Q712" s="49"/>
      <c r="R712" s="49"/>
      <c r="S712" s="49"/>
      <c r="T712" s="49"/>
      <c r="U712" s="49"/>
      <c r="V712" s="49"/>
      <c r="W712" s="49"/>
      <c r="X712" s="49"/>
      <c r="Y712" s="49"/>
      <c r="Z712" s="49"/>
      <c r="AA712" s="49"/>
      <c r="AB712" s="49"/>
      <c r="AC712" s="49"/>
      <c r="AD712" s="49"/>
    </row>
    <row r="713">
      <c r="A713" s="49"/>
      <c r="B713" s="49"/>
      <c r="C713" s="146"/>
      <c r="D713" s="146"/>
      <c r="E713" s="49"/>
      <c r="F713" s="49"/>
      <c r="G713" s="49"/>
      <c r="H713" s="42"/>
      <c r="I713" s="49"/>
      <c r="J713" s="42"/>
      <c r="K713" s="49"/>
      <c r="L713" s="49"/>
      <c r="M713" s="42"/>
      <c r="N713" s="42"/>
      <c r="O713" s="42"/>
      <c r="P713" s="42"/>
      <c r="Q713" s="49"/>
      <c r="R713" s="49"/>
      <c r="S713" s="49"/>
      <c r="T713" s="49"/>
      <c r="U713" s="49"/>
      <c r="V713" s="49"/>
      <c r="W713" s="49"/>
      <c r="X713" s="49"/>
      <c r="Y713" s="49"/>
      <c r="Z713" s="49"/>
      <c r="AA713" s="49"/>
      <c r="AB713" s="49"/>
      <c r="AC713" s="49"/>
      <c r="AD713" s="49"/>
    </row>
    <row r="714">
      <c r="A714" s="49"/>
      <c r="B714" s="49"/>
      <c r="C714" s="146"/>
      <c r="D714" s="146"/>
      <c r="E714" s="49"/>
      <c r="F714" s="49"/>
      <c r="G714" s="49"/>
      <c r="H714" s="42"/>
      <c r="I714" s="49"/>
      <c r="J714" s="42"/>
      <c r="K714" s="49"/>
      <c r="L714" s="49"/>
      <c r="M714" s="42"/>
      <c r="N714" s="42"/>
      <c r="O714" s="42"/>
      <c r="P714" s="42"/>
      <c r="Q714" s="49"/>
      <c r="R714" s="49"/>
      <c r="S714" s="49"/>
      <c r="T714" s="49"/>
      <c r="U714" s="49"/>
      <c r="V714" s="49"/>
      <c r="W714" s="49"/>
      <c r="X714" s="49"/>
      <c r="Y714" s="49"/>
      <c r="Z714" s="49"/>
      <c r="AA714" s="49"/>
      <c r="AB714" s="49"/>
      <c r="AC714" s="49"/>
      <c r="AD714" s="49"/>
    </row>
    <row r="715">
      <c r="A715" s="49"/>
      <c r="B715" s="49"/>
      <c r="C715" s="146"/>
      <c r="D715" s="146"/>
      <c r="E715" s="49"/>
      <c r="F715" s="49"/>
      <c r="G715" s="49"/>
      <c r="H715" s="42"/>
      <c r="I715" s="49"/>
      <c r="J715" s="42"/>
      <c r="K715" s="49"/>
      <c r="L715" s="49"/>
      <c r="M715" s="42"/>
      <c r="N715" s="42"/>
      <c r="O715" s="42"/>
      <c r="P715" s="42"/>
      <c r="Q715" s="49"/>
      <c r="R715" s="49"/>
      <c r="S715" s="49"/>
      <c r="T715" s="49"/>
      <c r="U715" s="49"/>
      <c r="V715" s="49"/>
      <c r="W715" s="49"/>
      <c r="X715" s="49"/>
      <c r="Y715" s="49"/>
      <c r="Z715" s="49"/>
      <c r="AA715" s="49"/>
      <c r="AB715" s="49"/>
      <c r="AC715" s="49"/>
      <c r="AD715" s="49"/>
    </row>
    <row r="716">
      <c r="A716" s="49"/>
      <c r="B716" s="49"/>
      <c r="C716" s="146"/>
      <c r="D716" s="146"/>
      <c r="E716" s="49"/>
      <c r="F716" s="49"/>
      <c r="G716" s="49"/>
      <c r="H716" s="42"/>
      <c r="I716" s="49"/>
      <c r="J716" s="42"/>
      <c r="K716" s="49"/>
      <c r="L716" s="49"/>
      <c r="M716" s="42"/>
      <c r="N716" s="42"/>
      <c r="O716" s="42"/>
      <c r="P716" s="42"/>
      <c r="Q716" s="49"/>
      <c r="R716" s="49"/>
      <c r="S716" s="49"/>
      <c r="T716" s="49"/>
      <c r="U716" s="49"/>
      <c r="V716" s="49"/>
      <c r="W716" s="49"/>
      <c r="X716" s="49"/>
      <c r="Y716" s="49"/>
      <c r="Z716" s="49"/>
      <c r="AA716" s="49"/>
      <c r="AB716" s="49"/>
      <c r="AC716" s="49"/>
      <c r="AD716" s="49"/>
    </row>
    <row r="717">
      <c r="A717" s="49"/>
      <c r="B717" s="49"/>
      <c r="C717" s="146"/>
      <c r="D717" s="146"/>
      <c r="E717" s="49"/>
      <c r="F717" s="49"/>
      <c r="G717" s="49"/>
      <c r="H717" s="42"/>
      <c r="I717" s="49"/>
      <c r="J717" s="42"/>
      <c r="K717" s="49"/>
      <c r="L717" s="49"/>
      <c r="M717" s="42"/>
      <c r="N717" s="42"/>
      <c r="O717" s="42"/>
      <c r="P717" s="42"/>
      <c r="Q717" s="49"/>
      <c r="R717" s="49"/>
      <c r="S717" s="49"/>
      <c r="T717" s="49"/>
      <c r="U717" s="49"/>
      <c r="V717" s="49"/>
      <c r="W717" s="49"/>
      <c r="X717" s="49"/>
      <c r="Y717" s="49"/>
      <c r="Z717" s="49"/>
      <c r="AA717" s="49"/>
      <c r="AB717" s="49"/>
      <c r="AC717" s="49"/>
      <c r="AD717" s="49"/>
    </row>
    <row r="718">
      <c r="A718" s="49"/>
      <c r="B718" s="49"/>
      <c r="C718" s="146"/>
      <c r="D718" s="146"/>
      <c r="E718" s="49"/>
      <c r="F718" s="49"/>
      <c r="G718" s="49"/>
      <c r="H718" s="42"/>
      <c r="I718" s="49"/>
      <c r="J718" s="42"/>
      <c r="K718" s="49"/>
      <c r="L718" s="49"/>
      <c r="M718" s="42"/>
      <c r="N718" s="42"/>
      <c r="O718" s="42"/>
      <c r="P718" s="42"/>
      <c r="Q718" s="49"/>
      <c r="R718" s="49"/>
      <c r="S718" s="49"/>
      <c r="T718" s="49"/>
      <c r="U718" s="49"/>
      <c r="V718" s="49"/>
      <c r="W718" s="49"/>
      <c r="X718" s="49"/>
      <c r="Y718" s="49"/>
      <c r="Z718" s="49"/>
      <c r="AA718" s="49"/>
      <c r="AB718" s="49"/>
      <c r="AC718" s="49"/>
      <c r="AD718" s="49"/>
    </row>
    <row r="719">
      <c r="A719" s="49"/>
      <c r="B719" s="49"/>
      <c r="C719" s="146"/>
      <c r="D719" s="146"/>
      <c r="E719" s="49"/>
      <c r="F719" s="49"/>
      <c r="G719" s="49"/>
      <c r="H719" s="42"/>
      <c r="I719" s="49"/>
      <c r="J719" s="42"/>
      <c r="K719" s="49"/>
      <c r="L719" s="49"/>
      <c r="M719" s="42"/>
      <c r="N719" s="42"/>
      <c r="O719" s="42"/>
      <c r="P719" s="42"/>
      <c r="Q719" s="49"/>
      <c r="R719" s="49"/>
      <c r="S719" s="49"/>
      <c r="T719" s="49"/>
      <c r="U719" s="49"/>
      <c r="V719" s="49"/>
      <c r="W719" s="49"/>
      <c r="X719" s="49"/>
      <c r="Y719" s="49"/>
      <c r="Z719" s="49"/>
      <c r="AA719" s="49"/>
      <c r="AB719" s="49"/>
      <c r="AC719" s="49"/>
      <c r="AD719" s="49"/>
    </row>
    <row r="720">
      <c r="A720" s="49"/>
      <c r="B720" s="49"/>
      <c r="C720" s="146"/>
      <c r="D720" s="146"/>
      <c r="E720" s="49"/>
      <c r="F720" s="49"/>
      <c r="G720" s="49"/>
      <c r="H720" s="42"/>
      <c r="I720" s="49"/>
      <c r="J720" s="42"/>
      <c r="K720" s="49"/>
      <c r="L720" s="49"/>
      <c r="M720" s="42"/>
      <c r="N720" s="42"/>
      <c r="O720" s="42"/>
      <c r="P720" s="42"/>
      <c r="Q720" s="49"/>
      <c r="R720" s="49"/>
      <c r="S720" s="49"/>
      <c r="T720" s="49"/>
      <c r="U720" s="49"/>
      <c r="V720" s="49"/>
      <c r="W720" s="49"/>
      <c r="X720" s="49"/>
      <c r="Y720" s="49"/>
      <c r="Z720" s="49"/>
      <c r="AA720" s="49"/>
      <c r="AB720" s="49"/>
      <c r="AC720" s="49"/>
      <c r="AD720" s="49"/>
    </row>
    <row r="721">
      <c r="A721" s="49"/>
      <c r="B721" s="49"/>
      <c r="C721" s="146"/>
      <c r="D721" s="146"/>
      <c r="E721" s="49"/>
      <c r="F721" s="49"/>
      <c r="G721" s="49"/>
      <c r="H721" s="42"/>
      <c r="I721" s="49"/>
      <c r="J721" s="42"/>
      <c r="K721" s="49"/>
      <c r="L721" s="49"/>
      <c r="M721" s="42"/>
      <c r="N721" s="42"/>
      <c r="O721" s="42"/>
      <c r="P721" s="42"/>
      <c r="Q721" s="49"/>
      <c r="R721" s="49"/>
      <c r="S721" s="49"/>
      <c r="T721" s="49"/>
      <c r="U721" s="49"/>
      <c r="V721" s="49"/>
      <c r="W721" s="49"/>
      <c r="X721" s="49"/>
      <c r="Y721" s="49"/>
      <c r="Z721" s="49"/>
      <c r="AA721" s="49"/>
      <c r="AB721" s="49"/>
      <c r="AC721" s="49"/>
      <c r="AD721" s="49"/>
    </row>
    <row r="722">
      <c r="A722" s="49"/>
      <c r="B722" s="49"/>
      <c r="C722" s="146"/>
      <c r="D722" s="146"/>
      <c r="E722" s="49"/>
      <c r="F722" s="49"/>
      <c r="G722" s="49"/>
      <c r="H722" s="42"/>
      <c r="I722" s="49"/>
      <c r="J722" s="42"/>
      <c r="K722" s="49"/>
      <c r="L722" s="49"/>
      <c r="M722" s="42"/>
      <c r="N722" s="42"/>
      <c r="O722" s="42"/>
      <c r="P722" s="42"/>
      <c r="Q722" s="49"/>
      <c r="R722" s="49"/>
      <c r="S722" s="49"/>
      <c r="T722" s="49"/>
      <c r="U722" s="49"/>
      <c r="V722" s="49"/>
      <c r="W722" s="49"/>
      <c r="X722" s="49"/>
      <c r="Y722" s="49"/>
      <c r="Z722" s="49"/>
      <c r="AA722" s="49"/>
      <c r="AB722" s="49"/>
      <c r="AC722" s="49"/>
      <c r="AD722" s="49"/>
    </row>
    <row r="723">
      <c r="A723" s="49"/>
      <c r="B723" s="49"/>
      <c r="C723" s="146"/>
      <c r="D723" s="146"/>
      <c r="E723" s="49"/>
      <c r="F723" s="49"/>
      <c r="G723" s="49"/>
      <c r="H723" s="42"/>
      <c r="I723" s="49"/>
      <c r="J723" s="42"/>
      <c r="K723" s="49"/>
      <c r="L723" s="49"/>
      <c r="M723" s="42"/>
      <c r="N723" s="42"/>
      <c r="O723" s="42"/>
      <c r="P723" s="42"/>
      <c r="Q723" s="49"/>
      <c r="R723" s="49"/>
      <c r="S723" s="49"/>
      <c r="T723" s="49"/>
      <c r="U723" s="49"/>
      <c r="V723" s="49"/>
      <c r="W723" s="49"/>
      <c r="X723" s="49"/>
      <c r="Y723" s="49"/>
      <c r="Z723" s="49"/>
      <c r="AA723" s="49"/>
      <c r="AB723" s="49"/>
      <c r="AC723" s="49"/>
      <c r="AD723" s="49"/>
    </row>
    <row r="724">
      <c r="A724" s="49"/>
      <c r="B724" s="49"/>
      <c r="C724" s="146"/>
      <c r="D724" s="146"/>
      <c r="E724" s="49"/>
      <c r="F724" s="49"/>
      <c r="G724" s="49"/>
      <c r="H724" s="42"/>
      <c r="I724" s="49"/>
      <c r="J724" s="42"/>
      <c r="K724" s="49"/>
      <c r="L724" s="49"/>
      <c r="M724" s="42"/>
      <c r="N724" s="42"/>
      <c r="O724" s="42"/>
      <c r="P724" s="42"/>
      <c r="Q724" s="49"/>
      <c r="R724" s="49"/>
      <c r="S724" s="49"/>
      <c r="T724" s="49"/>
      <c r="U724" s="49"/>
      <c r="V724" s="49"/>
      <c r="W724" s="49"/>
      <c r="X724" s="49"/>
      <c r="Y724" s="49"/>
      <c r="Z724" s="49"/>
      <c r="AA724" s="49"/>
      <c r="AB724" s="49"/>
      <c r="AC724" s="49"/>
      <c r="AD724" s="49"/>
    </row>
    <row r="725">
      <c r="A725" s="49"/>
      <c r="B725" s="49"/>
      <c r="C725" s="146"/>
      <c r="D725" s="146"/>
      <c r="E725" s="49"/>
      <c r="F725" s="49"/>
      <c r="G725" s="49"/>
      <c r="H725" s="42"/>
      <c r="I725" s="49"/>
      <c r="J725" s="42"/>
      <c r="K725" s="49"/>
      <c r="L725" s="49"/>
      <c r="M725" s="42"/>
      <c r="N725" s="42"/>
      <c r="O725" s="42"/>
      <c r="P725" s="42"/>
      <c r="Q725" s="49"/>
      <c r="R725" s="49"/>
      <c r="S725" s="49"/>
      <c r="T725" s="49"/>
      <c r="U725" s="49"/>
      <c r="V725" s="49"/>
      <c r="W725" s="49"/>
      <c r="X725" s="49"/>
      <c r="Y725" s="49"/>
      <c r="Z725" s="49"/>
      <c r="AA725" s="49"/>
      <c r="AB725" s="49"/>
      <c r="AC725" s="49"/>
      <c r="AD725" s="49"/>
    </row>
    <row r="726">
      <c r="A726" s="49"/>
      <c r="B726" s="49"/>
      <c r="C726" s="146"/>
      <c r="D726" s="146"/>
      <c r="E726" s="49"/>
      <c r="F726" s="49"/>
      <c r="G726" s="49"/>
      <c r="H726" s="42"/>
      <c r="I726" s="49"/>
      <c r="J726" s="42"/>
      <c r="K726" s="49"/>
      <c r="L726" s="49"/>
      <c r="M726" s="42"/>
      <c r="N726" s="42"/>
      <c r="O726" s="42"/>
      <c r="P726" s="42"/>
      <c r="Q726" s="49"/>
      <c r="R726" s="49"/>
      <c r="S726" s="49"/>
      <c r="T726" s="49"/>
      <c r="U726" s="49"/>
      <c r="V726" s="49"/>
      <c r="W726" s="49"/>
      <c r="X726" s="49"/>
      <c r="Y726" s="49"/>
      <c r="Z726" s="49"/>
      <c r="AA726" s="49"/>
      <c r="AB726" s="49"/>
      <c r="AC726" s="49"/>
      <c r="AD726" s="49"/>
    </row>
    <row r="727">
      <c r="A727" s="49"/>
      <c r="B727" s="49"/>
      <c r="C727" s="146"/>
      <c r="D727" s="146"/>
      <c r="E727" s="49"/>
      <c r="F727" s="49"/>
      <c r="G727" s="49"/>
      <c r="H727" s="42"/>
      <c r="I727" s="49"/>
      <c r="J727" s="42"/>
      <c r="K727" s="49"/>
      <c r="L727" s="49"/>
      <c r="M727" s="42"/>
      <c r="N727" s="42"/>
      <c r="O727" s="42"/>
      <c r="P727" s="42"/>
      <c r="Q727" s="49"/>
      <c r="R727" s="49"/>
      <c r="S727" s="49"/>
      <c r="T727" s="49"/>
      <c r="U727" s="49"/>
      <c r="V727" s="49"/>
      <c r="W727" s="49"/>
      <c r="X727" s="49"/>
      <c r="Y727" s="49"/>
      <c r="Z727" s="49"/>
      <c r="AA727" s="49"/>
      <c r="AB727" s="49"/>
      <c r="AC727" s="49"/>
      <c r="AD727" s="49"/>
    </row>
    <row r="728">
      <c r="A728" s="49"/>
      <c r="B728" s="49"/>
      <c r="C728" s="146"/>
      <c r="D728" s="146"/>
      <c r="E728" s="49"/>
      <c r="F728" s="49"/>
      <c r="G728" s="49"/>
      <c r="H728" s="42"/>
      <c r="I728" s="49"/>
      <c r="J728" s="42"/>
      <c r="K728" s="49"/>
      <c r="L728" s="49"/>
      <c r="M728" s="42"/>
      <c r="N728" s="42"/>
      <c r="O728" s="42"/>
      <c r="P728" s="42"/>
      <c r="Q728" s="49"/>
      <c r="R728" s="49"/>
      <c r="S728" s="49"/>
      <c r="T728" s="49"/>
      <c r="U728" s="49"/>
      <c r="V728" s="49"/>
      <c r="W728" s="49"/>
      <c r="X728" s="49"/>
      <c r="Y728" s="49"/>
      <c r="Z728" s="49"/>
      <c r="AA728" s="49"/>
      <c r="AB728" s="49"/>
      <c r="AC728" s="49"/>
      <c r="AD728" s="49"/>
    </row>
    <row r="729">
      <c r="A729" s="49"/>
      <c r="B729" s="49"/>
      <c r="C729" s="146"/>
      <c r="D729" s="146"/>
      <c r="E729" s="49"/>
      <c r="F729" s="49"/>
      <c r="G729" s="49"/>
      <c r="H729" s="42"/>
      <c r="I729" s="49"/>
      <c r="J729" s="42"/>
      <c r="K729" s="49"/>
      <c r="L729" s="49"/>
      <c r="M729" s="42"/>
      <c r="N729" s="42"/>
      <c r="O729" s="42"/>
      <c r="P729" s="42"/>
      <c r="Q729" s="49"/>
      <c r="R729" s="49"/>
      <c r="S729" s="49"/>
      <c r="T729" s="49"/>
      <c r="U729" s="49"/>
      <c r="V729" s="49"/>
      <c r="W729" s="49"/>
      <c r="X729" s="49"/>
      <c r="Y729" s="49"/>
      <c r="Z729" s="49"/>
      <c r="AA729" s="49"/>
      <c r="AB729" s="49"/>
      <c r="AC729" s="49"/>
      <c r="AD729" s="49"/>
    </row>
    <row r="730">
      <c r="A730" s="49"/>
      <c r="B730" s="49"/>
      <c r="C730" s="146"/>
      <c r="D730" s="146"/>
      <c r="E730" s="49"/>
      <c r="F730" s="49"/>
      <c r="G730" s="49"/>
      <c r="H730" s="42"/>
      <c r="I730" s="49"/>
      <c r="J730" s="42"/>
      <c r="K730" s="49"/>
      <c r="L730" s="49"/>
      <c r="M730" s="42"/>
      <c r="N730" s="42"/>
      <c r="O730" s="42"/>
      <c r="P730" s="42"/>
      <c r="Q730" s="49"/>
      <c r="R730" s="49"/>
      <c r="S730" s="49"/>
      <c r="T730" s="49"/>
      <c r="U730" s="49"/>
      <c r="V730" s="49"/>
      <c r="W730" s="49"/>
      <c r="X730" s="49"/>
      <c r="Y730" s="49"/>
      <c r="Z730" s="49"/>
      <c r="AA730" s="49"/>
      <c r="AB730" s="49"/>
      <c r="AC730" s="49"/>
      <c r="AD730" s="49"/>
    </row>
    <row r="731">
      <c r="A731" s="49"/>
      <c r="B731" s="49"/>
      <c r="C731" s="146"/>
      <c r="D731" s="146"/>
      <c r="E731" s="49"/>
      <c r="F731" s="49"/>
      <c r="G731" s="49"/>
      <c r="H731" s="42"/>
      <c r="I731" s="49"/>
      <c r="J731" s="42"/>
      <c r="K731" s="49"/>
      <c r="L731" s="49"/>
      <c r="M731" s="42"/>
      <c r="N731" s="42"/>
      <c r="O731" s="42"/>
      <c r="P731" s="42"/>
      <c r="Q731" s="49"/>
      <c r="R731" s="49"/>
      <c r="S731" s="49"/>
      <c r="T731" s="49"/>
      <c r="U731" s="49"/>
      <c r="V731" s="49"/>
      <c r="W731" s="49"/>
      <c r="X731" s="49"/>
      <c r="Y731" s="49"/>
      <c r="Z731" s="49"/>
      <c r="AA731" s="49"/>
      <c r="AB731" s="49"/>
      <c r="AC731" s="49"/>
      <c r="AD731" s="49"/>
    </row>
    <row r="732">
      <c r="A732" s="49"/>
      <c r="B732" s="49"/>
      <c r="C732" s="146"/>
      <c r="D732" s="146"/>
      <c r="E732" s="49"/>
      <c r="F732" s="49"/>
      <c r="G732" s="49"/>
      <c r="H732" s="42"/>
      <c r="I732" s="49"/>
      <c r="J732" s="42"/>
      <c r="K732" s="49"/>
      <c r="L732" s="49"/>
      <c r="M732" s="42"/>
      <c r="N732" s="42"/>
      <c r="O732" s="42"/>
      <c r="P732" s="42"/>
      <c r="Q732" s="49"/>
      <c r="R732" s="49"/>
      <c r="S732" s="49"/>
      <c r="T732" s="49"/>
      <c r="U732" s="49"/>
      <c r="V732" s="49"/>
      <c r="W732" s="49"/>
      <c r="X732" s="49"/>
      <c r="Y732" s="49"/>
      <c r="Z732" s="49"/>
      <c r="AA732" s="49"/>
      <c r="AB732" s="49"/>
      <c r="AC732" s="49"/>
      <c r="AD732" s="49"/>
    </row>
    <row r="733">
      <c r="A733" s="49"/>
      <c r="B733" s="49"/>
      <c r="C733" s="146"/>
      <c r="D733" s="146"/>
      <c r="E733" s="49"/>
      <c r="F733" s="49"/>
      <c r="G733" s="49"/>
      <c r="H733" s="42"/>
      <c r="I733" s="49"/>
      <c r="J733" s="42"/>
      <c r="K733" s="49"/>
      <c r="L733" s="49"/>
      <c r="M733" s="42"/>
      <c r="N733" s="42"/>
      <c r="O733" s="42"/>
      <c r="P733" s="42"/>
      <c r="Q733" s="49"/>
      <c r="R733" s="49"/>
      <c r="S733" s="49"/>
      <c r="T733" s="49"/>
      <c r="U733" s="49"/>
      <c r="V733" s="49"/>
      <c r="W733" s="49"/>
      <c r="X733" s="49"/>
      <c r="Y733" s="49"/>
      <c r="Z733" s="49"/>
      <c r="AA733" s="49"/>
      <c r="AB733" s="49"/>
      <c r="AC733" s="49"/>
      <c r="AD733" s="49"/>
    </row>
    <row r="734">
      <c r="A734" s="49"/>
      <c r="B734" s="49"/>
      <c r="C734" s="146"/>
      <c r="D734" s="146"/>
      <c r="E734" s="49"/>
      <c r="F734" s="49"/>
      <c r="G734" s="49"/>
      <c r="H734" s="42"/>
      <c r="I734" s="49"/>
      <c r="J734" s="42"/>
      <c r="K734" s="49"/>
      <c r="L734" s="49"/>
      <c r="M734" s="42"/>
      <c r="N734" s="42"/>
      <c r="O734" s="42"/>
      <c r="P734" s="42"/>
      <c r="Q734" s="49"/>
      <c r="R734" s="49"/>
      <c r="S734" s="49"/>
      <c r="T734" s="49"/>
      <c r="U734" s="49"/>
      <c r="V734" s="49"/>
      <c r="W734" s="49"/>
      <c r="X734" s="49"/>
      <c r="Y734" s="49"/>
      <c r="Z734" s="49"/>
      <c r="AA734" s="49"/>
      <c r="AB734" s="49"/>
      <c r="AC734" s="49"/>
      <c r="AD734" s="49"/>
    </row>
    <row r="735">
      <c r="A735" s="49"/>
      <c r="B735" s="49"/>
      <c r="C735" s="146"/>
      <c r="D735" s="146"/>
      <c r="E735" s="49"/>
      <c r="F735" s="49"/>
      <c r="G735" s="49"/>
      <c r="H735" s="42"/>
      <c r="I735" s="49"/>
      <c r="J735" s="42"/>
      <c r="K735" s="49"/>
      <c r="L735" s="49"/>
      <c r="M735" s="42"/>
      <c r="N735" s="42"/>
      <c r="O735" s="42"/>
      <c r="P735" s="42"/>
      <c r="Q735" s="49"/>
      <c r="R735" s="49"/>
      <c r="S735" s="49"/>
      <c r="T735" s="49"/>
      <c r="U735" s="49"/>
      <c r="V735" s="49"/>
      <c r="W735" s="49"/>
      <c r="X735" s="49"/>
      <c r="Y735" s="49"/>
      <c r="Z735" s="49"/>
      <c r="AA735" s="49"/>
      <c r="AB735" s="49"/>
      <c r="AC735" s="49"/>
      <c r="AD735" s="49"/>
    </row>
    <row r="736">
      <c r="A736" s="49"/>
      <c r="B736" s="49"/>
      <c r="C736" s="146"/>
      <c r="D736" s="146"/>
      <c r="E736" s="49"/>
      <c r="F736" s="49"/>
      <c r="G736" s="49"/>
      <c r="H736" s="42"/>
      <c r="I736" s="49"/>
      <c r="J736" s="42"/>
      <c r="K736" s="49"/>
      <c r="L736" s="49"/>
      <c r="M736" s="42"/>
      <c r="N736" s="42"/>
      <c r="O736" s="42"/>
      <c r="P736" s="42"/>
      <c r="Q736" s="49"/>
      <c r="R736" s="49"/>
      <c r="S736" s="49"/>
      <c r="T736" s="49"/>
      <c r="U736" s="49"/>
      <c r="V736" s="49"/>
      <c r="W736" s="49"/>
      <c r="X736" s="49"/>
      <c r="Y736" s="49"/>
      <c r="Z736" s="49"/>
      <c r="AA736" s="49"/>
      <c r="AB736" s="49"/>
      <c r="AC736" s="49"/>
      <c r="AD736" s="49"/>
    </row>
    <row r="737">
      <c r="A737" s="49"/>
      <c r="B737" s="49"/>
      <c r="C737" s="146"/>
      <c r="D737" s="146"/>
      <c r="E737" s="49"/>
      <c r="F737" s="49"/>
      <c r="G737" s="49"/>
      <c r="H737" s="42"/>
      <c r="I737" s="49"/>
      <c r="J737" s="42"/>
      <c r="K737" s="49"/>
      <c r="L737" s="49"/>
      <c r="M737" s="42"/>
      <c r="N737" s="42"/>
      <c r="O737" s="42"/>
      <c r="P737" s="42"/>
      <c r="Q737" s="49"/>
      <c r="R737" s="49"/>
      <c r="S737" s="49"/>
      <c r="T737" s="49"/>
      <c r="U737" s="49"/>
      <c r="V737" s="49"/>
      <c r="W737" s="49"/>
      <c r="X737" s="49"/>
      <c r="Y737" s="49"/>
      <c r="Z737" s="49"/>
      <c r="AA737" s="49"/>
      <c r="AB737" s="49"/>
      <c r="AC737" s="49"/>
      <c r="AD737" s="49"/>
    </row>
    <row r="738">
      <c r="A738" s="49"/>
      <c r="B738" s="49"/>
      <c r="C738" s="146"/>
      <c r="D738" s="146"/>
      <c r="E738" s="49"/>
      <c r="F738" s="49"/>
      <c r="G738" s="49"/>
      <c r="H738" s="42"/>
      <c r="I738" s="49"/>
      <c r="J738" s="42"/>
      <c r="K738" s="49"/>
      <c r="L738" s="49"/>
      <c r="M738" s="42"/>
      <c r="N738" s="42"/>
      <c r="O738" s="42"/>
      <c r="P738" s="42"/>
      <c r="Q738" s="49"/>
      <c r="R738" s="49"/>
      <c r="S738" s="49"/>
      <c r="T738" s="49"/>
      <c r="U738" s="49"/>
      <c r="V738" s="49"/>
      <c r="W738" s="49"/>
      <c r="X738" s="49"/>
      <c r="Y738" s="49"/>
      <c r="Z738" s="49"/>
      <c r="AA738" s="49"/>
      <c r="AB738" s="49"/>
      <c r="AC738" s="49"/>
      <c r="AD738" s="49"/>
    </row>
    <row r="739">
      <c r="A739" s="49"/>
      <c r="B739" s="49"/>
      <c r="C739" s="146"/>
      <c r="D739" s="146"/>
      <c r="E739" s="49"/>
      <c r="F739" s="49"/>
      <c r="G739" s="49"/>
      <c r="H739" s="42"/>
      <c r="I739" s="49"/>
      <c r="J739" s="42"/>
      <c r="K739" s="49"/>
      <c r="L739" s="49"/>
      <c r="M739" s="42"/>
      <c r="N739" s="42"/>
      <c r="O739" s="42"/>
      <c r="P739" s="42"/>
      <c r="Q739" s="49"/>
      <c r="R739" s="49"/>
      <c r="S739" s="49"/>
      <c r="T739" s="49"/>
      <c r="U739" s="49"/>
      <c r="V739" s="49"/>
      <c r="W739" s="49"/>
      <c r="X739" s="49"/>
      <c r="Y739" s="49"/>
      <c r="Z739" s="49"/>
      <c r="AA739" s="49"/>
      <c r="AB739" s="49"/>
      <c r="AC739" s="49"/>
      <c r="AD739" s="49"/>
    </row>
    <row r="740">
      <c r="A740" s="49"/>
      <c r="B740" s="49"/>
      <c r="C740" s="146"/>
      <c r="D740" s="146"/>
      <c r="E740" s="49"/>
      <c r="F740" s="49"/>
      <c r="G740" s="49"/>
      <c r="H740" s="42"/>
      <c r="I740" s="49"/>
      <c r="J740" s="42"/>
      <c r="K740" s="49"/>
      <c r="L740" s="49"/>
      <c r="M740" s="42"/>
      <c r="N740" s="42"/>
      <c r="O740" s="42"/>
      <c r="P740" s="42"/>
      <c r="Q740" s="49"/>
      <c r="R740" s="49"/>
      <c r="S740" s="49"/>
      <c r="T740" s="49"/>
      <c r="U740" s="49"/>
      <c r="V740" s="49"/>
      <c r="W740" s="49"/>
      <c r="X740" s="49"/>
      <c r="Y740" s="49"/>
      <c r="Z740" s="49"/>
      <c r="AA740" s="49"/>
      <c r="AB740" s="49"/>
      <c r="AC740" s="49"/>
      <c r="AD740" s="49"/>
    </row>
    <row r="741">
      <c r="A741" s="49"/>
      <c r="B741" s="49"/>
      <c r="C741" s="146"/>
      <c r="D741" s="146"/>
      <c r="E741" s="49"/>
      <c r="F741" s="49"/>
      <c r="G741" s="49"/>
      <c r="H741" s="42"/>
      <c r="I741" s="49"/>
      <c r="J741" s="42"/>
      <c r="K741" s="49"/>
      <c r="L741" s="49"/>
      <c r="M741" s="42"/>
      <c r="N741" s="42"/>
      <c r="O741" s="42"/>
      <c r="P741" s="42"/>
      <c r="Q741" s="49"/>
      <c r="R741" s="49"/>
      <c r="S741" s="49"/>
      <c r="T741" s="49"/>
      <c r="U741" s="49"/>
      <c r="V741" s="49"/>
      <c r="W741" s="49"/>
      <c r="X741" s="49"/>
      <c r="Y741" s="49"/>
      <c r="Z741" s="49"/>
      <c r="AA741" s="49"/>
      <c r="AB741" s="49"/>
      <c r="AC741" s="49"/>
      <c r="AD741" s="49"/>
    </row>
    <row r="742">
      <c r="A742" s="49"/>
      <c r="B742" s="49"/>
      <c r="C742" s="146"/>
      <c r="D742" s="146"/>
      <c r="E742" s="49"/>
      <c r="F742" s="49"/>
      <c r="G742" s="49"/>
      <c r="H742" s="42"/>
      <c r="I742" s="49"/>
      <c r="J742" s="42"/>
      <c r="K742" s="49"/>
      <c r="L742" s="49"/>
      <c r="M742" s="42"/>
      <c r="N742" s="42"/>
      <c r="O742" s="42"/>
      <c r="P742" s="42"/>
      <c r="Q742" s="49"/>
      <c r="R742" s="49"/>
      <c r="S742" s="49"/>
      <c r="T742" s="49"/>
      <c r="U742" s="49"/>
      <c r="V742" s="49"/>
      <c r="W742" s="49"/>
      <c r="X742" s="49"/>
      <c r="Y742" s="49"/>
      <c r="Z742" s="49"/>
      <c r="AA742" s="49"/>
      <c r="AB742" s="49"/>
      <c r="AC742" s="49"/>
      <c r="AD742" s="49"/>
    </row>
    <row r="743">
      <c r="A743" s="49"/>
      <c r="B743" s="49"/>
      <c r="C743" s="146"/>
      <c r="D743" s="146"/>
      <c r="E743" s="49"/>
      <c r="F743" s="49"/>
      <c r="G743" s="49"/>
      <c r="H743" s="42"/>
      <c r="I743" s="49"/>
      <c r="J743" s="42"/>
      <c r="K743" s="49"/>
      <c r="L743" s="49"/>
      <c r="M743" s="42"/>
      <c r="N743" s="42"/>
      <c r="O743" s="42"/>
      <c r="P743" s="42"/>
      <c r="Q743" s="49"/>
      <c r="R743" s="49"/>
      <c r="S743" s="49"/>
      <c r="T743" s="49"/>
      <c r="U743" s="49"/>
      <c r="V743" s="49"/>
      <c r="W743" s="49"/>
      <c r="X743" s="49"/>
      <c r="Y743" s="49"/>
      <c r="Z743" s="49"/>
      <c r="AA743" s="49"/>
      <c r="AB743" s="49"/>
      <c r="AC743" s="49"/>
      <c r="AD743" s="49"/>
    </row>
    <row r="744">
      <c r="A744" s="49"/>
      <c r="B744" s="49"/>
      <c r="C744" s="146"/>
      <c r="D744" s="146"/>
      <c r="E744" s="49"/>
      <c r="F744" s="49"/>
      <c r="G744" s="49"/>
      <c r="H744" s="42"/>
      <c r="I744" s="49"/>
      <c r="J744" s="42"/>
      <c r="K744" s="49"/>
      <c r="L744" s="49"/>
      <c r="M744" s="42"/>
      <c r="N744" s="42"/>
      <c r="O744" s="42"/>
      <c r="P744" s="42"/>
      <c r="Q744" s="49"/>
      <c r="R744" s="49"/>
      <c r="S744" s="49"/>
      <c r="T744" s="49"/>
      <c r="U744" s="49"/>
      <c r="V744" s="49"/>
      <c r="W744" s="49"/>
      <c r="X744" s="49"/>
      <c r="Y744" s="49"/>
      <c r="Z744" s="49"/>
      <c r="AA744" s="49"/>
      <c r="AB744" s="49"/>
      <c r="AC744" s="49"/>
      <c r="AD744" s="49"/>
    </row>
    <row r="745">
      <c r="A745" s="49"/>
      <c r="B745" s="49"/>
      <c r="C745" s="146"/>
      <c r="D745" s="146"/>
      <c r="E745" s="49"/>
      <c r="F745" s="49"/>
      <c r="G745" s="49"/>
      <c r="H745" s="42"/>
      <c r="I745" s="49"/>
      <c r="J745" s="42"/>
      <c r="K745" s="49"/>
      <c r="L745" s="49"/>
      <c r="M745" s="42"/>
      <c r="N745" s="42"/>
      <c r="O745" s="42"/>
      <c r="P745" s="42"/>
      <c r="Q745" s="49"/>
      <c r="R745" s="49"/>
      <c r="S745" s="49"/>
      <c r="T745" s="49"/>
      <c r="U745" s="49"/>
      <c r="V745" s="49"/>
      <c r="W745" s="49"/>
      <c r="X745" s="49"/>
      <c r="Y745" s="49"/>
      <c r="Z745" s="49"/>
      <c r="AA745" s="49"/>
      <c r="AB745" s="49"/>
      <c r="AC745" s="49"/>
      <c r="AD745" s="49"/>
    </row>
    <row r="746">
      <c r="A746" s="49"/>
      <c r="B746" s="49"/>
      <c r="C746" s="146"/>
      <c r="D746" s="146"/>
      <c r="E746" s="49"/>
      <c r="F746" s="49"/>
      <c r="G746" s="49"/>
      <c r="H746" s="42"/>
      <c r="I746" s="49"/>
      <c r="J746" s="42"/>
      <c r="K746" s="49"/>
      <c r="L746" s="49"/>
      <c r="M746" s="42"/>
      <c r="N746" s="42"/>
      <c r="O746" s="42"/>
      <c r="P746" s="42"/>
      <c r="Q746" s="49"/>
      <c r="R746" s="49"/>
      <c r="S746" s="49"/>
      <c r="T746" s="49"/>
      <c r="U746" s="49"/>
      <c r="V746" s="49"/>
      <c r="W746" s="49"/>
      <c r="X746" s="49"/>
      <c r="Y746" s="49"/>
      <c r="Z746" s="49"/>
      <c r="AA746" s="49"/>
      <c r="AB746" s="49"/>
      <c r="AC746" s="49"/>
      <c r="AD746" s="49"/>
    </row>
    <row r="747">
      <c r="A747" s="49"/>
      <c r="B747" s="49"/>
      <c r="C747" s="146"/>
      <c r="D747" s="146"/>
      <c r="E747" s="49"/>
      <c r="F747" s="49"/>
      <c r="G747" s="49"/>
      <c r="H747" s="42"/>
      <c r="I747" s="49"/>
      <c r="J747" s="42"/>
      <c r="K747" s="49"/>
      <c r="L747" s="49"/>
      <c r="M747" s="42"/>
      <c r="N747" s="42"/>
      <c r="O747" s="42"/>
      <c r="P747" s="42"/>
      <c r="Q747" s="49"/>
      <c r="R747" s="49"/>
      <c r="S747" s="49"/>
      <c r="T747" s="49"/>
      <c r="U747" s="49"/>
      <c r="V747" s="49"/>
      <c r="W747" s="49"/>
      <c r="X747" s="49"/>
      <c r="Y747" s="49"/>
      <c r="Z747" s="49"/>
      <c r="AA747" s="49"/>
      <c r="AB747" s="49"/>
      <c r="AC747" s="49"/>
      <c r="AD747" s="49"/>
    </row>
    <row r="748">
      <c r="A748" s="49"/>
      <c r="B748" s="49"/>
      <c r="C748" s="146"/>
      <c r="D748" s="146"/>
      <c r="E748" s="49"/>
      <c r="F748" s="49"/>
      <c r="G748" s="49"/>
      <c r="H748" s="42"/>
      <c r="I748" s="49"/>
      <c r="J748" s="42"/>
      <c r="K748" s="49"/>
      <c r="L748" s="49"/>
      <c r="M748" s="42"/>
      <c r="N748" s="42"/>
      <c r="O748" s="42"/>
      <c r="P748" s="42"/>
      <c r="Q748" s="49"/>
      <c r="R748" s="49"/>
      <c r="S748" s="49"/>
      <c r="T748" s="49"/>
      <c r="U748" s="49"/>
      <c r="V748" s="49"/>
      <c r="W748" s="49"/>
      <c r="X748" s="49"/>
      <c r="Y748" s="49"/>
      <c r="Z748" s="49"/>
      <c r="AA748" s="49"/>
      <c r="AB748" s="49"/>
      <c r="AC748" s="49"/>
      <c r="AD748" s="49"/>
    </row>
    <row r="749">
      <c r="A749" s="49"/>
      <c r="B749" s="49"/>
      <c r="C749" s="146"/>
      <c r="D749" s="146"/>
      <c r="E749" s="49"/>
      <c r="F749" s="49"/>
      <c r="G749" s="49"/>
      <c r="H749" s="42"/>
      <c r="I749" s="49"/>
      <c r="J749" s="42"/>
      <c r="K749" s="49"/>
      <c r="L749" s="49"/>
      <c r="M749" s="42"/>
      <c r="N749" s="42"/>
      <c r="O749" s="42"/>
      <c r="P749" s="42"/>
      <c r="Q749" s="49"/>
      <c r="R749" s="49"/>
      <c r="S749" s="49"/>
      <c r="T749" s="49"/>
      <c r="U749" s="49"/>
      <c r="V749" s="49"/>
      <c r="W749" s="49"/>
      <c r="X749" s="49"/>
      <c r="Y749" s="49"/>
      <c r="Z749" s="49"/>
      <c r="AA749" s="49"/>
      <c r="AB749" s="49"/>
      <c r="AC749" s="49"/>
      <c r="AD749" s="49"/>
    </row>
    <row r="750">
      <c r="A750" s="49"/>
      <c r="B750" s="49"/>
      <c r="C750" s="146"/>
      <c r="D750" s="146"/>
      <c r="E750" s="49"/>
      <c r="F750" s="49"/>
      <c r="G750" s="49"/>
      <c r="H750" s="42"/>
      <c r="I750" s="49"/>
      <c r="J750" s="42"/>
      <c r="K750" s="49"/>
      <c r="L750" s="49"/>
      <c r="M750" s="42"/>
      <c r="N750" s="42"/>
      <c r="O750" s="42"/>
      <c r="P750" s="42"/>
      <c r="Q750" s="49"/>
      <c r="R750" s="49"/>
      <c r="S750" s="49"/>
      <c r="T750" s="49"/>
      <c r="U750" s="49"/>
      <c r="V750" s="49"/>
      <c r="W750" s="49"/>
      <c r="X750" s="49"/>
      <c r="Y750" s="49"/>
      <c r="Z750" s="49"/>
      <c r="AA750" s="49"/>
      <c r="AB750" s="49"/>
      <c r="AC750" s="49"/>
      <c r="AD750" s="49"/>
    </row>
    <row r="751">
      <c r="A751" s="49"/>
      <c r="B751" s="49"/>
      <c r="C751" s="146"/>
      <c r="D751" s="146"/>
      <c r="E751" s="49"/>
      <c r="F751" s="49"/>
      <c r="G751" s="49"/>
      <c r="H751" s="42"/>
      <c r="I751" s="49"/>
      <c r="J751" s="42"/>
      <c r="K751" s="49"/>
      <c r="L751" s="49"/>
      <c r="M751" s="42"/>
      <c r="N751" s="42"/>
      <c r="O751" s="42"/>
      <c r="P751" s="42"/>
      <c r="Q751" s="49"/>
      <c r="R751" s="49"/>
      <c r="S751" s="49"/>
      <c r="T751" s="49"/>
      <c r="U751" s="49"/>
      <c r="V751" s="49"/>
      <c r="W751" s="49"/>
      <c r="X751" s="49"/>
      <c r="Y751" s="49"/>
      <c r="Z751" s="49"/>
      <c r="AA751" s="49"/>
      <c r="AB751" s="49"/>
      <c r="AC751" s="49"/>
      <c r="AD751" s="49"/>
    </row>
    <row r="752">
      <c r="A752" s="49"/>
      <c r="B752" s="49"/>
      <c r="C752" s="146"/>
      <c r="D752" s="146"/>
      <c r="E752" s="49"/>
      <c r="F752" s="49"/>
      <c r="G752" s="49"/>
      <c r="H752" s="42"/>
      <c r="I752" s="49"/>
      <c r="J752" s="42"/>
      <c r="K752" s="49"/>
      <c r="L752" s="49"/>
      <c r="M752" s="42"/>
      <c r="N752" s="42"/>
      <c r="O752" s="42"/>
      <c r="P752" s="42"/>
      <c r="Q752" s="49"/>
      <c r="R752" s="49"/>
      <c r="S752" s="49"/>
      <c r="T752" s="49"/>
      <c r="U752" s="49"/>
      <c r="V752" s="49"/>
      <c r="W752" s="49"/>
      <c r="X752" s="49"/>
      <c r="Y752" s="49"/>
      <c r="Z752" s="49"/>
      <c r="AA752" s="49"/>
      <c r="AB752" s="49"/>
      <c r="AC752" s="49"/>
      <c r="AD752" s="49"/>
    </row>
    <row r="753">
      <c r="A753" s="49"/>
      <c r="B753" s="49"/>
      <c r="C753" s="146"/>
      <c r="D753" s="146"/>
      <c r="E753" s="49"/>
      <c r="F753" s="49"/>
      <c r="G753" s="49"/>
      <c r="H753" s="42"/>
      <c r="I753" s="49"/>
      <c r="J753" s="42"/>
      <c r="K753" s="49"/>
      <c r="L753" s="49"/>
      <c r="M753" s="42"/>
      <c r="N753" s="42"/>
      <c r="O753" s="42"/>
      <c r="P753" s="42"/>
      <c r="Q753" s="49"/>
      <c r="R753" s="49"/>
      <c r="S753" s="49"/>
      <c r="T753" s="49"/>
      <c r="U753" s="49"/>
      <c r="V753" s="49"/>
      <c r="W753" s="49"/>
      <c r="X753" s="49"/>
      <c r="Y753" s="49"/>
      <c r="Z753" s="49"/>
      <c r="AA753" s="49"/>
      <c r="AB753" s="49"/>
      <c r="AC753" s="49"/>
      <c r="AD753" s="49"/>
    </row>
    <row r="754">
      <c r="A754" s="49"/>
      <c r="B754" s="49"/>
      <c r="C754" s="146"/>
      <c r="D754" s="146"/>
      <c r="E754" s="49"/>
      <c r="F754" s="49"/>
      <c r="G754" s="49"/>
      <c r="H754" s="42"/>
      <c r="I754" s="49"/>
      <c r="J754" s="42"/>
      <c r="K754" s="49"/>
      <c r="L754" s="49"/>
      <c r="M754" s="42"/>
      <c r="N754" s="42"/>
      <c r="O754" s="42"/>
      <c r="P754" s="42"/>
      <c r="Q754" s="49"/>
      <c r="R754" s="49"/>
      <c r="S754" s="49"/>
      <c r="T754" s="49"/>
      <c r="U754" s="49"/>
      <c r="V754" s="49"/>
      <c r="W754" s="49"/>
      <c r="X754" s="49"/>
      <c r="Y754" s="49"/>
      <c r="Z754" s="49"/>
      <c r="AA754" s="49"/>
      <c r="AB754" s="49"/>
      <c r="AC754" s="49"/>
      <c r="AD754" s="49"/>
    </row>
    <row r="755">
      <c r="A755" s="49"/>
      <c r="B755" s="49"/>
      <c r="C755" s="146"/>
      <c r="D755" s="146"/>
      <c r="E755" s="49"/>
      <c r="F755" s="49"/>
      <c r="G755" s="49"/>
      <c r="H755" s="42"/>
      <c r="I755" s="49"/>
      <c r="J755" s="42"/>
      <c r="K755" s="49"/>
      <c r="L755" s="49"/>
      <c r="M755" s="42"/>
      <c r="N755" s="42"/>
      <c r="O755" s="42"/>
      <c r="P755" s="42"/>
      <c r="Q755" s="49"/>
      <c r="R755" s="49"/>
      <c r="S755" s="49"/>
      <c r="T755" s="49"/>
      <c r="U755" s="49"/>
      <c r="V755" s="49"/>
      <c r="W755" s="49"/>
      <c r="X755" s="49"/>
      <c r="Y755" s="49"/>
      <c r="Z755" s="49"/>
      <c r="AA755" s="49"/>
      <c r="AB755" s="49"/>
      <c r="AC755" s="49"/>
      <c r="AD755" s="49"/>
    </row>
    <row r="756">
      <c r="A756" s="49"/>
      <c r="B756" s="49"/>
      <c r="C756" s="146"/>
      <c r="D756" s="146"/>
      <c r="E756" s="49"/>
      <c r="F756" s="49"/>
      <c r="G756" s="49"/>
      <c r="H756" s="42"/>
      <c r="I756" s="49"/>
      <c r="J756" s="42"/>
      <c r="K756" s="49"/>
      <c r="L756" s="49"/>
      <c r="M756" s="42"/>
      <c r="N756" s="42"/>
      <c r="O756" s="42"/>
      <c r="P756" s="42"/>
      <c r="Q756" s="49"/>
      <c r="R756" s="49"/>
      <c r="S756" s="49"/>
      <c r="T756" s="49"/>
      <c r="U756" s="49"/>
      <c r="V756" s="49"/>
      <c r="W756" s="49"/>
      <c r="X756" s="49"/>
      <c r="Y756" s="49"/>
      <c r="Z756" s="49"/>
      <c r="AA756" s="49"/>
      <c r="AB756" s="49"/>
      <c r="AC756" s="49"/>
      <c r="AD756" s="49"/>
    </row>
    <row r="757">
      <c r="A757" s="49"/>
      <c r="B757" s="49"/>
      <c r="C757" s="146"/>
      <c r="D757" s="146"/>
      <c r="E757" s="49"/>
      <c r="F757" s="49"/>
      <c r="G757" s="49"/>
      <c r="H757" s="42"/>
      <c r="I757" s="49"/>
      <c r="J757" s="42"/>
      <c r="K757" s="49"/>
      <c r="L757" s="49"/>
      <c r="M757" s="42"/>
      <c r="N757" s="42"/>
      <c r="O757" s="42"/>
      <c r="P757" s="42"/>
      <c r="Q757" s="49"/>
      <c r="R757" s="49"/>
      <c r="S757" s="49"/>
      <c r="T757" s="49"/>
      <c r="U757" s="49"/>
      <c r="V757" s="49"/>
      <c r="W757" s="49"/>
      <c r="X757" s="49"/>
      <c r="Y757" s="49"/>
      <c r="Z757" s="49"/>
      <c r="AA757" s="49"/>
      <c r="AB757" s="49"/>
      <c r="AC757" s="49"/>
      <c r="AD757" s="49"/>
    </row>
    <row r="758">
      <c r="A758" s="49"/>
      <c r="B758" s="49"/>
      <c r="C758" s="146"/>
      <c r="D758" s="146"/>
      <c r="E758" s="49"/>
      <c r="F758" s="49"/>
      <c r="G758" s="49"/>
      <c r="H758" s="42"/>
      <c r="I758" s="49"/>
      <c r="J758" s="42"/>
      <c r="K758" s="49"/>
      <c r="L758" s="49"/>
      <c r="M758" s="42"/>
      <c r="N758" s="42"/>
      <c r="O758" s="42"/>
      <c r="P758" s="42"/>
      <c r="Q758" s="49"/>
      <c r="R758" s="49"/>
      <c r="S758" s="49"/>
      <c r="T758" s="49"/>
      <c r="U758" s="49"/>
      <c r="V758" s="49"/>
      <c r="W758" s="49"/>
      <c r="X758" s="49"/>
      <c r="Y758" s="49"/>
      <c r="Z758" s="49"/>
      <c r="AA758" s="49"/>
      <c r="AB758" s="49"/>
      <c r="AC758" s="49"/>
      <c r="AD758" s="49"/>
    </row>
    <row r="759">
      <c r="A759" s="49"/>
      <c r="B759" s="49"/>
      <c r="C759" s="146"/>
      <c r="D759" s="146"/>
      <c r="E759" s="49"/>
      <c r="F759" s="49"/>
      <c r="G759" s="49"/>
      <c r="H759" s="42"/>
      <c r="I759" s="49"/>
      <c r="J759" s="42"/>
      <c r="K759" s="49"/>
      <c r="L759" s="49"/>
      <c r="M759" s="42"/>
      <c r="N759" s="42"/>
      <c r="O759" s="42"/>
      <c r="P759" s="42"/>
      <c r="Q759" s="49"/>
      <c r="R759" s="49"/>
      <c r="S759" s="49"/>
      <c r="T759" s="49"/>
      <c r="U759" s="49"/>
      <c r="V759" s="49"/>
      <c r="W759" s="49"/>
      <c r="X759" s="49"/>
      <c r="Y759" s="49"/>
      <c r="Z759" s="49"/>
      <c r="AA759" s="49"/>
      <c r="AB759" s="49"/>
      <c r="AC759" s="49"/>
      <c r="AD759" s="49"/>
    </row>
    <row r="760">
      <c r="A760" s="49"/>
      <c r="B760" s="49"/>
      <c r="C760" s="146"/>
      <c r="D760" s="146"/>
      <c r="E760" s="49"/>
      <c r="F760" s="49"/>
      <c r="G760" s="49"/>
      <c r="H760" s="42"/>
      <c r="I760" s="49"/>
      <c r="J760" s="42"/>
      <c r="K760" s="49"/>
      <c r="L760" s="49"/>
      <c r="M760" s="42"/>
      <c r="N760" s="42"/>
      <c r="O760" s="42"/>
      <c r="P760" s="42"/>
      <c r="Q760" s="49"/>
      <c r="R760" s="49"/>
      <c r="S760" s="49"/>
      <c r="T760" s="49"/>
      <c r="U760" s="49"/>
      <c r="V760" s="49"/>
      <c r="W760" s="49"/>
      <c r="X760" s="49"/>
      <c r="Y760" s="49"/>
      <c r="Z760" s="49"/>
      <c r="AA760" s="49"/>
      <c r="AB760" s="49"/>
      <c r="AC760" s="49"/>
      <c r="AD760" s="49"/>
    </row>
    <row r="761">
      <c r="A761" s="49"/>
      <c r="B761" s="49"/>
      <c r="C761" s="146"/>
      <c r="D761" s="146"/>
      <c r="E761" s="49"/>
      <c r="F761" s="49"/>
      <c r="G761" s="49"/>
      <c r="H761" s="42"/>
      <c r="I761" s="49"/>
      <c r="J761" s="42"/>
      <c r="K761" s="49"/>
      <c r="L761" s="49"/>
      <c r="M761" s="42"/>
      <c r="N761" s="42"/>
      <c r="O761" s="42"/>
      <c r="P761" s="42"/>
      <c r="Q761" s="49"/>
      <c r="R761" s="49"/>
      <c r="S761" s="49"/>
      <c r="T761" s="49"/>
      <c r="U761" s="49"/>
      <c r="V761" s="49"/>
      <c r="W761" s="49"/>
      <c r="X761" s="49"/>
      <c r="Y761" s="49"/>
      <c r="Z761" s="49"/>
      <c r="AA761" s="49"/>
      <c r="AB761" s="49"/>
      <c r="AC761" s="49"/>
      <c r="AD761" s="49"/>
    </row>
    <row r="762">
      <c r="A762" s="49"/>
      <c r="B762" s="49"/>
      <c r="C762" s="146"/>
      <c r="D762" s="146"/>
      <c r="E762" s="49"/>
      <c r="F762" s="49"/>
      <c r="G762" s="49"/>
      <c r="H762" s="42"/>
      <c r="I762" s="49"/>
      <c r="J762" s="42"/>
      <c r="K762" s="49"/>
      <c r="L762" s="49"/>
      <c r="M762" s="42"/>
      <c r="N762" s="42"/>
      <c r="O762" s="42"/>
      <c r="P762" s="42"/>
      <c r="Q762" s="49"/>
      <c r="R762" s="49"/>
      <c r="S762" s="49"/>
      <c r="T762" s="49"/>
      <c r="U762" s="49"/>
      <c r="V762" s="49"/>
      <c r="W762" s="49"/>
      <c r="X762" s="49"/>
      <c r="Y762" s="49"/>
      <c r="Z762" s="49"/>
      <c r="AA762" s="49"/>
      <c r="AB762" s="49"/>
      <c r="AC762" s="49"/>
      <c r="AD762" s="49"/>
    </row>
    <row r="763">
      <c r="A763" s="49"/>
      <c r="B763" s="49"/>
      <c r="C763" s="146"/>
      <c r="D763" s="146"/>
      <c r="E763" s="49"/>
      <c r="F763" s="49"/>
      <c r="G763" s="49"/>
      <c r="H763" s="42"/>
      <c r="I763" s="49"/>
      <c r="J763" s="42"/>
      <c r="K763" s="49"/>
      <c r="L763" s="49"/>
      <c r="M763" s="42"/>
      <c r="N763" s="42"/>
      <c r="O763" s="42"/>
      <c r="P763" s="42"/>
      <c r="Q763" s="49"/>
      <c r="R763" s="49"/>
      <c r="S763" s="49"/>
      <c r="T763" s="49"/>
      <c r="U763" s="49"/>
      <c r="V763" s="49"/>
      <c r="W763" s="49"/>
      <c r="X763" s="49"/>
      <c r="Y763" s="49"/>
      <c r="Z763" s="49"/>
      <c r="AA763" s="49"/>
      <c r="AB763" s="49"/>
      <c r="AC763" s="49"/>
      <c r="AD763" s="49"/>
    </row>
    <row r="764">
      <c r="A764" s="49"/>
      <c r="B764" s="49"/>
      <c r="C764" s="146"/>
      <c r="D764" s="146"/>
      <c r="E764" s="49"/>
      <c r="F764" s="49"/>
      <c r="G764" s="49"/>
      <c r="H764" s="42"/>
      <c r="I764" s="49"/>
      <c r="J764" s="42"/>
      <c r="K764" s="49"/>
      <c r="L764" s="49"/>
      <c r="M764" s="42"/>
      <c r="N764" s="42"/>
      <c r="O764" s="42"/>
      <c r="P764" s="42"/>
      <c r="Q764" s="49"/>
      <c r="R764" s="49"/>
      <c r="S764" s="49"/>
      <c r="T764" s="49"/>
      <c r="U764" s="49"/>
      <c r="V764" s="49"/>
      <c r="W764" s="49"/>
      <c r="X764" s="49"/>
      <c r="Y764" s="49"/>
      <c r="Z764" s="49"/>
      <c r="AA764" s="49"/>
      <c r="AB764" s="49"/>
      <c r="AC764" s="49"/>
      <c r="AD764" s="49"/>
    </row>
    <row r="765">
      <c r="A765" s="49"/>
      <c r="B765" s="49"/>
      <c r="C765" s="146"/>
      <c r="D765" s="146"/>
      <c r="E765" s="49"/>
      <c r="F765" s="49"/>
      <c r="G765" s="49"/>
      <c r="H765" s="42"/>
      <c r="I765" s="49"/>
      <c r="J765" s="42"/>
      <c r="K765" s="49"/>
      <c r="L765" s="49"/>
      <c r="M765" s="42"/>
      <c r="N765" s="42"/>
      <c r="O765" s="42"/>
      <c r="P765" s="42"/>
      <c r="Q765" s="49"/>
      <c r="R765" s="49"/>
      <c r="S765" s="49"/>
      <c r="T765" s="49"/>
      <c r="U765" s="49"/>
      <c r="V765" s="49"/>
      <c r="W765" s="49"/>
      <c r="X765" s="49"/>
      <c r="Y765" s="49"/>
      <c r="Z765" s="49"/>
      <c r="AA765" s="49"/>
      <c r="AB765" s="49"/>
      <c r="AC765" s="49"/>
      <c r="AD765" s="49"/>
    </row>
    <row r="766">
      <c r="A766" s="49"/>
      <c r="B766" s="49"/>
      <c r="C766" s="146"/>
      <c r="D766" s="146"/>
      <c r="E766" s="49"/>
      <c r="F766" s="49"/>
      <c r="G766" s="49"/>
      <c r="H766" s="42"/>
      <c r="I766" s="49"/>
      <c r="J766" s="42"/>
      <c r="K766" s="49"/>
      <c r="L766" s="49"/>
      <c r="M766" s="42"/>
      <c r="N766" s="42"/>
      <c r="O766" s="42"/>
      <c r="P766" s="42"/>
      <c r="Q766" s="49"/>
      <c r="R766" s="49"/>
      <c r="S766" s="49"/>
      <c r="T766" s="49"/>
      <c r="U766" s="49"/>
      <c r="V766" s="49"/>
      <c r="W766" s="49"/>
      <c r="X766" s="49"/>
      <c r="Y766" s="49"/>
      <c r="Z766" s="49"/>
      <c r="AA766" s="49"/>
      <c r="AB766" s="49"/>
      <c r="AC766" s="49"/>
      <c r="AD766" s="49"/>
    </row>
    <row r="767">
      <c r="A767" s="49"/>
      <c r="B767" s="49"/>
      <c r="C767" s="146"/>
      <c r="D767" s="146"/>
      <c r="E767" s="49"/>
      <c r="F767" s="49"/>
      <c r="G767" s="49"/>
      <c r="H767" s="42"/>
      <c r="I767" s="49"/>
      <c r="J767" s="42"/>
      <c r="K767" s="49"/>
      <c r="L767" s="49"/>
      <c r="M767" s="42"/>
      <c r="N767" s="42"/>
      <c r="O767" s="42"/>
      <c r="P767" s="42"/>
      <c r="Q767" s="49"/>
      <c r="R767" s="49"/>
      <c r="S767" s="49"/>
      <c r="T767" s="49"/>
      <c r="U767" s="49"/>
      <c r="V767" s="49"/>
      <c r="W767" s="49"/>
      <c r="X767" s="49"/>
      <c r="Y767" s="49"/>
      <c r="Z767" s="49"/>
      <c r="AA767" s="49"/>
      <c r="AB767" s="49"/>
      <c r="AC767" s="49"/>
      <c r="AD767" s="49"/>
    </row>
    <row r="768">
      <c r="A768" s="49"/>
      <c r="B768" s="49"/>
      <c r="C768" s="146"/>
      <c r="D768" s="146"/>
      <c r="E768" s="49"/>
      <c r="F768" s="49"/>
      <c r="G768" s="49"/>
      <c r="H768" s="42"/>
      <c r="I768" s="49"/>
      <c r="J768" s="42"/>
      <c r="K768" s="49"/>
      <c r="L768" s="49"/>
      <c r="M768" s="42"/>
      <c r="N768" s="42"/>
      <c r="O768" s="42"/>
      <c r="P768" s="42"/>
      <c r="Q768" s="49"/>
      <c r="R768" s="49"/>
      <c r="S768" s="49"/>
      <c r="T768" s="49"/>
      <c r="U768" s="49"/>
      <c r="V768" s="49"/>
      <c r="W768" s="49"/>
      <c r="X768" s="49"/>
      <c r="Y768" s="49"/>
      <c r="Z768" s="49"/>
      <c r="AA768" s="49"/>
      <c r="AB768" s="49"/>
      <c r="AC768" s="49"/>
      <c r="AD768" s="49"/>
    </row>
    <row r="769">
      <c r="A769" s="49"/>
      <c r="B769" s="49"/>
      <c r="C769" s="146"/>
      <c r="D769" s="146"/>
      <c r="E769" s="49"/>
      <c r="F769" s="49"/>
      <c r="G769" s="49"/>
      <c r="H769" s="42"/>
      <c r="I769" s="49"/>
      <c r="J769" s="42"/>
      <c r="K769" s="49"/>
      <c r="L769" s="49"/>
      <c r="M769" s="42"/>
      <c r="N769" s="42"/>
      <c r="O769" s="42"/>
      <c r="P769" s="42"/>
      <c r="Q769" s="49"/>
      <c r="R769" s="49"/>
      <c r="S769" s="49"/>
      <c r="T769" s="49"/>
      <c r="U769" s="49"/>
      <c r="V769" s="49"/>
      <c r="W769" s="49"/>
      <c r="X769" s="49"/>
      <c r="Y769" s="49"/>
      <c r="Z769" s="49"/>
      <c r="AA769" s="49"/>
      <c r="AB769" s="49"/>
      <c r="AC769" s="49"/>
      <c r="AD769" s="49"/>
    </row>
    <row r="770">
      <c r="A770" s="49"/>
      <c r="B770" s="49"/>
      <c r="C770" s="146"/>
      <c r="D770" s="146"/>
      <c r="E770" s="49"/>
      <c r="F770" s="49"/>
      <c r="G770" s="49"/>
      <c r="H770" s="42"/>
      <c r="I770" s="49"/>
      <c r="J770" s="42"/>
      <c r="K770" s="49"/>
      <c r="L770" s="49"/>
      <c r="M770" s="42"/>
      <c r="N770" s="42"/>
      <c r="O770" s="42"/>
      <c r="P770" s="42"/>
      <c r="Q770" s="49"/>
      <c r="R770" s="49"/>
      <c r="S770" s="49"/>
      <c r="T770" s="49"/>
      <c r="U770" s="49"/>
      <c r="V770" s="49"/>
      <c r="W770" s="49"/>
      <c r="X770" s="49"/>
      <c r="Y770" s="49"/>
      <c r="Z770" s="49"/>
      <c r="AA770" s="49"/>
      <c r="AB770" s="49"/>
      <c r="AC770" s="49"/>
      <c r="AD770" s="49"/>
    </row>
    <row r="771">
      <c r="A771" s="49"/>
      <c r="B771" s="49"/>
      <c r="C771" s="146"/>
      <c r="D771" s="146"/>
      <c r="E771" s="49"/>
      <c r="F771" s="49"/>
      <c r="G771" s="49"/>
      <c r="H771" s="42"/>
      <c r="I771" s="49"/>
      <c r="J771" s="42"/>
      <c r="K771" s="49"/>
      <c r="L771" s="49"/>
      <c r="M771" s="42"/>
      <c r="N771" s="42"/>
      <c r="O771" s="42"/>
      <c r="P771" s="42"/>
      <c r="Q771" s="49"/>
      <c r="R771" s="49"/>
      <c r="S771" s="49"/>
      <c r="T771" s="49"/>
      <c r="U771" s="49"/>
      <c r="V771" s="49"/>
      <c r="W771" s="49"/>
      <c r="X771" s="49"/>
      <c r="Y771" s="49"/>
      <c r="Z771" s="49"/>
      <c r="AA771" s="49"/>
      <c r="AB771" s="49"/>
      <c r="AC771" s="49"/>
      <c r="AD771" s="49"/>
    </row>
    <row r="772">
      <c r="A772" s="49"/>
      <c r="B772" s="49"/>
      <c r="C772" s="146"/>
      <c r="D772" s="146"/>
      <c r="E772" s="49"/>
      <c r="F772" s="49"/>
      <c r="G772" s="49"/>
      <c r="H772" s="42"/>
      <c r="I772" s="49"/>
      <c r="J772" s="42"/>
      <c r="K772" s="49"/>
      <c r="L772" s="49"/>
      <c r="M772" s="42"/>
      <c r="N772" s="42"/>
      <c r="O772" s="42"/>
      <c r="P772" s="42"/>
      <c r="Q772" s="49"/>
      <c r="R772" s="49"/>
      <c r="S772" s="49"/>
      <c r="T772" s="49"/>
      <c r="U772" s="49"/>
      <c r="V772" s="49"/>
      <c r="W772" s="49"/>
      <c r="X772" s="49"/>
      <c r="Y772" s="49"/>
      <c r="Z772" s="49"/>
      <c r="AA772" s="49"/>
      <c r="AB772" s="49"/>
      <c r="AC772" s="49"/>
      <c r="AD772" s="49"/>
    </row>
    <row r="773">
      <c r="A773" s="49"/>
      <c r="B773" s="49"/>
      <c r="C773" s="146"/>
      <c r="D773" s="146"/>
      <c r="E773" s="49"/>
      <c r="F773" s="49"/>
      <c r="G773" s="49"/>
      <c r="H773" s="42"/>
      <c r="I773" s="49"/>
      <c r="J773" s="42"/>
      <c r="K773" s="49"/>
      <c r="L773" s="49"/>
      <c r="M773" s="42"/>
      <c r="N773" s="42"/>
      <c r="O773" s="42"/>
      <c r="P773" s="42"/>
      <c r="Q773" s="49"/>
      <c r="R773" s="49"/>
      <c r="S773" s="49"/>
      <c r="T773" s="49"/>
      <c r="U773" s="49"/>
      <c r="V773" s="49"/>
      <c r="W773" s="49"/>
      <c r="X773" s="49"/>
      <c r="Y773" s="49"/>
      <c r="Z773" s="49"/>
      <c r="AA773" s="49"/>
      <c r="AB773" s="49"/>
      <c r="AC773" s="49"/>
      <c r="AD773" s="49"/>
    </row>
    <row r="774">
      <c r="A774" s="49"/>
      <c r="B774" s="49"/>
      <c r="C774" s="146"/>
      <c r="D774" s="146"/>
      <c r="E774" s="49"/>
      <c r="F774" s="49"/>
      <c r="G774" s="49"/>
      <c r="H774" s="42"/>
      <c r="I774" s="49"/>
      <c r="J774" s="42"/>
      <c r="K774" s="49"/>
      <c r="L774" s="49"/>
      <c r="M774" s="42"/>
      <c r="N774" s="42"/>
      <c r="O774" s="42"/>
      <c r="P774" s="42"/>
      <c r="Q774" s="49"/>
      <c r="R774" s="49"/>
      <c r="S774" s="49"/>
      <c r="T774" s="49"/>
      <c r="U774" s="49"/>
      <c r="V774" s="49"/>
      <c r="W774" s="49"/>
      <c r="X774" s="49"/>
      <c r="Y774" s="49"/>
      <c r="Z774" s="49"/>
      <c r="AA774" s="49"/>
      <c r="AB774" s="49"/>
      <c r="AC774" s="49"/>
      <c r="AD774" s="49"/>
    </row>
    <row r="775">
      <c r="A775" s="49"/>
      <c r="B775" s="49"/>
      <c r="C775" s="146"/>
      <c r="D775" s="146"/>
      <c r="E775" s="49"/>
      <c r="F775" s="49"/>
      <c r="G775" s="49"/>
      <c r="H775" s="42"/>
      <c r="I775" s="49"/>
      <c r="J775" s="42"/>
      <c r="K775" s="49"/>
      <c r="L775" s="49"/>
      <c r="M775" s="42"/>
      <c r="N775" s="42"/>
      <c r="O775" s="42"/>
      <c r="P775" s="42"/>
      <c r="Q775" s="49"/>
      <c r="R775" s="49"/>
      <c r="S775" s="49"/>
      <c r="T775" s="49"/>
      <c r="U775" s="49"/>
      <c r="V775" s="49"/>
      <c r="W775" s="49"/>
      <c r="X775" s="49"/>
      <c r="Y775" s="49"/>
      <c r="Z775" s="49"/>
      <c r="AA775" s="49"/>
      <c r="AB775" s="49"/>
      <c r="AC775" s="49"/>
      <c r="AD775" s="49"/>
    </row>
    <row r="776">
      <c r="A776" s="49"/>
      <c r="B776" s="49"/>
      <c r="C776" s="146"/>
      <c r="D776" s="146"/>
      <c r="E776" s="49"/>
      <c r="F776" s="49"/>
      <c r="G776" s="49"/>
      <c r="H776" s="42"/>
      <c r="I776" s="49"/>
      <c r="J776" s="42"/>
      <c r="K776" s="49"/>
      <c r="L776" s="49"/>
      <c r="M776" s="42"/>
      <c r="N776" s="42"/>
      <c r="O776" s="42"/>
      <c r="P776" s="42"/>
      <c r="Q776" s="49"/>
      <c r="R776" s="49"/>
      <c r="S776" s="49"/>
      <c r="T776" s="49"/>
      <c r="U776" s="49"/>
      <c r="V776" s="49"/>
      <c r="W776" s="49"/>
      <c r="X776" s="49"/>
      <c r="Y776" s="49"/>
      <c r="Z776" s="49"/>
      <c r="AA776" s="49"/>
      <c r="AB776" s="49"/>
      <c r="AC776" s="49"/>
      <c r="AD776" s="49"/>
    </row>
    <row r="777">
      <c r="A777" s="49"/>
      <c r="B777" s="49"/>
      <c r="C777" s="146"/>
      <c r="D777" s="146"/>
      <c r="E777" s="49"/>
      <c r="F777" s="49"/>
      <c r="G777" s="49"/>
      <c r="H777" s="42"/>
      <c r="I777" s="49"/>
      <c r="J777" s="42"/>
      <c r="K777" s="49"/>
      <c r="L777" s="49"/>
      <c r="M777" s="42"/>
      <c r="N777" s="42"/>
      <c r="O777" s="42"/>
      <c r="P777" s="42"/>
      <c r="Q777" s="49"/>
      <c r="R777" s="49"/>
      <c r="S777" s="49"/>
      <c r="T777" s="49"/>
      <c r="U777" s="49"/>
      <c r="V777" s="49"/>
      <c r="W777" s="49"/>
      <c r="X777" s="49"/>
      <c r="Y777" s="49"/>
      <c r="Z777" s="49"/>
      <c r="AA777" s="49"/>
      <c r="AB777" s="49"/>
      <c r="AC777" s="49"/>
      <c r="AD777" s="49"/>
    </row>
    <row r="778">
      <c r="A778" s="49"/>
      <c r="B778" s="49"/>
      <c r="C778" s="146"/>
      <c r="D778" s="146"/>
      <c r="E778" s="49"/>
      <c r="F778" s="49"/>
      <c r="G778" s="49"/>
      <c r="H778" s="42"/>
      <c r="I778" s="49"/>
      <c r="J778" s="42"/>
      <c r="K778" s="49"/>
      <c r="L778" s="49"/>
      <c r="M778" s="42"/>
      <c r="N778" s="42"/>
      <c r="O778" s="42"/>
      <c r="P778" s="42"/>
      <c r="Q778" s="49"/>
      <c r="R778" s="49"/>
      <c r="S778" s="49"/>
      <c r="T778" s="49"/>
      <c r="U778" s="49"/>
      <c r="V778" s="49"/>
      <c r="W778" s="49"/>
      <c r="X778" s="49"/>
      <c r="Y778" s="49"/>
      <c r="Z778" s="49"/>
      <c r="AA778" s="49"/>
      <c r="AB778" s="49"/>
      <c r="AC778" s="49"/>
      <c r="AD778" s="49"/>
    </row>
    <row r="779">
      <c r="A779" s="49"/>
      <c r="B779" s="49"/>
      <c r="C779" s="146"/>
      <c r="D779" s="146"/>
      <c r="E779" s="49"/>
      <c r="F779" s="49"/>
      <c r="G779" s="49"/>
      <c r="H779" s="42"/>
      <c r="I779" s="49"/>
      <c r="J779" s="42"/>
      <c r="K779" s="49"/>
      <c r="L779" s="49"/>
      <c r="M779" s="42"/>
      <c r="N779" s="42"/>
      <c r="O779" s="42"/>
      <c r="P779" s="42"/>
      <c r="Q779" s="49"/>
      <c r="R779" s="49"/>
      <c r="S779" s="49"/>
      <c r="T779" s="49"/>
      <c r="U779" s="49"/>
      <c r="V779" s="49"/>
      <c r="W779" s="49"/>
      <c r="X779" s="49"/>
      <c r="Y779" s="49"/>
      <c r="Z779" s="49"/>
      <c r="AA779" s="49"/>
      <c r="AB779" s="49"/>
      <c r="AC779" s="49"/>
      <c r="AD779" s="49"/>
    </row>
    <row r="780">
      <c r="A780" s="49"/>
      <c r="B780" s="49"/>
      <c r="C780" s="146"/>
      <c r="D780" s="146"/>
      <c r="E780" s="49"/>
      <c r="F780" s="49"/>
      <c r="G780" s="49"/>
      <c r="H780" s="42"/>
      <c r="I780" s="49"/>
      <c r="J780" s="42"/>
      <c r="K780" s="49"/>
      <c r="L780" s="49"/>
      <c r="M780" s="42"/>
      <c r="N780" s="42"/>
      <c r="O780" s="42"/>
      <c r="P780" s="42"/>
      <c r="Q780" s="49"/>
      <c r="R780" s="49"/>
      <c r="S780" s="49"/>
      <c r="T780" s="49"/>
      <c r="U780" s="49"/>
      <c r="V780" s="49"/>
      <c r="W780" s="49"/>
      <c r="X780" s="49"/>
      <c r="Y780" s="49"/>
      <c r="Z780" s="49"/>
      <c r="AA780" s="49"/>
      <c r="AB780" s="49"/>
      <c r="AC780" s="49"/>
      <c r="AD780" s="49"/>
    </row>
    <row r="781">
      <c r="A781" s="49"/>
      <c r="B781" s="49"/>
      <c r="C781" s="146"/>
      <c r="D781" s="146"/>
      <c r="E781" s="49"/>
      <c r="F781" s="49"/>
      <c r="G781" s="49"/>
      <c r="H781" s="42"/>
      <c r="I781" s="49"/>
      <c r="J781" s="42"/>
      <c r="K781" s="49"/>
      <c r="L781" s="49"/>
      <c r="M781" s="42"/>
      <c r="N781" s="42"/>
      <c r="O781" s="42"/>
      <c r="P781" s="42"/>
      <c r="Q781" s="49"/>
      <c r="R781" s="49"/>
      <c r="S781" s="49"/>
      <c r="T781" s="49"/>
      <c r="U781" s="49"/>
      <c r="V781" s="49"/>
      <c r="W781" s="49"/>
      <c r="X781" s="49"/>
      <c r="Y781" s="49"/>
      <c r="Z781" s="49"/>
      <c r="AA781" s="49"/>
      <c r="AB781" s="49"/>
      <c r="AC781" s="49"/>
      <c r="AD781" s="49"/>
    </row>
    <row r="782">
      <c r="A782" s="49"/>
      <c r="B782" s="49"/>
      <c r="C782" s="146"/>
      <c r="D782" s="146"/>
      <c r="E782" s="49"/>
      <c r="F782" s="49"/>
      <c r="G782" s="49"/>
      <c r="H782" s="42"/>
      <c r="I782" s="49"/>
      <c r="J782" s="42"/>
      <c r="K782" s="49"/>
      <c r="L782" s="49"/>
      <c r="M782" s="42"/>
      <c r="N782" s="42"/>
      <c r="O782" s="42"/>
      <c r="P782" s="42"/>
      <c r="Q782" s="49"/>
      <c r="R782" s="49"/>
      <c r="S782" s="49"/>
      <c r="T782" s="49"/>
      <c r="U782" s="49"/>
      <c r="V782" s="49"/>
      <c r="W782" s="49"/>
      <c r="X782" s="49"/>
      <c r="Y782" s="49"/>
      <c r="Z782" s="49"/>
      <c r="AA782" s="49"/>
      <c r="AB782" s="49"/>
      <c r="AC782" s="49"/>
      <c r="AD782" s="49"/>
    </row>
    <row r="783">
      <c r="A783" s="49"/>
      <c r="B783" s="49"/>
      <c r="C783" s="146"/>
      <c r="D783" s="146"/>
      <c r="E783" s="49"/>
      <c r="F783" s="49"/>
      <c r="G783" s="49"/>
      <c r="H783" s="42"/>
      <c r="I783" s="49"/>
      <c r="J783" s="42"/>
      <c r="K783" s="49"/>
      <c r="L783" s="49"/>
      <c r="M783" s="42"/>
      <c r="N783" s="42"/>
      <c r="O783" s="42"/>
      <c r="P783" s="42"/>
      <c r="Q783" s="49"/>
      <c r="R783" s="49"/>
      <c r="S783" s="49"/>
      <c r="T783" s="49"/>
      <c r="U783" s="49"/>
      <c r="V783" s="49"/>
      <c r="W783" s="49"/>
      <c r="X783" s="49"/>
      <c r="Y783" s="49"/>
      <c r="Z783" s="49"/>
      <c r="AA783" s="49"/>
      <c r="AB783" s="49"/>
      <c r="AC783" s="49"/>
      <c r="AD783" s="49"/>
    </row>
    <row r="784">
      <c r="A784" s="49"/>
      <c r="B784" s="49"/>
      <c r="C784" s="146"/>
      <c r="D784" s="146"/>
      <c r="E784" s="49"/>
      <c r="F784" s="49"/>
      <c r="G784" s="49"/>
      <c r="H784" s="42"/>
      <c r="I784" s="49"/>
      <c r="J784" s="42"/>
      <c r="K784" s="49"/>
      <c r="L784" s="49"/>
      <c r="M784" s="42"/>
      <c r="N784" s="42"/>
      <c r="O784" s="42"/>
      <c r="P784" s="42"/>
      <c r="Q784" s="49"/>
      <c r="R784" s="49"/>
      <c r="S784" s="49"/>
      <c r="T784" s="49"/>
      <c r="U784" s="49"/>
      <c r="V784" s="49"/>
      <c r="W784" s="49"/>
      <c r="X784" s="49"/>
      <c r="Y784" s="49"/>
      <c r="Z784" s="49"/>
      <c r="AA784" s="49"/>
      <c r="AB784" s="49"/>
      <c r="AC784" s="49"/>
      <c r="AD784" s="49"/>
    </row>
    <row r="785">
      <c r="A785" s="49"/>
      <c r="B785" s="49"/>
      <c r="C785" s="146"/>
      <c r="D785" s="146"/>
      <c r="E785" s="49"/>
      <c r="F785" s="49"/>
      <c r="G785" s="49"/>
      <c r="H785" s="42"/>
      <c r="I785" s="49"/>
      <c r="J785" s="42"/>
      <c r="K785" s="49"/>
      <c r="L785" s="49"/>
      <c r="M785" s="42"/>
      <c r="N785" s="42"/>
      <c r="O785" s="42"/>
      <c r="P785" s="42"/>
      <c r="Q785" s="49"/>
      <c r="R785" s="49"/>
      <c r="S785" s="49"/>
      <c r="T785" s="49"/>
      <c r="U785" s="49"/>
      <c r="V785" s="49"/>
      <c r="W785" s="49"/>
      <c r="X785" s="49"/>
      <c r="Y785" s="49"/>
      <c r="Z785" s="49"/>
      <c r="AA785" s="49"/>
      <c r="AB785" s="49"/>
      <c r="AC785" s="49"/>
      <c r="AD785" s="49"/>
    </row>
    <row r="786">
      <c r="A786" s="49"/>
      <c r="B786" s="49"/>
      <c r="C786" s="146"/>
      <c r="D786" s="146"/>
      <c r="E786" s="49"/>
      <c r="F786" s="49"/>
      <c r="G786" s="49"/>
      <c r="H786" s="42"/>
      <c r="I786" s="49"/>
      <c r="J786" s="42"/>
      <c r="K786" s="49"/>
      <c r="L786" s="49"/>
      <c r="M786" s="42"/>
      <c r="N786" s="42"/>
      <c r="O786" s="42"/>
      <c r="P786" s="42"/>
      <c r="Q786" s="49"/>
      <c r="R786" s="49"/>
      <c r="S786" s="49"/>
      <c r="T786" s="49"/>
      <c r="U786" s="49"/>
      <c r="V786" s="49"/>
      <c r="W786" s="49"/>
      <c r="X786" s="49"/>
      <c r="Y786" s="49"/>
      <c r="Z786" s="49"/>
      <c r="AA786" s="49"/>
      <c r="AB786" s="49"/>
      <c r="AC786" s="49"/>
      <c r="AD786" s="49"/>
    </row>
    <row r="787">
      <c r="A787" s="49"/>
      <c r="B787" s="49"/>
      <c r="C787" s="146"/>
      <c r="D787" s="146"/>
      <c r="E787" s="49"/>
      <c r="F787" s="49"/>
      <c r="G787" s="49"/>
      <c r="H787" s="42"/>
      <c r="I787" s="49"/>
      <c r="J787" s="42"/>
      <c r="K787" s="49"/>
      <c r="L787" s="49"/>
      <c r="M787" s="42"/>
      <c r="N787" s="42"/>
      <c r="O787" s="42"/>
      <c r="P787" s="42"/>
      <c r="Q787" s="49"/>
      <c r="R787" s="49"/>
      <c r="S787" s="49"/>
      <c r="T787" s="49"/>
      <c r="U787" s="49"/>
      <c r="V787" s="49"/>
      <c r="W787" s="49"/>
      <c r="X787" s="49"/>
      <c r="Y787" s="49"/>
      <c r="Z787" s="49"/>
      <c r="AA787" s="49"/>
      <c r="AB787" s="49"/>
      <c r="AC787" s="49"/>
      <c r="AD787" s="49"/>
    </row>
    <row r="788">
      <c r="A788" s="49"/>
      <c r="B788" s="49"/>
      <c r="C788" s="146"/>
      <c r="D788" s="146"/>
      <c r="E788" s="49"/>
      <c r="F788" s="49"/>
      <c r="G788" s="49"/>
      <c r="H788" s="42"/>
      <c r="I788" s="49"/>
      <c r="J788" s="42"/>
      <c r="K788" s="49"/>
      <c r="L788" s="49"/>
      <c r="M788" s="42"/>
      <c r="N788" s="42"/>
      <c r="O788" s="42"/>
      <c r="P788" s="42"/>
      <c r="Q788" s="49"/>
      <c r="R788" s="49"/>
      <c r="S788" s="49"/>
      <c r="T788" s="49"/>
      <c r="U788" s="49"/>
      <c r="V788" s="49"/>
      <c r="W788" s="49"/>
      <c r="X788" s="49"/>
      <c r="Y788" s="49"/>
      <c r="Z788" s="49"/>
      <c r="AA788" s="49"/>
      <c r="AB788" s="49"/>
      <c r="AC788" s="49"/>
      <c r="AD788" s="49"/>
    </row>
    <row r="789">
      <c r="A789" s="49"/>
      <c r="B789" s="49"/>
      <c r="C789" s="146"/>
      <c r="D789" s="146"/>
      <c r="E789" s="49"/>
      <c r="F789" s="49"/>
      <c r="G789" s="49"/>
      <c r="H789" s="42"/>
      <c r="I789" s="49"/>
      <c r="J789" s="42"/>
      <c r="K789" s="49"/>
      <c r="L789" s="49"/>
      <c r="M789" s="42"/>
      <c r="N789" s="42"/>
      <c r="O789" s="42"/>
      <c r="P789" s="42"/>
      <c r="Q789" s="49"/>
      <c r="R789" s="49"/>
      <c r="S789" s="49"/>
      <c r="T789" s="49"/>
      <c r="U789" s="49"/>
      <c r="V789" s="49"/>
      <c r="W789" s="49"/>
      <c r="X789" s="49"/>
      <c r="Y789" s="49"/>
      <c r="Z789" s="49"/>
      <c r="AA789" s="49"/>
      <c r="AB789" s="49"/>
      <c r="AC789" s="49"/>
      <c r="AD789" s="49"/>
    </row>
    <row r="790">
      <c r="A790" s="49"/>
      <c r="B790" s="49"/>
      <c r="C790" s="146"/>
      <c r="D790" s="146"/>
      <c r="E790" s="49"/>
      <c r="F790" s="49"/>
      <c r="G790" s="49"/>
      <c r="H790" s="42"/>
      <c r="I790" s="49"/>
      <c r="J790" s="42"/>
      <c r="K790" s="49"/>
      <c r="L790" s="49"/>
      <c r="M790" s="42"/>
      <c r="N790" s="42"/>
      <c r="O790" s="42"/>
      <c r="P790" s="42"/>
      <c r="Q790" s="49"/>
      <c r="R790" s="49"/>
      <c r="S790" s="49"/>
      <c r="T790" s="49"/>
      <c r="U790" s="49"/>
      <c r="V790" s="49"/>
      <c r="W790" s="49"/>
      <c r="X790" s="49"/>
      <c r="Y790" s="49"/>
      <c r="Z790" s="49"/>
      <c r="AA790" s="49"/>
      <c r="AB790" s="49"/>
      <c r="AC790" s="49"/>
      <c r="AD790" s="49"/>
    </row>
    <row r="791">
      <c r="A791" s="49"/>
      <c r="B791" s="49"/>
      <c r="C791" s="146"/>
      <c r="D791" s="146"/>
      <c r="E791" s="49"/>
      <c r="F791" s="49"/>
      <c r="G791" s="49"/>
      <c r="H791" s="42"/>
      <c r="I791" s="49"/>
      <c r="J791" s="42"/>
      <c r="K791" s="49"/>
      <c r="L791" s="49"/>
      <c r="M791" s="42"/>
      <c r="N791" s="42"/>
      <c r="O791" s="42"/>
      <c r="P791" s="42"/>
      <c r="Q791" s="49"/>
      <c r="R791" s="49"/>
      <c r="S791" s="49"/>
      <c r="T791" s="49"/>
      <c r="U791" s="49"/>
      <c r="V791" s="49"/>
      <c r="W791" s="49"/>
      <c r="X791" s="49"/>
      <c r="Y791" s="49"/>
      <c r="Z791" s="49"/>
      <c r="AA791" s="49"/>
      <c r="AB791" s="49"/>
      <c r="AC791" s="49"/>
      <c r="AD791" s="49"/>
    </row>
    <row r="792">
      <c r="A792" s="49"/>
      <c r="B792" s="49"/>
      <c r="C792" s="146"/>
      <c r="D792" s="146"/>
      <c r="E792" s="49"/>
      <c r="F792" s="49"/>
      <c r="G792" s="49"/>
      <c r="H792" s="42"/>
      <c r="I792" s="49"/>
      <c r="J792" s="42"/>
      <c r="K792" s="49"/>
      <c r="L792" s="49"/>
      <c r="M792" s="42"/>
      <c r="N792" s="42"/>
      <c r="O792" s="42"/>
      <c r="P792" s="42"/>
      <c r="Q792" s="49"/>
      <c r="R792" s="49"/>
      <c r="S792" s="49"/>
      <c r="T792" s="49"/>
      <c r="U792" s="49"/>
      <c r="V792" s="49"/>
      <c r="W792" s="49"/>
      <c r="X792" s="49"/>
      <c r="Y792" s="49"/>
      <c r="Z792" s="49"/>
      <c r="AA792" s="49"/>
      <c r="AB792" s="49"/>
      <c r="AC792" s="49"/>
      <c r="AD792" s="49"/>
    </row>
    <row r="793">
      <c r="A793" s="49"/>
      <c r="B793" s="49"/>
      <c r="C793" s="146"/>
      <c r="D793" s="146"/>
      <c r="E793" s="49"/>
      <c r="F793" s="49"/>
      <c r="G793" s="49"/>
      <c r="H793" s="42"/>
      <c r="I793" s="49"/>
      <c r="J793" s="42"/>
      <c r="K793" s="49"/>
      <c r="L793" s="49"/>
      <c r="M793" s="42"/>
      <c r="N793" s="42"/>
      <c r="O793" s="42"/>
      <c r="P793" s="42"/>
      <c r="Q793" s="49"/>
      <c r="R793" s="49"/>
      <c r="S793" s="49"/>
      <c r="T793" s="49"/>
      <c r="U793" s="49"/>
      <c r="V793" s="49"/>
      <c r="W793" s="49"/>
      <c r="X793" s="49"/>
      <c r="Y793" s="49"/>
      <c r="Z793" s="49"/>
      <c r="AA793" s="49"/>
      <c r="AB793" s="49"/>
      <c r="AC793" s="49"/>
      <c r="AD793" s="49"/>
    </row>
    <row r="794">
      <c r="A794" s="49"/>
      <c r="B794" s="49"/>
      <c r="C794" s="146"/>
      <c r="D794" s="146"/>
      <c r="E794" s="49"/>
      <c r="F794" s="49"/>
      <c r="G794" s="49"/>
      <c r="H794" s="42"/>
      <c r="I794" s="49"/>
      <c r="J794" s="42"/>
      <c r="K794" s="49"/>
      <c r="L794" s="49"/>
      <c r="M794" s="42"/>
      <c r="N794" s="42"/>
      <c r="O794" s="42"/>
      <c r="P794" s="42"/>
      <c r="Q794" s="49"/>
      <c r="R794" s="49"/>
      <c r="S794" s="49"/>
      <c r="T794" s="49"/>
      <c r="U794" s="49"/>
      <c r="V794" s="49"/>
      <c r="W794" s="49"/>
      <c r="X794" s="49"/>
      <c r="Y794" s="49"/>
      <c r="Z794" s="49"/>
      <c r="AA794" s="49"/>
      <c r="AB794" s="49"/>
      <c r="AC794" s="49"/>
      <c r="AD794" s="49"/>
    </row>
    <row r="795">
      <c r="A795" s="49"/>
      <c r="B795" s="49"/>
      <c r="C795" s="146"/>
      <c r="D795" s="146"/>
      <c r="E795" s="49"/>
      <c r="F795" s="49"/>
      <c r="G795" s="49"/>
      <c r="H795" s="42"/>
      <c r="I795" s="49"/>
      <c r="J795" s="42"/>
      <c r="K795" s="49"/>
      <c r="L795" s="49"/>
      <c r="M795" s="42"/>
      <c r="N795" s="42"/>
      <c r="O795" s="42"/>
      <c r="P795" s="42"/>
      <c r="Q795" s="49"/>
      <c r="R795" s="49"/>
      <c r="S795" s="49"/>
      <c r="T795" s="49"/>
      <c r="U795" s="49"/>
      <c r="V795" s="49"/>
      <c r="W795" s="49"/>
      <c r="X795" s="49"/>
      <c r="Y795" s="49"/>
      <c r="Z795" s="49"/>
      <c r="AA795" s="49"/>
      <c r="AB795" s="49"/>
      <c r="AC795" s="49"/>
      <c r="AD795" s="49"/>
    </row>
    <row r="796">
      <c r="A796" s="49"/>
      <c r="B796" s="49"/>
      <c r="C796" s="146"/>
      <c r="D796" s="146"/>
      <c r="E796" s="49"/>
      <c r="F796" s="49"/>
      <c r="G796" s="49"/>
      <c r="H796" s="42"/>
      <c r="I796" s="49"/>
      <c r="J796" s="42"/>
      <c r="K796" s="49"/>
      <c r="L796" s="49"/>
      <c r="M796" s="42"/>
      <c r="N796" s="42"/>
      <c r="O796" s="42"/>
      <c r="P796" s="42"/>
      <c r="Q796" s="49"/>
      <c r="R796" s="49"/>
      <c r="S796" s="49"/>
      <c r="T796" s="49"/>
      <c r="U796" s="49"/>
      <c r="V796" s="49"/>
      <c r="W796" s="49"/>
      <c r="X796" s="49"/>
      <c r="Y796" s="49"/>
      <c r="Z796" s="49"/>
      <c r="AA796" s="49"/>
      <c r="AB796" s="49"/>
      <c r="AC796" s="49"/>
      <c r="AD796" s="49"/>
    </row>
    <row r="797">
      <c r="A797" s="49"/>
      <c r="B797" s="49"/>
      <c r="C797" s="146"/>
      <c r="D797" s="146"/>
      <c r="E797" s="49"/>
      <c r="F797" s="49"/>
      <c r="G797" s="49"/>
      <c r="H797" s="42"/>
      <c r="I797" s="49"/>
      <c r="J797" s="42"/>
      <c r="K797" s="49"/>
      <c r="L797" s="49"/>
      <c r="M797" s="42"/>
      <c r="N797" s="42"/>
      <c r="O797" s="42"/>
      <c r="P797" s="42"/>
      <c r="Q797" s="49"/>
      <c r="R797" s="49"/>
      <c r="S797" s="49"/>
      <c r="T797" s="49"/>
      <c r="U797" s="49"/>
      <c r="V797" s="49"/>
      <c r="W797" s="49"/>
      <c r="X797" s="49"/>
      <c r="Y797" s="49"/>
      <c r="Z797" s="49"/>
      <c r="AA797" s="49"/>
      <c r="AB797" s="49"/>
      <c r="AC797" s="49"/>
      <c r="AD797" s="49"/>
    </row>
    <row r="798">
      <c r="A798" s="49"/>
      <c r="B798" s="49"/>
      <c r="C798" s="146"/>
      <c r="D798" s="146"/>
      <c r="E798" s="49"/>
      <c r="F798" s="49"/>
      <c r="G798" s="49"/>
      <c r="H798" s="42"/>
      <c r="I798" s="49"/>
      <c r="J798" s="42"/>
      <c r="K798" s="49"/>
      <c r="L798" s="49"/>
      <c r="M798" s="42"/>
      <c r="N798" s="42"/>
      <c r="O798" s="42"/>
      <c r="P798" s="42"/>
      <c r="Q798" s="49"/>
      <c r="R798" s="49"/>
      <c r="S798" s="49"/>
      <c r="T798" s="49"/>
      <c r="U798" s="49"/>
      <c r="V798" s="49"/>
      <c r="W798" s="49"/>
      <c r="X798" s="49"/>
      <c r="Y798" s="49"/>
      <c r="Z798" s="49"/>
      <c r="AA798" s="49"/>
      <c r="AB798" s="49"/>
      <c r="AC798" s="49"/>
      <c r="AD798" s="49"/>
    </row>
    <row r="799">
      <c r="A799" s="49"/>
      <c r="B799" s="49"/>
      <c r="C799" s="146"/>
      <c r="D799" s="146"/>
      <c r="E799" s="49"/>
      <c r="F799" s="49"/>
      <c r="G799" s="49"/>
      <c r="H799" s="42"/>
      <c r="I799" s="49"/>
      <c r="J799" s="42"/>
      <c r="K799" s="49"/>
      <c r="L799" s="49"/>
      <c r="M799" s="42"/>
      <c r="N799" s="42"/>
      <c r="O799" s="42"/>
      <c r="P799" s="42"/>
      <c r="Q799" s="49"/>
      <c r="R799" s="49"/>
      <c r="S799" s="49"/>
      <c r="T799" s="49"/>
      <c r="U799" s="49"/>
      <c r="V799" s="49"/>
      <c r="W799" s="49"/>
      <c r="X799" s="49"/>
      <c r="Y799" s="49"/>
      <c r="Z799" s="49"/>
      <c r="AA799" s="49"/>
      <c r="AB799" s="49"/>
      <c r="AC799" s="49"/>
      <c r="AD799" s="49"/>
    </row>
    <row r="800">
      <c r="A800" s="49"/>
      <c r="B800" s="49"/>
      <c r="C800" s="146"/>
      <c r="D800" s="146"/>
      <c r="E800" s="49"/>
      <c r="F800" s="49"/>
      <c r="G800" s="49"/>
      <c r="H800" s="42"/>
      <c r="I800" s="49"/>
      <c r="J800" s="42"/>
      <c r="K800" s="49"/>
      <c r="L800" s="49"/>
      <c r="M800" s="42"/>
      <c r="N800" s="42"/>
      <c r="O800" s="42"/>
      <c r="P800" s="42"/>
      <c r="Q800" s="49"/>
      <c r="R800" s="49"/>
      <c r="S800" s="49"/>
      <c r="T800" s="49"/>
      <c r="U800" s="49"/>
      <c r="V800" s="49"/>
      <c r="W800" s="49"/>
      <c r="X800" s="49"/>
      <c r="Y800" s="49"/>
      <c r="Z800" s="49"/>
      <c r="AA800" s="49"/>
      <c r="AB800" s="49"/>
      <c r="AC800" s="49"/>
      <c r="AD800" s="49"/>
    </row>
    <row r="801">
      <c r="A801" s="49"/>
      <c r="B801" s="49"/>
      <c r="C801" s="146"/>
      <c r="D801" s="146"/>
      <c r="E801" s="49"/>
      <c r="F801" s="49"/>
      <c r="G801" s="49"/>
      <c r="H801" s="42"/>
      <c r="I801" s="49"/>
      <c r="J801" s="42"/>
      <c r="K801" s="49"/>
      <c r="L801" s="49"/>
      <c r="M801" s="42"/>
      <c r="N801" s="42"/>
      <c r="O801" s="42"/>
      <c r="P801" s="42"/>
      <c r="Q801" s="49"/>
      <c r="R801" s="49"/>
      <c r="S801" s="49"/>
      <c r="T801" s="49"/>
      <c r="U801" s="49"/>
      <c r="V801" s="49"/>
      <c r="W801" s="49"/>
      <c r="X801" s="49"/>
      <c r="Y801" s="49"/>
      <c r="Z801" s="49"/>
      <c r="AA801" s="49"/>
      <c r="AB801" s="49"/>
      <c r="AC801" s="49"/>
      <c r="AD801" s="49"/>
    </row>
    <row r="802">
      <c r="A802" s="49"/>
      <c r="B802" s="49"/>
      <c r="C802" s="146"/>
      <c r="D802" s="146"/>
      <c r="E802" s="49"/>
      <c r="F802" s="49"/>
      <c r="G802" s="49"/>
      <c r="H802" s="42"/>
      <c r="I802" s="49"/>
      <c r="J802" s="42"/>
      <c r="K802" s="49"/>
      <c r="L802" s="49"/>
      <c r="M802" s="42"/>
      <c r="N802" s="42"/>
      <c r="O802" s="42"/>
      <c r="P802" s="42"/>
      <c r="Q802" s="49"/>
      <c r="R802" s="49"/>
      <c r="S802" s="49"/>
      <c r="T802" s="49"/>
      <c r="U802" s="49"/>
      <c r="V802" s="49"/>
      <c r="W802" s="49"/>
      <c r="X802" s="49"/>
      <c r="Y802" s="49"/>
      <c r="Z802" s="49"/>
      <c r="AA802" s="49"/>
      <c r="AB802" s="49"/>
      <c r="AC802" s="49"/>
      <c r="AD802" s="49"/>
    </row>
    <row r="803">
      <c r="A803" s="49"/>
      <c r="B803" s="49"/>
      <c r="C803" s="146"/>
      <c r="D803" s="146"/>
      <c r="E803" s="49"/>
      <c r="F803" s="49"/>
      <c r="G803" s="49"/>
      <c r="H803" s="42"/>
      <c r="I803" s="49"/>
      <c r="J803" s="42"/>
      <c r="K803" s="49"/>
      <c r="L803" s="49"/>
      <c r="M803" s="42"/>
      <c r="N803" s="42"/>
      <c r="O803" s="42"/>
      <c r="P803" s="42"/>
      <c r="Q803" s="49"/>
      <c r="R803" s="49"/>
      <c r="S803" s="49"/>
      <c r="T803" s="49"/>
      <c r="U803" s="49"/>
      <c r="V803" s="49"/>
      <c r="W803" s="49"/>
      <c r="X803" s="49"/>
      <c r="Y803" s="49"/>
      <c r="Z803" s="49"/>
      <c r="AA803" s="49"/>
      <c r="AB803" s="49"/>
      <c r="AC803" s="49"/>
      <c r="AD803" s="49"/>
    </row>
    <row r="804">
      <c r="A804" s="49"/>
      <c r="B804" s="49"/>
      <c r="C804" s="146"/>
      <c r="D804" s="146"/>
      <c r="E804" s="49"/>
      <c r="F804" s="49"/>
      <c r="G804" s="49"/>
      <c r="H804" s="42"/>
      <c r="I804" s="49"/>
      <c r="J804" s="42"/>
      <c r="K804" s="49"/>
      <c r="L804" s="49"/>
      <c r="M804" s="42"/>
      <c r="N804" s="42"/>
      <c r="O804" s="42"/>
      <c r="P804" s="42"/>
      <c r="Q804" s="49"/>
      <c r="R804" s="49"/>
      <c r="S804" s="49"/>
      <c r="T804" s="49"/>
      <c r="U804" s="49"/>
      <c r="V804" s="49"/>
      <c r="W804" s="49"/>
      <c r="X804" s="49"/>
      <c r="Y804" s="49"/>
      <c r="Z804" s="49"/>
      <c r="AA804" s="49"/>
      <c r="AB804" s="49"/>
      <c r="AC804" s="49"/>
      <c r="AD804" s="49"/>
    </row>
    <row r="805">
      <c r="A805" s="49"/>
      <c r="B805" s="49"/>
      <c r="C805" s="146"/>
      <c r="D805" s="146"/>
      <c r="E805" s="49"/>
      <c r="F805" s="49"/>
      <c r="G805" s="49"/>
      <c r="H805" s="42"/>
      <c r="I805" s="49"/>
      <c r="J805" s="42"/>
      <c r="K805" s="49"/>
      <c r="L805" s="49"/>
      <c r="M805" s="42"/>
      <c r="N805" s="42"/>
      <c r="O805" s="42"/>
      <c r="P805" s="42"/>
      <c r="Q805" s="49"/>
      <c r="R805" s="49"/>
      <c r="S805" s="49"/>
      <c r="T805" s="49"/>
      <c r="U805" s="49"/>
      <c r="V805" s="49"/>
      <c r="W805" s="49"/>
      <c r="X805" s="49"/>
      <c r="Y805" s="49"/>
      <c r="Z805" s="49"/>
      <c r="AA805" s="49"/>
      <c r="AB805" s="49"/>
      <c r="AC805" s="49"/>
      <c r="AD805" s="49"/>
    </row>
    <row r="806">
      <c r="A806" s="49"/>
      <c r="B806" s="49"/>
      <c r="C806" s="146"/>
      <c r="D806" s="146"/>
      <c r="E806" s="49"/>
      <c r="F806" s="49"/>
      <c r="G806" s="49"/>
      <c r="H806" s="42"/>
      <c r="I806" s="49"/>
      <c r="J806" s="42"/>
      <c r="K806" s="49"/>
      <c r="L806" s="49"/>
      <c r="M806" s="42"/>
      <c r="N806" s="42"/>
      <c r="O806" s="42"/>
      <c r="P806" s="42"/>
      <c r="Q806" s="49"/>
      <c r="R806" s="49"/>
      <c r="S806" s="49"/>
      <c r="T806" s="49"/>
      <c r="U806" s="49"/>
      <c r="V806" s="49"/>
      <c r="W806" s="49"/>
      <c r="X806" s="49"/>
      <c r="Y806" s="49"/>
      <c r="Z806" s="49"/>
      <c r="AA806" s="49"/>
      <c r="AB806" s="49"/>
      <c r="AC806" s="49"/>
      <c r="AD806" s="49"/>
    </row>
    <row r="807">
      <c r="A807" s="49"/>
      <c r="B807" s="49"/>
      <c r="C807" s="146"/>
      <c r="D807" s="146"/>
      <c r="E807" s="49"/>
      <c r="F807" s="49"/>
      <c r="G807" s="49"/>
      <c r="H807" s="42"/>
      <c r="I807" s="49"/>
      <c r="J807" s="42"/>
      <c r="K807" s="49"/>
      <c r="L807" s="49"/>
      <c r="M807" s="42"/>
      <c r="N807" s="42"/>
      <c r="O807" s="42"/>
      <c r="P807" s="42"/>
      <c r="Q807" s="49"/>
      <c r="R807" s="49"/>
      <c r="S807" s="49"/>
      <c r="T807" s="49"/>
      <c r="U807" s="49"/>
      <c r="V807" s="49"/>
      <c r="W807" s="49"/>
      <c r="X807" s="49"/>
      <c r="Y807" s="49"/>
      <c r="Z807" s="49"/>
      <c r="AA807" s="49"/>
      <c r="AB807" s="49"/>
      <c r="AC807" s="49"/>
      <c r="AD807" s="49"/>
    </row>
    <row r="808">
      <c r="A808" s="49"/>
      <c r="B808" s="49"/>
      <c r="C808" s="146"/>
      <c r="D808" s="146"/>
      <c r="E808" s="49"/>
      <c r="F808" s="49"/>
      <c r="G808" s="49"/>
      <c r="H808" s="42"/>
      <c r="I808" s="49"/>
      <c r="J808" s="42"/>
      <c r="K808" s="49"/>
      <c r="L808" s="49"/>
      <c r="M808" s="42"/>
      <c r="N808" s="42"/>
      <c r="O808" s="42"/>
      <c r="P808" s="42"/>
      <c r="Q808" s="49"/>
      <c r="R808" s="49"/>
      <c r="S808" s="49"/>
      <c r="T808" s="49"/>
      <c r="U808" s="49"/>
      <c r="V808" s="49"/>
      <c r="W808" s="49"/>
      <c r="X808" s="49"/>
      <c r="Y808" s="49"/>
      <c r="Z808" s="49"/>
      <c r="AA808" s="49"/>
      <c r="AB808" s="49"/>
      <c r="AC808" s="49"/>
      <c r="AD808" s="49"/>
    </row>
    <row r="809">
      <c r="A809" s="49"/>
      <c r="B809" s="49"/>
      <c r="C809" s="146"/>
      <c r="D809" s="146"/>
      <c r="E809" s="49"/>
      <c r="F809" s="49"/>
      <c r="G809" s="49"/>
      <c r="H809" s="42"/>
      <c r="I809" s="49"/>
      <c r="J809" s="42"/>
      <c r="K809" s="49"/>
      <c r="L809" s="49"/>
      <c r="M809" s="42"/>
      <c r="N809" s="42"/>
      <c r="O809" s="42"/>
      <c r="P809" s="42"/>
      <c r="Q809" s="49"/>
      <c r="R809" s="49"/>
      <c r="S809" s="49"/>
      <c r="T809" s="49"/>
      <c r="U809" s="49"/>
      <c r="V809" s="49"/>
      <c r="W809" s="49"/>
      <c r="X809" s="49"/>
      <c r="Y809" s="49"/>
      <c r="Z809" s="49"/>
      <c r="AA809" s="49"/>
      <c r="AB809" s="49"/>
      <c r="AC809" s="49"/>
      <c r="AD809" s="49"/>
    </row>
    <row r="810">
      <c r="A810" s="49"/>
      <c r="B810" s="49"/>
      <c r="C810" s="146"/>
      <c r="D810" s="146"/>
      <c r="E810" s="49"/>
      <c r="F810" s="49"/>
      <c r="G810" s="49"/>
      <c r="H810" s="42"/>
      <c r="I810" s="49"/>
      <c r="J810" s="42"/>
      <c r="K810" s="49"/>
      <c r="L810" s="49"/>
      <c r="M810" s="42"/>
      <c r="N810" s="42"/>
      <c r="O810" s="42"/>
      <c r="P810" s="42"/>
      <c r="Q810" s="49"/>
      <c r="R810" s="49"/>
      <c r="S810" s="49"/>
      <c r="T810" s="49"/>
      <c r="U810" s="49"/>
      <c r="V810" s="49"/>
      <c r="W810" s="49"/>
      <c r="X810" s="49"/>
      <c r="Y810" s="49"/>
      <c r="Z810" s="49"/>
      <c r="AA810" s="49"/>
      <c r="AB810" s="49"/>
      <c r="AC810" s="49"/>
      <c r="AD810" s="49"/>
    </row>
    <row r="811">
      <c r="A811" s="49"/>
      <c r="B811" s="49"/>
      <c r="C811" s="146"/>
      <c r="D811" s="146"/>
      <c r="E811" s="49"/>
      <c r="F811" s="49"/>
      <c r="G811" s="49"/>
      <c r="H811" s="42"/>
      <c r="I811" s="49"/>
      <c r="J811" s="42"/>
      <c r="K811" s="49"/>
      <c r="L811" s="49"/>
      <c r="M811" s="42"/>
      <c r="N811" s="42"/>
      <c r="O811" s="42"/>
      <c r="P811" s="42"/>
      <c r="Q811" s="49"/>
      <c r="R811" s="49"/>
      <c r="S811" s="49"/>
      <c r="T811" s="49"/>
      <c r="U811" s="49"/>
      <c r="V811" s="49"/>
      <c r="W811" s="49"/>
      <c r="X811" s="49"/>
      <c r="Y811" s="49"/>
      <c r="Z811" s="49"/>
      <c r="AA811" s="49"/>
      <c r="AB811" s="49"/>
      <c r="AC811" s="49"/>
      <c r="AD811" s="49"/>
    </row>
    <row r="812">
      <c r="A812" s="49"/>
      <c r="B812" s="49"/>
      <c r="C812" s="146"/>
      <c r="D812" s="146"/>
      <c r="E812" s="49"/>
      <c r="F812" s="49"/>
      <c r="G812" s="49"/>
      <c r="H812" s="42"/>
      <c r="I812" s="49"/>
      <c r="J812" s="42"/>
      <c r="K812" s="49"/>
      <c r="L812" s="49"/>
      <c r="M812" s="42"/>
      <c r="N812" s="42"/>
      <c r="O812" s="42"/>
      <c r="P812" s="42"/>
      <c r="Q812" s="49"/>
      <c r="R812" s="49"/>
      <c r="S812" s="49"/>
      <c r="T812" s="49"/>
      <c r="U812" s="49"/>
      <c r="V812" s="49"/>
      <c r="W812" s="49"/>
      <c r="X812" s="49"/>
      <c r="Y812" s="49"/>
      <c r="Z812" s="49"/>
      <c r="AA812" s="49"/>
      <c r="AB812" s="49"/>
      <c r="AC812" s="49"/>
      <c r="AD812" s="49"/>
    </row>
    <row r="813">
      <c r="A813" s="49"/>
      <c r="B813" s="49"/>
      <c r="C813" s="146"/>
      <c r="D813" s="146"/>
      <c r="E813" s="49"/>
      <c r="F813" s="49"/>
      <c r="G813" s="49"/>
      <c r="H813" s="42"/>
      <c r="I813" s="49"/>
      <c r="J813" s="42"/>
      <c r="K813" s="49"/>
      <c r="L813" s="49"/>
      <c r="M813" s="42"/>
      <c r="N813" s="42"/>
      <c r="O813" s="42"/>
      <c r="P813" s="42"/>
      <c r="Q813" s="49"/>
      <c r="R813" s="49"/>
      <c r="S813" s="49"/>
      <c r="T813" s="49"/>
      <c r="U813" s="49"/>
      <c r="V813" s="49"/>
      <c r="W813" s="49"/>
      <c r="X813" s="49"/>
      <c r="Y813" s="49"/>
      <c r="Z813" s="49"/>
      <c r="AA813" s="49"/>
      <c r="AB813" s="49"/>
      <c r="AC813" s="49"/>
      <c r="AD813" s="49"/>
    </row>
    <row r="814">
      <c r="A814" s="49"/>
      <c r="B814" s="49"/>
      <c r="C814" s="146"/>
      <c r="D814" s="146"/>
      <c r="E814" s="49"/>
      <c r="F814" s="49"/>
      <c r="G814" s="49"/>
      <c r="H814" s="42"/>
      <c r="I814" s="49"/>
      <c r="J814" s="42"/>
      <c r="K814" s="49"/>
      <c r="L814" s="49"/>
      <c r="M814" s="42"/>
      <c r="N814" s="42"/>
      <c r="O814" s="42"/>
      <c r="P814" s="42"/>
      <c r="Q814" s="49"/>
      <c r="R814" s="49"/>
      <c r="S814" s="49"/>
      <c r="T814" s="49"/>
      <c r="U814" s="49"/>
      <c r="V814" s="49"/>
      <c r="W814" s="49"/>
      <c r="X814" s="49"/>
      <c r="Y814" s="49"/>
      <c r="Z814" s="49"/>
      <c r="AA814" s="49"/>
      <c r="AB814" s="49"/>
      <c r="AC814" s="49"/>
      <c r="AD814" s="49"/>
    </row>
    <row r="815">
      <c r="A815" s="49"/>
      <c r="B815" s="49"/>
      <c r="C815" s="146"/>
      <c r="D815" s="146"/>
      <c r="E815" s="49"/>
      <c r="F815" s="49"/>
      <c r="G815" s="49"/>
      <c r="H815" s="42"/>
      <c r="I815" s="49"/>
      <c r="J815" s="42"/>
      <c r="K815" s="49"/>
      <c r="L815" s="49"/>
      <c r="M815" s="42"/>
      <c r="N815" s="42"/>
      <c r="O815" s="42"/>
      <c r="P815" s="42"/>
      <c r="Q815" s="49"/>
      <c r="R815" s="49"/>
      <c r="S815" s="49"/>
      <c r="T815" s="49"/>
      <c r="U815" s="49"/>
      <c r="V815" s="49"/>
      <c r="W815" s="49"/>
      <c r="X815" s="49"/>
      <c r="Y815" s="49"/>
      <c r="Z815" s="49"/>
      <c r="AA815" s="49"/>
      <c r="AB815" s="49"/>
      <c r="AC815" s="49"/>
      <c r="AD815" s="49"/>
    </row>
    <row r="816">
      <c r="A816" s="49"/>
      <c r="B816" s="49"/>
      <c r="C816" s="146"/>
      <c r="D816" s="146"/>
      <c r="E816" s="49"/>
      <c r="F816" s="49"/>
      <c r="G816" s="49"/>
      <c r="H816" s="42"/>
      <c r="I816" s="49"/>
      <c r="J816" s="42"/>
      <c r="K816" s="49"/>
      <c r="L816" s="49"/>
      <c r="M816" s="42"/>
      <c r="N816" s="42"/>
      <c r="O816" s="42"/>
      <c r="P816" s="42"/>
      <c r="Q816" s="49"/>
      <c r="R816" s="49"/>
      <c r="S816" s="49"/>
      <c r="T816" s="49"/>
      <c r="U816" s="49"/>
      <c r="V816" s="49"/>
      <c r="W816" s="49"/>
      <c r="X816" s="49"/>
      <c r="Y816" s="49"/>
      <c r="Z816" s="49"/>
      <c r="AA816" s="49"/>
      <c r="AB816" s="49"/>
      <c r="AC816" s="49"/>
      <c r="AD816" s="49"/>
    </row>
    <row r="817">
      <c r="A817" s="49"/>
      <c r="B817" s="49"/>
      <c r="C817" s="146"/>
      <c r="D817" s="146"/>
      <c r="E817" s="49"/>
      <c r="F817" s="49"/>
      <c r="G817" s="49"/>
      <c r="H817" s="42"/>
      <c r="I817" s="49"/>
      <c r="J817" s="42"/>
      <c r="K817" s="49"/>
      <c r="L817" s="49"/>
      <c r="M817" s="42"/>
      <c r="N817" s="42"/>
      <c r="O817" s="42"/>
      <c r="P817" s="42"/>
      <c r="Q817" s="49"/>
      <c r="R817" s="49"/>
      <c r="S817" s="49"/>
      <c r="T817" s="49"/>
      <c r="U817" s="49"/>
      <c r="V817" s="49"/>
      <c r="W817" s="49"/>
      <c r="X817" s="49"/>
      <c r="Y817" s="49"/>
      <c r="Z817" s="49"/>
      <c r="AA817" s="49"/>
      <c r="AB817" s="49"/>
      <c r="AC817" s="49"/>
      <c r="AD817" s="49"/>
    </row>
    <row r="818">
      <c r="A818" s="49"/>
      <c r="B818" s="49"/>
      <c r="C818" s="146"/>
      <c r="D818" s="146"/>
      <c r="E818" s="49"/>
      <c r="F818" s="49"/>
      <c r="G818" s="49"/>
      <c r="H818" s="42"/>
      <c r="I818" s="49"/>
      <c r="J818" s="42"/>
      <c r="K818" s="49"/>
      <c r="L818" s="49"/>
      <c r="M818" s="42"/>
      <c r="N818" s="42"/>
      <c r="O818" s="42"/>
      <c r="P818" s="42"/>
      <c r="Q818" s="49"/>
      <c r="R818" s="49"/>
      <c r="S818" s="49"/>
      <c r="T818" s="49"/>
      <c r="U818" s="49"/>
      <c r="V818" s="49"/>
      <c r="W818" s="49"/>
      <c r="X818" s="49"/>
      <c r="Y818" s="49"/>
      <c r="Z818" s="49"/>
      <c r="AA818" s="49"/>
      <c r="AB818" s="49"/>
      <c r="AC818" s="49"/>
      <c r="AD818" s="49"/>
    </row>
    <row r="819">
      <c r="A819" s="49"/>
      <c r="B819" s="49"/>
      <c r="C819" s="146"/>
      <c r="D819" s="146"/>
      <c r="E819" s="49"/>
      <c r="F819" s="49"/>
      <c r="G819" s="49"/>
      <c r="H819" s="42"/>
      <c r="I819" s="49"/>
      <c r="J819" s="42"/>
      <c r="K819" s="49"/>
      <c r="L819" s="49"/>
      <c r="M819" s="42"/>
      <c r="N819" s="42"/>
      <c r="O819" s="42"/>
      <c r="P819" s="42"/>
      <c r="Q819" s="49"/>
      <c r="R819" s="49"/>
      <c r="S819" s="49"/>
      <c r="T819" s="49"/>
      <c r="U819" s="49"/>
      <c r="V819" s="49"/>
      <c r="W819" s="49"/>
      <c r="X819" s="49"/>
      <c r="Y819" s="49"/>
      <c r="Z819" s="49"/>
      <c r="AA819" s="49"/>
      <c r="AB819" s="49"/>
      <c r="AC819" s="49"/>
      <c r="AD819" s="49"/>
    </row>
    <row r="820">
      <c r="A820" s="49"/>
      <c r="B820" s="49"/>
      <c r="C820" s="146"/>
      <c r="D820" s="146"/>
      <c r="E820" s="49"/>
      <c r="F820" s="49"/>
      <c r="G820" s="49"/>
      <c r="H820" s="42"/>
      <c r="I820" s="49"/>
      <c r="J820" s="42"/>
      <c r="K820" s="49"/>
      <c r="L820" s="49"/>
      <c r="M820" s="42"/>
      <c r="N820" s="42"/>
      <c r="O820" s="42"/>
      <c r="P820" s="42"/>
      <c r="Q820" s="49"/>
      <c r="R820" s="49"/>
      <c r="S820" s="49"/>
      <c r="T820" s="49"/>
      <c r="U820" s="49"/>
      <c r="V820" s="49"/>
      <c r="W820" s="49"/>
      <c r="X820" s="49"/>
      <c r="Y820" s="49"/>
      <c r="Z820" s="49"/>
      <c r="AA820" s="49"/>
      <c r="AB820" s="49"/>
      <c r="AC820" s="49"/>
      <c r="AD820" s="49"/>
    </row>
    <row r="821">
      <c r="A821" s="49"/>
      <c r="B821" s="49"/>
      <c r="C821" s="146"/>
      <c r="D821" s="146"/>
      <c r="E821" s="49"/>
      <c r="F821" s="49"/>
      <c r="G821" s="49"/>
      <c r="H821" s="42"/>
      <c r="I821" s="49"/>
      <c r="J821" s="42"/>
      <c r="K821" s="49"/>
      <c r="L821" s="49"/>
      <c r="M821" s="42"/>
      <c r="N821" s="42"/>
      <c r="O821" s="42"/>
      <c r="P821" s="42"/>
      <c r="Q821" s="49"/>
      <c r="R821" s="49"/>
      <c r="S821" s="49"/>
      <c r="T821" s="49"/>
      <c r="U821" s="49"/>
      <c r="V821" s="49"/>
      <c r="W821" s="49"/>
      <c r="X821" s="49"/>
      <c r="Y821" s="49"/>
      <c r="Z821" s="49"/>
      <c r="AA821" s="49"/>
      <c r="AB821" s="49"/>
      <c r="AC821" s="49"/>
      <c r="AD821" s="49"/>
    </row>
    <row r="822">
      <c r="A822" s="49"/>
      <c r="B822" s="49"/>
      <c r="C822" s="146"/>
      <c r="D822" s="146"/>
      <c r="E822" s="49"/>
      <c r="F822" s="49"/>
      <c r="G822" s="49"/>
      <c r="H822" s="42"/>
      <c r="I822" s="49"/>
      <c r="J822" s="42"/>
      <c r="K822" s="49"/>
      <c r="L822" s="49"/>
      <c r="M822" s="42"/>
      <c r="N822" s="42"/>
      <c r="O822" s="42"/>
      <c r="P822" s="42"/>
      <c r="Q822" s="49"/>
      <c r="R822" s="49"/>
      <c r="S822" s="49"/>
      <c r="T822" s="49"/>
      <c r="U822" s="49"/>
      <c r="V822" s="49"/>
      <c r="W822" s="49"/>
      <c r="X822" s="49"/>
      <c r="Y822" s="49"/>
      <c r="Z822" s="49"/>
      <c r="AA822" s="49"/>
      <c r="AB822" s="49"/>
      <c r="AC822" s="49"/>
      <c r="AD822" s="49"/>
    </row>
    <row r="823">
      <c r="A823" s="49"/>
      <c r="B823" s="49"/>
      <c r="C823" s="146"/>
      <c r="D823" s="146"/>
      <c r="E823" s="49"/>
      <c r="F823" s="49"/>
      <c r="G823" s="49"/>
      <c r="H823" s="42"/>
      <c r="I823" s="49"/>
      <c r="J823" s="42"/>
      <c r="K823" s="49"/>
      <c r="L823" s="49"/>
      <c r="M823" s="42"/>
      <c r="N823" s="42"/>
      <c r="O823" s="42"/>
      <c r="P823" s="42"/>
      <c r="Q823" s="49"/>
      <c r="R823" s="49"/>
      <c r="S823" s="49"/>
      <c r="T823" s="49"/>
      <c r="U823" s="49"/>
      <c r="V823" s="49"/>
      <c r="W823" s="49"/>
      <c r="X823" s="49"/>
      <c r="Y823" s="49"/>
      <c r="Z823" s="49"/>
      <c r="AA823" s="49"/>
      <c r="AB823" s="49"/>
      <c r="AC823" s="49"/>
      <c r="AD823" s="49"/>
    </row>
    <row r="824">
      <c r="A824" s="49"/>
      <c r="B824" s="49"/>
      <c r="C824" s="146"/>
      <c r="D824" s="146"/>
      <c r="E824" s="49"/>
      <c r="F824" s="49"/>
      <c r="G824" s="49"/>
      <c r="H824" s="42"/>
      <c r="I824" s="49"/>
      <c r="J824" s="42"/>
      <c r="K824" s="49"/>
      <c r="L824" s="49"/>
      <c r="M824" s="42"/>
      <c r="N824" s="42"/>
      <c r="O824" s="42"/>
      <c r="P824" s="42"/>
      <c r="Q824" s="49"/>
      <c r="R824" s="49"/>
      <c r="S824" s="49"/>
      <c r="T824" s="49"/>
      <c r="U824" s="49"/>
      <c r="V824" s="49"/>
      <c r="W824" s="49"/>
      <c r="X824" s="49"/>
      <c r="Y824" s="49"/>
      <c r="Z824" s="49"/>
      <c r="AA824" s="49"/>
      <c r="AB824" s="49"/>
      <c r="AC824" s="49"/>
      <c r="AD824" s="49"/>
    </row>
    <row r="825">
      <c r="A825" s="49"/>
      <c r="B825" s="49"/>
      <c r="C825" s="146"/>
      <c r="D825" s="146"/>
      <c r="E825" s="49"/>
      <c r="F825" s="49"/>
      <c r="G825" s="49"/>
      <c r="H825" s="42"/>
      <c r="I825" s="49"/>
      <c r="J825" s="42"/>
      <c r="K825" s="49"/>
      <c r="L825" s="49"/>
      <c r="M825" s="42"/>
      <c r="N825" s="42"/>
      <c r="O825" s="42"/>
      <c r="P825" s="42"/>
      <c r="Q825" s="49"/>
      <c r="R825" s="49"/>
      <c r="S825" s="49"/>
      <c r="T825" s="49"/>
      <c r="U825" s="49"/>
      <c r="V825" s="49"/>
      <c r="W825" s="49"/>
      <c r="X825" s="49"/>
      <c r="Y825" s="49"/>
      <c r="Z825" s="49"/>
      <c r="AA825" s="49"/>
      <c r="AB825" s="49"/>
      <c r="AC825" s="49"/>
      <c r="AD825" s="49"/>
    </row>
    <row r="826">
      <c r="A826" s="49"/>
      <c r="B826" s="49"/>
      <c r="C826" s="146"/>
      <c r="D826" s="146"/>
      <c r="E826" s="49"/>
      <c r="F826" s="49"/>
      <c r="G826" s="49"/>
      <c r="H826" s="42"/>
      <c r="I826" s="49"/>
      <c r="J826" s="42"/>
      <c r="K826" s="49"/>
      <c r="L826" s="49"/>
      <c r="M826" s="42"/>
      <c r="N826" s="42"/>
      <c r="O826" s="42"/>
      <c r="P826" s="42"/>
      <c r="Q826" s="49"/>
      <c r="R826" s="49"/>
      <c r="S826" s="49"/>
      <c r="T826" s="49"/>
      <c r="U826" s="49"/>
      <c r="V826" s="49"/>
      <c r="W826" s="49"/>
      <c r="X826" s="49"/>
      <c r="Y826" s="49"/>
      <c r="Z826" s="49"/>
      <c r="AA826" s="49"/>
      <c r="AB826" s="49"/>
      <c r="AC826" s="49"/>
      <c r="AD826" s="49"/>
    </row>
    <row r="827">
      <c r="A827" s="49"/>
      <c r="B827" s="49"/>
      <c r="C827" s="146"/>
      <c r="D827" s="146"/>
      <c r="E827" s="49"/>
      <c r="F827" s="49"/>
      <c r="G827" s="49"/>
      <c r="H827" s="42"/>
      <c r="I827" s="49"/>
      <c r="J827" s="42"/>
      <c r="K827" s="49"/>
      <c r="L827" s="49"/>
      <c r="M827" s="42"/>
      <c r="N827" s="42"/>
      <c r="O827" s="42"/>
      <c r="P827" s="42"/>
      <c r="Q827" s="49"/>
      <c r="R827" s="49"/>
      <c r="S827" s="49"/>
      <c r="T827" s="49"/>
      <c r="U827" s="49"/>
      <c r="V827" s="49"/>
      <c r="W827" s="49"/>
      <c r="X827" s="49"/>
      <c r="Y827" s="49"/>
      <c r="Z827" s="49"/>
      <c r="AA827" s="49"/>
      <c r="AB827" s="49"/>
      <c r="AC827" s="49"/>
      <c r="AD827" s="49"/>
    </row>
    <row r="828">
      <c r="A828" s="49"/>
      <c r="B828" s="49"/>
      <c r="C828" s="146"/>
      <c r="D828" s="146"/>
      <c r="E828" s="49"/>
      <c r="F828" s="49"/>
      <c r="G828" s="49"/>
      <c r="H828" s="42"/>
      <c r="I828" s="49"/>
      <c r="J828" s="42"/>
      <c r="K828" s="49"/>
      <c r="L828" s="49"/>
      <c r="M828" s="42"/>
      <c r="N828" s="42"/>
      <c r="O828" s="42"/>
      <c r="P828" s="42"/>
      <c r="Q828" s="49"/>
      <c r="R828" s="49"/>
      <c r="S828" s="49"/>
      <c r="T828" s="49"/>
      <c r="U828" s="49"/>
      <c r="V828" s="49"/>
      <c r="W828" s="49"/>
      <c r="X828" s="49"/>
      <c r="Y828" s="49"/>
      <c r="Z828" s="49"/>
      <c r="AA828" s="49"/>
      <c r="AB828" s="49"/>
      <c r="AC828" s="49"/>
      <c r="AD828" s="49"/>
    </row>
    <row r="829">
      <c r="A829" s="49"/>
      <c r="B829" s="49"/>
      <c r="C829" s="146"/>
      <c r="D829" s="146"/>
      <c r="E829" s="49"/>
      <c r="F829" s="49"/>
      <c r="G829" s="49"/>
      <c r="H829" s="42"/>
      <c r="I829" s="49"/>
      <c r="J829" s="42"/>
      <c r="K829" s="49"/>
      <c r="L829" s="49"/>
      <c r="M829" s="42"/>
      <c r="N829" s="42"/>
      <c r="O829" s="42"/>
      <c r="P829" s="42"/>
      <c r="Q829" s="49"/>
      <c r="R829" s="49"/>
      <c r="S829" s="49"/>
      <c r="T829" s="49"/>
      <c r="U829" s="49"/>
      <c r="V829" s="49"/>
      <c r="W829" s="49"/>
      <c r="X829" s="49"/>
      <c r="Y829" s="49"/>
      <c r="Z829" s="49"/>
      <c r="AA829" s="49"/>
      <c r="AB829" s="49"/>
      <c r="AC829" s="49"/>
      <c r="AD829" s="49"/>
    </row>
    <row r="830">
      <c r="A830" s="49"/>
      <c r="B830" s="49"/>
      <c r="C830" s="146"/>
      <c r="D830" s="146"/>
      <c r="E830" s="49"/>
      <c r="F830" s="49"/>
      <c r="G830" s="49"/>
      <c r="H830" s="42"/>
      <c r="I830" s="49"/>
      <c r="J830" s="42"/>
      <c r="K830" s="49"/>
      <c r="L830" s="49"/>
      <c r="M830" s="42"/>
      <c r="N830" s="42"/>
      <c r="O830" s="42"/>
      <c r="P830" s="42"/>
      <c r="Q830" s="49"/>
      <c r="R830" s="49"/>
      <c r="S830" s="49"/>
      <c r="T830" s="49"/>
      <c r="U830" s="49"/>
      <c r="V830" s="49"/>
      <c r="W830" s="49"/>
      <c r="X830" s="49"/>
      <c r="Y830" s="49"/>
      <c r="Z830" s="49"/>
      <c r="AA830" s="49"/>
      <c r="AB830" s="49"/>
      <c r="AC830" s="49"/>
      <c r="AD830" s="49"/>
    </row>
    <row r="831">
      <c r="A831" s="49"/>
      <c r="B831" s="49"/>
      <c r="C831" s="146"/>
      <c r="D831" s="146"/>
      <c r="E831" s="49"/>
      <c r="F831" s="49"/>
      <c r="G831" s="49"/>
      <c r="H831" s="42"/>
      <c r="I831" s="49"/>
      <c r="J831" s="42"/>
      <c r="K831" s="49"/>
      <c r="L831" s="49"/>
      <c r="M831" s="42"/>
      <c r="N831" s="42"/>
      <c r="O831" s="42"/>
      <c r="P831" s="42"/>
      <c r="Q831" s="49"/>
      <c r="R831" s="49"/>
      <c r="S831" s="49"/>
      <c r="T831" s="49"/>
      <c r="U831" s="49"/>
      <c r="V831" s="49"/>
      <c r="W831" s="49"/>
      <c r="X831" s="49"/>
      <c r="Y831" s="49"/>
      <c r="Z831" s="49"/>
      <c r="AA831" s="49"/>
      <c r="AB831" s="49"/>
      <c r="AC831" s="49"/>
      <c r="AD831" s="49"/>
    </row>
    <row r="832">
      <c r="A832" s="49"/>
      <c r="B832" s="49"/>
      <c r="C832" s="146"/>
      <c r="D832" s="146"/>
      <c r="E832" s="49"/>
      <c r="F832" s="49"/>
      <c r="G832" s="49"/>
      <c r="H832" s="42"/>
      <c r="I832" s="49"/>
      <c r="J832" s="42"/>
      <c r="K832" s="49"/>
      <c r="L832" s="49"/>
      <c r="M832" s="42"/>
      <c r="N832" s="42"/>
      <c r="O832" s="42"/>
      <c r="P832" s="42"/>
      <c r="Q832" s="49"/>
      <c r="R832" s="49"/>
      <c r="S832" s="49"/>
      <c r="T832" s="49"/>
      <c r="U832" s="49"/>
      <c r="V832" s="49"/>
      <c r="W832" s="49"/>
      <c r="X832" s="49"/>
      <c r="Y832" s="49"/>
      <c r="Z832" s="49"/>
      <c r="AA832" s="49"/>
      <c r="AB832" s="49"/>
      <c r="AC832" s="49"/>
      <c r="AD832" s="49"/>
    </row>
    <row r="833">
      <c r="A833" s="49"/>
      <c r="B833" s="49"/>
      <c r="C833" s="146"/>
      <c r="D833" s="146"/>
      <c r="E833" s="49"/>
      <c r="F833" s="49"/>
      <c r="G833" s="49"/>
      <c r="H833" s="42"/>
      <c r="I833" s="49"/>
      <c r="J833" s="42"/>
      <c r="K833" s="49"/>
      <c r="L833" s="49"/>
      <c r="M833" s="42"/>
      <c r="N833" s="42"/>
      <c r="O833" s="42"/>
      <c r="P833" s="42"/>
      <c r="Q833" s="49"/>
      <c r="R833" s="49"/>
      <c r="S833" s="49"/>
      <c r="T833" s="49"/>
      <c r="U833" s="49"/>
      <c r="V833" s="49"/>
      <c r="W833" s="49"/>
      <c r="X833" s="49"/>
      <c r="Y833" s="49"/>
      <c r="Z833" s="49"/>
      <c r="AA833" s="49"/>
      <c r="AB833" s="49"/>
      <c r="AC833" s="49"/>
      <c r="AD833" s="49"/>
    </row>
    <row r="834">
      <c r="A834" s="49"/>
      <c r="B834" s="49"/>
      <c r="C834" s="146"/>
      <c r="D834" s="146"/>
      <c r="E834" s="49"/>
      <c r="F834" s="49"/>
      <c r="G834" s="49"/>
      <c r="H834" s="42"/>
      <c r="I834" s="49"/>
      <c r="J834" s="42"/>
      <c r="K834" s="49"/>
      <c r="L834" s="49"/>
      <c r="M834" s="42"/>
      <c r="N834" s="42"/>
      <c r="O834" s="42"/>
      <c r="P834" s="42"/>
      <c r="Q834" s="49"/>
      <c r="R834" s="49"/>
      <c r="S834" s="49"/>
      <c r="T834" s="49"/>
      <c r="U834" s="49"/>
      <c r="V834" s="49"/>
      <c r="W834" s="49"/>
      <c r="X834" s="49"/>
      <c r="Y834" s="49"/>
      <c r="Z834" s="49"/>
      <c r="AA834" s="49"/>
      <c r="AB834" s="49"/>
      <c r="AC834" s="49"/>
      <c r="AD834" s="49"/>
    </row>
    <row r="835">
      <c r="A835" s="49"/>
      <c r="B835" s="49"/>
      <c r="C835" s="146"/>
      <c r="D835" s="146"/>
      <c r="E835" s="49"/>
      <c r="F835" s="49"/>
      <c r="G835" s="49"/>
      <c r="H835" s="42"/>
      <c r="I835" s="49"/>
      <c r="J835" s="42"/>
      <c r="K835" s="49"/>
      <c r="L835" s="49"/>
      <c r="M835" s="42"/>
      <c r="N835" s="42"/>
      <c r="O835" s="42"/>
      <c r="P835" s="42"/>
      <c r="Q835" s="49"/>
      <c r="R835" s="49"/>
      <c r="S835" s="49"/>
      <c r="T835" s="49"/>
      <c r="U835" s="49"/>
      <c r="V835" s="49"/>
      <c r="W835" s="49"/>
      <c r="X835" s="49"/>
      <c r="Y835" s="49"/>
      <c r="Z835" s="49"/>
      <c r="AA835" s="49"/>
      <c r="AB835" s="49"/>
      <c r="AC835" s="49"/>
      <c r="AD835" s="49"/>
    </row>
    <row r="836">
      <c r="A836" s="49"/>
      <c r="B836" s="49"/>
      <c r="C836" s="146"/>
      <c r="D836" s="146"/>
      <c r="E836" s="49"/>
      <c r="F836" s="49"/>
      <c r="G836" s="49"/>
      <c r="H836" s="42"/>
      <c r="I836" s="49"/>
      <c r="J836" s="42"/>
      <c r="K836" s="49"/>
      <c r="L836" s="49"/>
      <c r="M836" s="42"/>
      <c r="N836" s="42"/>
      <c r="O836" s="42"/>
      <c r="P836" s="42"/>
      <c r="Q836" s="49"/>
      <c r="R836" s="49"/>
      <c r="S836" s="49"/>
      <c r="T836" s="49"/>
      <c r="U836" s="49"/>
      <c r="V836" s="49"/>
      <c r="W836" s="49"/>
      <c r="X836" s="49"/>
      <c r="Y836" s="49"/>
      <c r="Z836" s="49"/>
      <c r="AA836" s="49"/>
      <c r="AB836" s="49"/>
      <c r="AC836" s="49"/>
      <c r="AD836" s="49"/>
    </row>
    <row r="837">
      <c r="A837" s="49"/>
      <c r="B837" s="49"/>
      <c r="C837" s="146"/>
      <c r="D837" s="146"/>
      <c r="E837" s="49"/>
      <c r="F837" s="49"/>
      <c r="G837" s="49"/>
      <c r="H837" s="42"/>
      <c r="I837" s="49"/>
      <c r="J837" s="42"/>
      <c r="K837" s="49"/>
      <c r="L837" s="49"/>
      <c r="M837" s="42"/>
      <c r="N837" s="42"/>
      <c r="O837" s="42"/>
      <c r="P837" s="42"/>
      <c r="Q837" s="49"/>
      <c r="R837" s="49"/>
      <c r="S837" s="49"/>
      <c r="T837" s="49"/>
      <c r="U837" s="49"/>
      <c r="V837" s="49"/>
      <c r="W837" s="49"/>
      <c r="X837" s="49"/>
      <c r="Y837" s="49"/>
      <c r="Z837" s="49"/>
      <c r="AA837" s="49"/>
      <c r="AB837" s="49"/>
      <c r="AC837" s="49"/>
      <c r="AD837" s="49"/>
    </row>
    <row r="838">
      <c r="A838" s="49"/>
      <c r="B838" s="49"/>
      <c r="C838" s="146"/>
      <c r="D838" s="146"/>
      <c r="E838" s="49"/>
      <c r="F838" s="49"/>
      <c r="G838" s="49"/>
      <c r="H838" s="42"/>
      <c r="I838" s="49"/>
      <c r="J838" s="42"/>
      <c r="K838" s="49"/>
      <c r="L838" s="49"/>
      <c r="M838" s="42"/>
      <c r="N838" s="42"/>
      <c r="O838" s="42"/>
      <c r="P838" s="42"/>
      <c r="Q838" s="49"/>
      <c r="R838" s="49"/>
      <c r="S838" s="49"/>
      <c r="T838" s="49"/>
      <c r="U838" s="49"/>
      <c r="V838" s="49"/>
      <c r="W838" s="49"/>
      <c r="X838" s="49"/>
      <c r="Y838" s="49"/>
      <c r="Z838" s="49"/>
      <c r="AA838" s="49"/>
      <c r="AB838" s="49"/>
      <c r="AC838" s="49"/>
      <c r="AD838" s="49"/>
    </row>
    <row r="839">
      <c r="A839" s="49"/>
      <c r="B839" s="49"/>
      <c r="C839" s="146"/>
      <c r="D839" s="146"/>
      <c r="E839" s="49"/>
      <c r="F839" s="49"/>
      <c r="G839" s="49"/>
      <c r="H839" s="42"/>
      <c r="I839" s="49"/>
      <c r="J839" s="42"/>
      <c r="K839" s="49"/>
      <c r="L839" s="49"/>
      <c r="M839" s="42"/>
      <c r="N839" s="42"/>
      <c r="O839" s="42"/>
      <c r="P839" s="42"/>
      <c r="Q839" s="49"/>
      <c r="R839" s="49"/>
      <c r="S839" s="49"/>
      <c r="T839" s="49"/>
      <c r="U839" s="49"/>
      <c r="V839" s="49"/>
      <c r="W839" s="49"/>
      <c r="X839" s="49"/>
      <c r="Y839" s="49"/>
      <c r="Z839" s="49"/>
      <c r="AA839" s="49"/>
      <c r="AB839" s="49"/>
      <c r="AC839" s="49"/>
      <c r="AD839" s="49"/>
    </row>
    <row r="840">
      <c r="A840" s="49"/>
      <c r="B840" s="49"/>
      <c r="C840" s="146"/>
      <c r="D840" s="146"/>
      <c r="E840" s="49"/>
      <c r="F840" s="49"/>
      <c r="G840" s="49"/>
      <c r="H840" s="42"/>
      <c r="I840" s="49"/>
      <c r="J840" s="42"/>
      <c r="K840" s="49"/>
      <c r="L840" s="49"/>
      <c r="M840" s="42"/>
      <c r="N840" s="42"/>
      <c r="O840" s="42"/>
      <c r="P840" s="42"/>
      <c r="Q840" s="49"/>
      <c r="R840" s="49"/>
      <c r="S840" s="49"/>
      <c r="T840" s="49"/>
      <c r="U840" s="49"/>
      <c r="V840" s="49"/>
      <c r="W840" s="49"/>
      <c r="X840" s="49"/>
      <c r="Y840" s="49"/>
      <c r="Z840" s="49"/>
      <c r="AA840" s="49"/>
      <c r="AB840" s="49"/>
      <c r="AC840" s="49"/>
      <c r="AD840" s="49"/>
    </row>
    <row r="841">
      <c r="A841" s="49"/>
      <c r="B841" s="49"/>
      <c r="C841" s="146"/>
      <c r="D841" s="146"/>
      <c r="E841" s="49"/>
      <c r="F841" s="49"/>
      <c r="G841" s="49"/>
      <c r="H841" s="42"/>
      <c r="I841" s="49"/>
      <c r="J841" s="42"/>
      <c r="K841" s="49"/>
      <c r="L841" s="49"/>
      <c r="M841" s="42"/>
      <c r="N841" s="42"/>
      <c r="O841" s="42"/>
      <c r="P841" s="42"/>
      <c r="Q841" s="49"/>
      <c r="R841" s="49"/>
      <c r="S841" s="49"/>
      <c r="T841" s="49"/>
      <c r="U841" s="49"/>
      <c r="V841" s="49"/>
      <c r="W841" s="49"/>
      <c r="X841" s="49"/>
      <c r="Y841" s="49"/>
      <c r="Z841" s="49"/>
      <c r="AA841" s="49"/>
      <c r="AB841" s="49"/>
      <c r="AC841" s="49"/>
      <c r="AD841" s="49"/>
    </row>
    <row r="842">
      <c r="A842" s="49"/>
      <c r="B842" s="49"/>
      <c r="C842" s="146"/>
      <c r="D842" s="146"/>
      <c r="E842" s="49"/>
      <c r="F842" s="49"/>
      <c r="G842" s="49"/>
      <c r="H842" s="42"/>
      <c r="I842" s="49"/>
      <c r="J842" s="42"/>
      <c r="K842" s="49"/>
      <c r="L842" s="49"/>
      <c r="M842" s="42"/>
      <c r="N842" s="42"/>
      <c r="O842" s="42"/>
      <c r="P842" s="42"/>
      <c r="Q842" s="49"/>
      <c r="R842" s="49"/>
      <c r="S842" s="49"/>
      <c r="T842" s="49"/>
      <c r="U842" s="49"/>
      <c r="V842" s="49"/>
      <c r="W842" s="49"/>
      <c r="X842" s="49"/>
      <c r="Y842" s="49"/>
      <c r="Z842" s="49"/>
      <c r="AA842" s="49"/>
      <c r="AB842" s="49"/>
      <c r="AC842" s="49"/>
      <c r="AD842" s="49"/>
    </row>
    <row r="843">
      <c r="A843" s="49"/>
      <c r="B843" s="49"/>
      <c r="C843" s="146"/>
      <c r="D843" s="146"/>
      <c r="E843" s="49"/>
      <c r="F843" s="49"/>
      <c r="G843" s="49"/>
      <c r="H843" s="42"/>
      <c r="I843" s="49"/>
      <c r="J843" s="42"/>
      <c r="K843" s="49"/>
      <c r="L843" s="49"/>
      <c r="M843" s="42"/>
      <c r="N843" s="42"/>
      <c r="O843" s="42"/>
      <c r="P843" s="42"/>
      <c r="Q843" s="49"/>
      <c r="R843" s="49"/>
      <c r="S843" s="49"/>
      <c r="T843" s="49"/>
      <c r="U843" s="49"/>
      <c r="V843" s="49"/>
      <c r="W843" s="49"/>
      <c r="X843" s="49"/>
      <c r="Y843" s="49"/>
      <c r="Z843" s="49"/>
      <c r="AA843" s="49"/>
      <c r="AB843" s="49"/>
      <c r="AC843" s="49"/>
      <c r="AD843" s="49"/>
    </row>
    <row r="844">
      <c r="A844" s="49"/>
      <c r="B844" s="49"/>
      <c r="C844" s="146"/>
      <c r="D844" s="146"/>
      <c r="E844" s="49"/>
      <c r="F844" s="49"/>
      <c r="G844" s="49"/>
      <c r="H844" s="42"/>
      <c r="I844" s="49"/>
      <c r="J844" s="42"/>
      <c r="K844" s="49"/>
      <c r="L844" s="49"/>
      <c r="M844" s="42"/>
      <c r="N844" s="42"/>
      <c r="O844" s="42"/>
      <c r="P844" s="42"/>
      <c r="Q844" s="49"/>
      <c r="R844" s="49"/>
      <c r="S844" s="49"/>
      <c r="T844" s="49"/>
      <c r="U844" s="49"/>
      <c r="V844" s="49"/>
      <c r="W844" s="49"/>
      <c r="X844" s="49"/>
      <c r="Y844" s="49"/>
      <c r="Z844" s="49"/>
      <c r="AA844" s="49"/>
      <c r="AB844" s="49"/>
      <c r="AC844" s="49"/>
      <c r="AD844" s="49"/>
    </row>
    <row r="845">
      <c r="A845" s="49"/>
      <c r="B845" s="49"/>
      <c r="C845" s="146"/>
      <c r="D845" s="146"/>
      <c r="E845" s="49"/>
      <c r="F845" s="49"/>
      <c r="G845" s="49"/>
      <c r="H845" s="42"/>
      <c r="I845" s="49"/>
      <c r="J845" s="42"/>
      <c r="K845" s="49"/>
      <c r="L845" s="49"/>
      <c r="M845" s="42"/>
      <c r="N845" s="42"/>
      <c r="O845" s="42"/>
      <c r="P845" s="42"/>
      <c r="Q845" s="49"/>
      <c r="R845" s="49"/>
      <c r="S845" s="49"/>
      <c r="T845" s="49"/>
      <c r="U845" s="49"/>
      <c r="V845" s="49"/>
      <c r="W845" s="49"/>
      <c r="X845" s="49"/>
      <c r="Y845" s="49"/>
      <c r="Z845" s="49"/>
      <c r="AA845" s="49"/>
      <c r="AB845" s="49"/>
      <c r="AC845" s="49"/>
      <c r="AD845" s="49"/>
    </row>
    <row r="846">
      <c r="A846" s="49"/>
      <c r="B846" s="49"/>
      <c r="C846" s="146"/>
      <c r="D846" s="146"/>
      <c r="E846" s="49"/>
      <c r="F846" s="49"/>
      <c r="G846" s="49"/>
      <c r="H846" s="42"/>
      <c r="I846" s="49"/>
      <c r="J846" s="42"/>
      <c r="K846" s="49"/>
      <c r="L846" s="49"/>
      <c r="M846" s="42"/>
      <c r="N846" s="42"/>
      <c r="O846" s="42"/>
      <c r="P846" s="42"/>
      <c r="Q846" s="49"/>
      <c r="R846" s="49"/>
      <c r="S846" s="49"/>
      <c r="T846" s="49"/>
      <c r="U846" s="49"/>
      <c r="V846" s="49"/>
      <c r="W846" s="49"/>
      <c r="X846" s="49"/>
      <c r="Y846" s="49"/>
      <c r="Z846" s="49"/>
      <c r="AA846" s="49"/>
      <c r="AB846" s="49"/>
      <c r="AC846" s="49"/>
      <c r="AD846" s="49"/>
    </row>
    <row r="847">
      <c r="A847" s="49"/>
      <c r="B847" s="49"/>
      <c r="C847" s="146"/>
      <c r="D847" s="146"/>
      <c r="E847" s="49"/>
      <c r="F847" s="49"/>
      <c r="G847" s="49"/>
      <c r="H847" s="42"/>
      <c r="I847" s="49"/>
      <c r="J847" s="42"/>
      <c r="K847" s="49"/>
      <c r="L847" s="49"/>
      <c r="M847" s="42"/>
      <c r="N847" s="42"/>
      <c r="O847" s="42"/>
      <c r="P847" s="42"/>
      <c r="Q847" s="49"/>
      <c r="R847" s="49"/>
      <c r="S847" s="49"/>
      <c r="T847" s="49"/>
      <c r="U847" s="49"/>
      <c r="V847" s="49"/>
      <c r="W847" s="49"/>
      <c r="X847" s="49"/>
      <c r="Y847" s="49"/>
      <c r="Z847" s="49"/>
      <c r="AA847" s="49"/>
      <c r="AB847" s="49"/>
      <c r="AC847" s="49"/>
      <c r="AD847" s="49"/>
    </row>
    <row r="848">
      <c r="A848" s="49"/>
      <c r="B848" s="49"/>
      <c r="C848" s="146"/>
      <c r="D848" s="146"/>
      <c r="E848" s="49"/>
      <c r="F848" s="49"/>
      <c r="G848" s="49"/>
      <c r="H848" s="42"/>
      <c r="I848" s="49"/>
      <c r="J848" s="42"/>
      <c r="K848" s="49"/>
      <c r="L848" s="49"/>
      <c r="M848" s="42"/>
      <c r="N848" s="42"/>
      <c r="O848" s="42"/>
      <c r="P848" s="42"/>
      <c r="Q848" s="49"/>
      <c r="R848" s="49"/>
      <c r="S848" s="49"/>
      <c r="T848" s="49"/>
      <c r="U848" s="49"/>
      <c r="V848" s="49"/>
      <c r="W848" s="49"/>
      <c r="X848" s="49"/>
      <c r="Y848" s="49"/>
      <c r="Z848" s="49"/>
      <c r="AA848" s="49"/>
      <c r="AB848" s="49"/>
      <c r="AC848" s="49"/>
      <c r="AD848" s="49"/>
    </row>
    <row r="849">
      <c r="A849" s="49"/>
      <c r="B849" s="49"/>
      <c r="C849" s="146"/>
      <c r="D849" s="146"/>
      <c r="E849" s="49"/>
      <c r="F849" s="49"/>
      <c r="G849" s="49"/>
      <c r="H849" s="42"/>
      <c r="I849" s="49"/>
      <c r="J849" s="42"/>
      <c r="K849" s="49"/>
      <c r="L849" s="49"/>
      <c r="M849" s="42"/>
      <c r="N849" s="42"/>
      <c r="O849" s="42"/>
      <c r="P849" s="42"/>
      <c r="Q849" s="49"/>
      <c r="R849" s="49"/>
      <c r="S849" s="49"/>
      <c r="T849" s="49"/>
      <c r="U849" s="49"/>
      <c r="V849" s="49"/>
      <c r="W849" s="49"/>
      <c r="X849" s="49"/>
      <c r="Y849" s="49"/>
      <c r="Z849" s="49"/>
      <c r="AA849" s="49"/>
      <c r="AB849" s="49"/>
      <c r="AC849" s="49"/>
      <c r="AD849" s="49"/>
    </row>
    <row r="850">
      <c r="A850" s="49"/>
      <c r="B850" s="49"/>
      <c r="C850" s="146"/>
      <c r="D850" s="146"/>
      <c r="E850" s="49"/>
      <c r="F850" s="49"/>
      <c r="G850" s="49"/>
      <c r="H850" s="42"/>
      <c r="I850" s="49"/>
      <c r="J850" s="42"/>
      <c r="K850" s="49"/>
      <c r="L850" s="49"/>
      <c r="M850" s="42"/>
      <c r="N850" s="42"/>
      <c r="O850" s="42"/>
      <c r="P850" s="42"/>
      <c r="Q850" s="49"/>
      <c r="R850" s="49"/>
      <c r="S850" s="49"/>
      <c r="T850" s="49"/>
      <c r="U850" s="49"/>
      <c r="V850" s="49"/>
      <c r="W850" s="49"/>
      <c r="X850" s="49"/>
      <c r="Y850" s="49"/>
      <c r="Z850" s="49"/>
      <c r="AA850" s="49"/>
      <c r="AB850" s="49"/>
      <c r="AC850" s="49"/>
      <c r="AD850" s="49"/>
    </row>
    <row r="851">
      <c r="A851" s="49"/>
      <c r="B851" s="49"/>
      <c r="C851" s="146"/>
      <c r="D851" s="146"/>
      <c r="E851" s="49"/>
      <c r="F851" s="49"/>
      <c r="G851" s="49"/>
      <c r="H851" s="42"/>
      <c r="I851" s="49"/>
      <c r="J851" s="42"/>
      <c r="K851" s="49"/>
      <c r="L851" s="49"/>
      <c r="M851" s="42"/>
      <c r="N851" s="42"/>
      <c r="O851" s="42"/>
      <c r="P851" s="42"/>
      <c r="Q851" s="49"/>
      <c r="R851" s="49"/>
      <c r="S851" s="49"/>
      <c r="T851" s="49"/>
      <c r="U851" s="49"/>
      <c r="V851" s="49"/>
      <c r="W851" s="49"/>
      <c r="X851" s="49"/>
      <c r="Y851" s="49"/>
      <c r="Z851" s="49"/>
      <c r="AA851" s="49"/>
      <c r="AB851" s="49"/>
      <c r="AC851" s="49"/>
      <c r="AD851" s="49"/>
    </row>
    <row r="852">
      <c r="A852" s="49"/>
      <c r="B852" s="49"/>
      <c r="C852" s="146"/>
      <c r="D852" s="146"/>
      <c r="E852" s="49"/>
      <c r="F852" s="49"/>
      <c r="G852" s="49"/>
      <c r="H852" s="42"/>
      <c r="I852" s="49"/>
      <c r="J852" s="42"/>
      <c r="K852" s="49"/>
      <c r="L852" s="49"/>
      <c r="M852" s="42"/>
      <c r="N852" s="42"/>
      <c r="O852" s="42"/>
      <c r="P852" s="42"/>
      <c r="Q852" s="49"/>
      <c r="R852" s="49"/>
      <c r="S852" s="49"/>
      <c r="T852" s="49"/>
      <c r="U852" s="49"/>
      <c r="V852" s="49"/>
      <c r="W852" s="49"/>
      <c r="X852" s="49"/>
      <c r="Y852" s="49"/>
      <c r="Z852" s="49"/>
      <c r="AA852" s="49"/>
      <c r="AB852" s="49"/>
      <c r="AC852" s="49"/>
      <c r="AD852" s="49"/>
    </row>
    <row r="853">
      <c r="A853" s="49"/>
      <c r="B853" s="49"/>
      <c r="C853" s="146"/>
      <c r="D853" s="146"/>
      <c r="E853" s="49"/>
      <c r="F853" s="49"/>
      <c r="G853" s="49"/>
      <c r="H853" s="42"/>
      <c r="I853" s="49"/>
      <c r="J853" s="42"/>
      <c r="K853" s="49"/>
      <c r="L853" s="49"/>
      <c r="M853" s="42"/>
      <c r="N853" s="42"/>
      <c r="O853" s="42"/>
      <c r="P853" s="42"/>
      <c r="Q853" s="49"/>
      <c r="R853" s="49"/>
      <c r="S853" s="49"/>
      <c r="T853" s="49"/>
      <c r="U853" s="49"/>
      <c r="V853" s="49"/>
      <c r="W853" s="49"/>
      <c r="X853" s="49"/>
      <c r="Y853" s="49"/>
      <c r="Z853" s="49"/>
      <c r="AA853" s="49"/>
      <c r="AB853" s="49"/>
      <c r="AC853" s="49"/>
      <c r="AD853" s="49"/>
    </row>
    <row r="854">
      <c r="A854" s="49"/>
      <c r="B854" s="49"/>
      <c r="C854" s="146"/>
      <c r="D854" s="146"/>
      <c r="E854" s="49"/>
      <c r="F854" s="49"/>
      <c r="G854" s="49"/>
      <c r="H854" s="42"/>
      <c r="I854" s="49"/>
      <c r="J854" s="42"/>
      <c r="K854" s="49"/>
      <c r="L854" s="49"/>
      <c r="M854" s="42"/>
      <c r="N854" s="42"/>
      <c r="O854" s="42"/>
      <c r="P854" s="42"/>
      <c r="Q854" s="49"/>
      <c r="R854" s="49"/>
      <c r="S854" s="49"/>
      <c r="T854" s="49"/>
      <c r="U854" s="49"/>
      <c r="V854" s="49"/>
      <c r="W854" s="49"/>
      <c r="X854" s="49"/>
      <c r="Y854" s="49"/>
      <c r="Z854" s="49"/>
      <c r="AA854" s="49"/>
      <c r="AB854" s="49"/>
      <c r="AC854" s="49"/>
      <c r="AD854" s="49"/>
    </row>
    <row r="855">
      <c r="A855" s="49"/>
      <c r="B855" s="49"/>
      <c r="C855" s="146"/>
      <c r="D855" s="146"/>
      <c r="E855" s="49"/>
      <c r="F855" s="49"/>
      <c r="G855" s="49"/>
      <c r="H855" s="42"/>
      <c r="I855" s="49"/>
      <c r="J855" s="42"/>
      <c r="K855" s="49"/>
      <c r="L855" s="49"/>
      <c r="M855" s="42"/>
      <c r="N855" s="42"/>
      <c r="O855" s="42"/>
      <c r="P855" s="42"/>
      <c r="Q855" s="49"/>
      <c r="R855" s="49"/>
      <c r="S855" s="49"/>
      <c r="T855" s="49"/>
      <c r="U855" s="49"/>
      <c r="V855" s="49"/>
      <c r="W855" s="49"/>
      <c r="X855" s="49"/>
      <c r="Y855" s="49"/>
      <c r="Z855" s="49"/>
      <c r="AA855" s="49"/>
      <c r="AB855" s="49"/>
      <c r="AC855" s="49"/>
      <c r="AD855" s="49"/>
    </row>
    <row r="856">
      <c r="A856" s="49"/>
      <c r="B856" s="49"/>
      <c r="C856" s="146"/>
      <c r="D856" s="146"/>
      <c r="E856" s="49"/>
      <c r="F856" s="49"/>
      <c r="G856" s="49"/>
      <c r="H856" s="42"/>
      <c r="I856" s="49"/>
      <c r="J856" s="42"/>
      <c r="K856" s="49"/>
      <c r="L856" s="49"/>
      <c r="M856" s="42"/>
      <c r="N856" s="42"/>
      <c r="O856" s="42"/>
      <c r="P856" s="42"/>
      <c r="Q856" s="49"/>
      <c r="R856" s="49"/>
      <c r="S856" s="49"/>
      <c r="T856" s="49"/>
      <c r="U856" s="49"/>
      <c r="V856" s="49"/>
      <c r="W856" s="49"/>
      <c r="X856" s="49"/>
      <c r="Y856" s="49"/>
      <c r="Z856" s="49"/>
      <c r="AA856" s="49"/>
      <c r="AB856" s="49"/>
      <c r="AC856" s="49"/>
      <c r="AD856" s="49"/>
    </row>
    <row r="857">
      <c r="A857" s="49"/>
      <c r="B857" s="49"/>
      <c r="C857" s="146"/>
      <c r="D857" s="146"/>
      <c r="E857" s="49"/>
      <c r="F857" s="49"/>
      <c r="G857" s="49"/>
      <c r="H857" s="42"/>
      <c r="I857" s="49"/>
      <c r="J857" s="42"/>
      <c r="K857" s="49"/>
      <c r="L857" s="49"/>
      <c r="M857" s="42"/>
      <c r="N857" s="42"/>
      <c r="O857" s="42"/>
      <c r="P857" s="42"/>
      <c r="Q857" s="49"/>
      <c r="R857" s="49"/>
      <c r="S857" s="49"/>
      <c r="T857" s="49"/>
      <c r="U857" s="49"/>
      <c r="V857" s="49"/>
      <c r="W857" s="49"/>
      <c r="X857" s="49"/>
      <c r="Y857" s="49"/>
      <c r="Z857" s="49"/>
      <c r="AA857" s="49"/>
      <c r="AB857" s="49"/>
      <c r="AC857" s="49"/>
      <c r="AD857" s="49"/>
    </row>
    <row r="858">
      <c r="A858" s="49"/>
      <c r="B858" s="49"/>
      <c r="C858" s="146"/>
      <c r="D858" s="146"/>
      <c r="E858" s="49"/>
      <c r="F858" s="49"/>
      <c r="G858" s="49"/>
      <c r="H858" s="42"/>
      <c r="I858" s="49"/>
      <c r="J858" s="42"/>
      <c r="K858" s="49"/>
      <c r="L858" s="49"/>
      <c r="M858" s="42"/>
      <c r="N858" s="42"/>
      <c r="O858" s="42"/>
      <c r="P858" s="42"/>
      <c r="Q858" s="49"/>
      <c r="R858" s="49"/>
      <c r="S858" s="49"/>
      <c r="T858" s="49"/>
      <c r="U858" s="49"/>
      <c r="V858" s="49"/>
      <c r="W858" s="49"/>
      <c r="X858" s="49"/>
      <c r="Y858" s="49"/>
      <c r="Z858" s="49"/>
      <c r="AA858" s="49"/>
      <c r="AB858" s="49"/>
      <c r="AC858" s="49"/>
      <c r="AD858" s="49"/>
    </row>
    <row r="859">
      <c r="A859" s="49"/>
      <c r="B859" s="49"/>
      <c r="C859" s="146"/>
      <c r="D859" s="146"/>
      <c r="E859" s="49"/>
      <c r="F859" s="49"/>
      <c r="G859" s="49"/>
      <c r="H859" s="42"/>
      <c r="I859" s="49"/>
      <c r="J859" s="42"/>
      <c r="K859" s="49"/>
      <c r="L859" s="49"/>
      <c r="M859" s="42"/>
      <c r="N859" s="42"/>
      <c r="O859" s="42"/>
      <c r="P859" s="42"/>
      <c r="Q859" s="49"/>
      <c r="R859" s="49"/>
      <c r="S859" s="49"/>
      <c r="T859" s="49"/>
      <c r="U859" s="49"/>
      <c r="V859" s="49"/>
      <c r="W859" s="49"/>
      <c r="X859" s="49"/>
      <c r="Y859" s="49"/>
      <c r="Z859" s="49"/>
      <c r="AA859" s="49"/>
      <c r="AB859" s="49"/>
      <c r="AC859" s="49"/>
      <c r="AD859" s="49"/>
    </row>
    <row r="860">
      <c r="A860" s="49"/>
      <c r="B860" s="49"/>
      <c r="C860" s="146"/>
      <c r="D860" s="146"/>
      <c r="E860" s="49"/>
      <c r="F860" s="49"/>
      <c r="G860" s="49"/>
      <c r="H860" s="42"/>
      <c r="I860" s="49"/>
      <c r="J860" s="42"/>
      <c r="K860" s="49"/>
      <c r="L860" s="49"/>
      <c r="M860" s="42"/>
      <c r="N860" s="42"/>
      <c r="O860" s="42"/>
      <c r="P860" s="42"/>
      <c r="Q860" s="49"/>
      <c r="R860" s="49"/>
      <c r="S860" s="49"/>
      <c r="T860" s="49"/>
      <c r="U860" s="49"/>
      <c r="V860" s="49"/>
      <c r="W860" s="49"/>
      <c r="X860" s="49"/>
      <c r="Y860" s="49"/>
      <c r="Z860" s="49"/>
      <c r="AA860" s="49"/>
      <c r="AB860" s="49"/>
      <c r="AC860" s="49"/>
      <c r="AD860" s="49"/>
    </row>
    <row r="861">
      <c r="A861" s="49"/>
      <c r="B861" s="49"/>
      <c r="C861" s="146"/>
      <c r="D861" s="146"/>
      <c r="E861" s="49"/>
      <c r="F861" s="49"/>
      <c r="G861" s="49"/>
      <c r="H861" s="42"/>
      <c r="I861" s="49"/>
      <c r="J861" s="42"/>
      <c r="K861" s="49"/>
      <c r="L861" s="49"/>
      <c r="M861" s="42"/>
      <c r="N861" s="42"/>
      <c r="O861" s="42"/>
      <c r="P861" s="42"/>
      <c r="Q861" s="49"/>
      <c r="R861" s="49"/>
      <c r="S861" s="49"/>
      <c r="T861" s="49"/>
      <c r="U861" s="49"/>
      <c r="V861" s="49"/>
      <c r="W861" s="49"/>
      <c r="X861" s="49"/>
      <c r="Y861" s="49"/>
      <c r="Z861" s="49"/>
      <c r="AA861" s="49"/>
      <c r="AB861" s="49"/>
      <c r="AC861" s="49"/>
      <c r="AD861" s="49"/>
    </row>
    <row r="862">
      <c r="A862" s="49"/>
      <c r="B862" s="49"/>
      <c r="C862" s="146"/>
      <c r="D862" s="146"/>
      <c r="E862" s="49"/>
      <c r="F862" s="49"/>
      <c r="G862" s="49"/>
      <c r="H862" s="42"/>
      <c r="I862" s="49"/>
      <c r="J862" s="42"/>
      <c r="K862" s="49"/>
      <c r="L862" s="49"/>
      <c r="M862" s="42"/>
      <c r="N862" s="42"/>
      <c r="O862" s="42"/>
      <c r="P862" s="42"/>
      <c r="Q862" s="49"/>
      <c r="R862" s="49"/>
      <c r="S862" s="49"/>
      <c r="T862" s="49"/>
      <c r="U862" s="49"/>
      <c r="V862" s="49"/>
      <c r="W862" s="49"/>
      <c r="X862" s="49"/>
      <c r="Y862" s="49"/>
      <c r="Z862" s="49"/>
      <c r="AA862" s="49"/>
      <c r="AB862" s="49"/>
      <c r="AC862" s="49"/>
      <c r="AD862" s="49"/>
    </row>
    <row r="863">
      <c r="A863" s="49"/>
      <c r="B863" s="49"/>
      <c r="C863" s="146"/>
      <c r="D863" s="146"/>
      <c r="E863" s="49"/>
      <c r="F863" s="49"/>
      <c r="G863" s="49"/>
      <c r="H863" s="42"/>
      <c r="I863" s="49"/>
      <c r="J863" s="42"/>
      <c r="K863" s="49"/>
      <c r="L863" s="49"/>
      <c r="M863" s="42"/>
      <c r="N863" s="42"/>
      <c r="O863" s="42"/>
      <c r="P863" s="42"/>
      <c r="Q863" s="49"/>
      <c r="R863" s="49"/>
      <c r="S863" s="49"/>
      <c r="T863" s="49"/>
      <c r="U863" s="49"/>
      <c r="V863" s="49"/>
      <c r="W863" s="49"/>
      <c r="X863" s="49"/>
      <c r="Y863" s="49"/>
      <c r="Z863" s="49"/>
      <c r="AA863" s="49"/>
      <c r="AB863" s="49"/>
      <c r="AC863" s="49"/>
      <c r="AD863" s="49"/>
    </row>
    <row r="864">
      <c r="A864" s="49"/>
      <c r="B864" s="49"/>
      <c r="C864" s="146"/>
      <c r="D864" s="146"/>
      <c r="E864" s="49"/>
      <c r="F864" s="49"/>
      <c r="G864" s="49"/>
      <c r="H864" s="42"/>
      <c r="I864" s="49"/>
      <c r="J864" s="42"/>
      <c r="K864" s="49"/>
      <c r="L864" s="49"/>
      <c r="M864" s="42"/>
      <c r="N864" s="42"/>
      <c r="O864" s="42"/>
      <c r="P864" s="42"/>
      <c r="Q864" s="49"/>
      <c r="R864" s="49"/>
      <c r="S864" s="49"/>
      <c r="T864" s="49"/>
      <c r="U864" s="49"/>
      <c r="V864" s="49"/>
      <c r="W864" s="49"/>
      <c r="X864" s="49"/>
      <c r="Y864" s="49"/>
      <c r="Z864" s="49"/>
      <c r="AA864" s="49"/>
      <c r="AB864" s="49"/>
      <c r="AC864" s="49"/>
      <c r="AD864" s="49"/>
    </row>
    <row r="865">
      <c r="A865" s="49"/>
      <c r="B865" s="49"/>
      <c r="C865" s="146"/>
      <c r="D865" s="146"/>
      <c r="E865" s="49"/>
      <c r="F865" s="49"/>
      <c r="G865" s="49"/>
      <c r="H865" s="42"/>
      <c r="I865" s="49"/>
      <c r="J865" s="42"/>
      <c r="K865" s="49"/>
      <c r="L865" s="49"/>
      <c r="M865" s="42"/>
      <c r="N865" s="42"/>
      <c r="O865" s="42"/>
      <c r="P865" s="42"/>
      <c r="Q865" s="49"/>
      <c r="R865" s="49"/>
      <c r="S865" s="49"/>
      <c r="T865" s="49"/>
      <c r="U865" s="49"/>
      <c r="V865" s="49"/>
      <c r="W865" s="49"/>
      <c r="X865" s="49"/>
      <c r="Y865" s="49"/>
      <c r="Z865" s="49"/>
      <c r="AA865" s="49"/>
      <c r="AB865" s="49"/>
      <c r="AC865" s="49"/>
      <c r="AD865" s="49"/>
    </row>
    <row r="866">
      <c r="A866" s="49"/>
      <c r="B866" s="49"/>
      <c r="C866" s="146"/>
      <c r="D866" s="146"/>
      <c r="E866" s="49"/>
      <c r="F866" s="49"/>
      <c r="G866" s="49"/>
      <c r="H866" s="42"/>
      <c r="I866" s="49"/>
      <c r="J866" s="42"/>
      <c r="K866" s="49"/>
      <c r="L866" s="49"/>
      <c r="M866" s="42"/>
      <c r="N866" s="42"/>
      <c r="O866" s="42"/>
      <c r="P866" s="42"/>
      <c r="Q866" s="49"/>
      <c r="R866" s="49"/>
      <c r="S866" s="49"/>
      <c r="T866" s="49"/>
      <c r="U866" s="49"/>
      <c r="V866" s="49"/>
      <c r="W866" s="49"/>
      <c r="X866" s="49"/>
      <c r="Y866" s="49"/>
      <c r="Z866" s="49"/>
      <c r="AA866" s="49"/>
      <c r="AB866" s="49"/>
      <c r="AC866" s="49"/>
      <c r="AD866" s="49"/>
    </row>
    <row r="867">
      <c r="A867" s="49"/>
      <c r="B867" s="49"/>
      <c r="C867" s="146"/>
      <c r="D867" s="146"/>
      <c r="E867" s="49"/>
      <c r="F867" s="49"/>
      <c r="G867" s="49"/>
      <c r="H867" s="42"/>
      <c r="I867" s="49"/>
      <c r="J867" s="42"/>
      <c r="K867" s="49"/>
      <c r="L867" s="49"/>
      <c r="M867" s="42"/>
      <c r="N867" s="42"/>
      <c r="O867" s="42"/>
      <c r="P867" s="42"/>
      <c r="Q867" s="49"/>
      <c r="R867" s="49"/>
      <c r="S867" s="49"/>
      <c r="T867" s="49"/>
      <c r="U867" s="49"/>
      <c r="V867" s="49"/>
      <c r="W867" s="49"/>
      <c r="X867" s="49"/>
      <c r="Y867" s="49"/>
      <c r="Z867" s="49"/>
      <c r="AA867" s="49"/>
      <c r="AB867" s="49"/>
      <c r="AC867" s="49"/>
      <c r="AD867" s="49"/>
    </row>
    <row r="868">
      <c r="A868" s="49"/>
      <c r="B868" s="49"/>
      <c r="C868" s="146"/>
      <c r="D868" s="146"/>
      <c r="E868" s="49"/>
      <c r="F868" s="49"/>
      <c r="G868" s="49"/>
      <c r="H868" s="42"/>
      <c r="I868" s="49"/>
      <c r="J868" s="42"/>
      <c r="K868" s="49"/>
      <c r="L868" s="49"/>
      <c r="M868" s="42"/>
      <c r="N868" s="42"/>
      <c r="O868" s="42"/>
      <c r="P868" s="42"/>
      <c r="Q868" s="49"/>
      <c r="R868" s="49"/>
      <c r="S868" s="49"/>
      <c r="T868" s="49"/>
      <c r="U868" s="49"/>
      <c r="V868" s="49"/>
      <c r="W868" s="49"/>
      <c r="X868" s="49"/>
      <c r="Y868" s="49"/>
      <c r="Z868" s="49"/>
      <c r="AA868" s="49"/>
      <c r="AB868" s="49"/>
      <c r="AC868" s="49"/>
      <c r="AD868" s="49"/>
    </row>
    <row r="869">
      <c r="A869" s="49"/>
      <c r="B869" s="49"/>
      <c r="C869" s="146"/>
      <c r="D869" s="146"/>
      <c r="E869" s="49"/>
      <c r="F869" s="49"/>
      <c r="G869" s="49"/>
      <c r="H869" s="42"/>
      <c r="I869" s="49"/>
      <c r="J869" s="42"/>
      <c r="K869" s="49"/>
      <c r="L869" s="49"/>
      <c r="M869" s="42"/>
      <c r="N869" s="42"/>
      <c r="O869" s="42"/>
      <c r="P869" s="42"/>
      <c r="Q869" s="49"/>
      <c r="R869" s="49"/>
      <c r="S869" s="49"/>
      <c r="T869" s="49"/>
      <c r="U869" s="49"/>
      <c r="V869" s="49"/>
      <c r="W869" s="49"/>
      <c r="X869" s="49"/>
      <c r="Y869" s="49"/>
      <c r="Z869" s="49"/>
      <c r="AA869" s="49"/>
      <c r="AB869" s="49"/>
      <c r="AC869" s="49"/>
      <c r="AD869" s="49"/>
    </row>
    <row r="870">
      <c r="A870" s="49"/>
      <c r="B870" s="49"/>
      <c r="C870" s="146"/>
      <c r="D870" s="146"/>
      <c r="E870" s="49"/>
      <c r="F870" s="49"/>
      <c r="G870" s="49"/>
      <c r="H870" s="42"/>
      <c r="I870" s="49"/>
      <c r="J870" s="42"/>
      <c r="K870" s="49"/>
      <c r="L870" s="49"/>
      <c r="M870" s="42"/>
      <c r="N870" s="42"/>
      <c r="O870" s="42"/>
      <c r="P870" s="42"/>
      <c r="Q870" s="49"/>
      <c r="R870" s="49"/>
      <c r="S870" s="49"/>
      <c r="T870" s="49"/>
      <c r="U870" s="49"/>
      <c r="V870" s="49"/>
      <c r="W870" s="49"/>
      <c r="X870" s="49"/>
      <c r="Y870" s="49"/>
      <c r="Z870" s="49"/>
      <c r="AA870" s="49"/>
      <c r="AB870" s="49"/>
      <c r="AC870" s="49"/>
      <c r="AD870" s="49"/>
    </row>
    <row r="871">
      <c r="A871" s="49"/>
      <c r="B871" s="49"/>
      <c r="C871" s="146"/>
      <c r="D871" s="146"/>
      <c r="E871" s="49"/>
      <c r="F871" s="49"/>
      <c r="G871" s="49"/>
      <c r="H871" s="42"/>
      <c r="I871" s="49"/>
      <c r="J871" s="42"/>
      <c r="K871" s="49"/>
      <c r="L871" s="49"/>
      <c r="M871" s="42"/>
      <c r="N871" s="42"/>
      <c r="O871" s="42"/>
      <c r="P871" s="42"/>
      <c r="Q871" s="49"/>
      <c r="R871" s="49"/>
      <c r="S871" s="49"/>
      <c r="T871" s="49"/>
      <c r="U871" s="49"/>
      <c r="V871" s="49"/>
      <c r="W871" s="49"/>
      <c r="X871" s="49"/>
      <c r="Y871" s="49"/>
      <c r="Z871" s="49"/>
      <c r="AA871" s="49"/>
      <c r="AB871" s="49"/>
      <c r="AC871" s="49"/>
      <c r="AD871" s="49"/>
    </row>
    <row r="872">
      <c r="A872" s="49"/>
      <c r="B872" s="49"/>
      <c r="C872" s="146"/>
      <c r="D872" s="146"/>
      <c r="E872" s="49"/>
      <c r="F872" s="49"/>
      <c r="G872" s="49"/>
      <c r="H872" s="42"/>
      <c r="I872" s="49"/>
      <c r="J872" s="42"/>
      <c r="K872" s="49"/>
      <c r="L872" s="49"/>
      <c r="M872" s="42"/>
      <c r="N872" s="42"/>
      <c r="O872" s="42"/>
      <c r="P872" s="42"/>
      <c r="Q872" s="49"/>
      <c r="R872" s="49"/>
      <c r="S872" s="49"/>
      <c r="T872" s="49"/>
      <c r="U872" s="49"/>
      <c r="V872" s="49"/>
      <c r="W872" s="49"/>
      <c r="X872" s="49"/>
      <c r="Y872" s="49"/>
      <c r="Z872" s="49"/>
      <c r="AA872" s="49"/>
      <c r="AB872" s="49"/>
      <c r="AC872" s="49"/>
      <c r="AD872" s="49"/>
    </row>
    <row r="873">
      <c r="A873" s="49"/>
      <c r="B873" s="49"/>
      <c r="C873" s="146"/>
      <c r="D873" s="146"/>
      <c r="E873" s="49"/>
      <c r="F873" s="49"/>
      <c r="G873" s="49"/>
      <c r="H873" s="42"/>
      <c r="I873" s="49"/>
      <c r="J873" s="42"/>
      <c r="K873" s="49"/>
      <c r="L873" s="49"/>
      <c r="M873" s="42"/>
      <c r="N873" s="42"/>
      <c r="O873" s="42"/>
      <c r="P873" s="42"/>
      <c r="Q873" s="49"/>
      <c r="R873" s="49"/>
      <c r="S873" s="49"/>
      <c r="T873" s="49"/>
      <c r="U873" s="49"/>
      <c r="V873" s="49"/>
      <c r="W873" s="49"/>
      <c r="X873" s="49"/>
      <c r="Y873" s="49"/>
      <c r="Z873" s="49"/>
      <c r="AA873" s="49"/>
      <c r="AB873" s="49"/>
      <c r="AC873" s="49"/>
      <c r="AD873" s="49"/>
    </row>
    <row r="874">
      <c r="A874" s="49"/>
      <c r="B874" s="49"/>
      <c r="C874" s="146"/>
      <c r="D874" s="146"/>
      <c r="E874" s="49"/>
      <c r="F874" s="49"/>
      <c r="G874" s="49"/>
      <c r="H874" s="42"/>
      <c r="I874" s="49"/>
      <c r="J874" s="42"/>
      <c r="K874" s="49"/>
      <c r="L874" s="49"/>
      <c r="M874" s="42"/>
      <c r="N874" s="42"/>
      <c r="O874" s="42"/>
      <c r="P874" s="42"/>
      <c r="Q874" s="49"/>
      <c r="R874" s="49"/>
      <c r="S874" s="49"/>
      <c r="T874" s="49"/>
      <c r="U874" s="49"/>
      <c r="V874" s="49"/>
      <c r="W874" s="49"/>
      <c r="X874" s="49"/>
      <c r="Y874" s="49"/>
      <c r="Z874" s="49"/>
      <c r="AA874" s="49"/>
      <c r="AB874" s="49"/>
      <c r="AC874" s="49"/>
      <c r="AD874" s="49"/>
    </row>
    <row r="875">
      <c r="A875" s="49"/>
      <c r="B875" s="49"/>
      <c r="C875" s="146"/>
      <c r="D875" s="146"/>
      <c r="E875" s="49"/>
      <c r="F875" s="49"/>
      <c r="G875" s="49"/>
      <c r="H875" s="42"/>
      <c r="I875" s="49"/>
      <c r="J875" s="42"/>
      <c r="K875" s="49"/>
      <c r="L875" s="49"/>
      <c r="M875" s="42"/>
      <c r="N875" s="42"/>
      <c r="O875" s="42"/>
      <c r="P875" s="42"/>
      <c r="Q875" s="49"/>
      <c r="R875" s="49"/>
      <c r="S875" s="49"/>
      <c r="T875" s="49"/>
      <c r="U875" s="49"/>
      <c r="V875" s="49"/>
      <c r="W875" s="49"/>
      <c r="X875" s="49"/>
      <c r="Y875" s="49"/>
      <c r="Z875" s="49"/>
      <c r="AA875" s="49"/>
      <c r="AB875" s="49"/>
      <c r="AC875" s="49"/>
      <c r="AD875" s="49"/>
    </row>
    <row r="876">
      <c r="A876" s="49"/>
      <c r="B876" s="49"/>
      <c r="C876" s="146"/>
      <c r="D876" s="146"/>
      <c r="E876" s="49"/>
      <c r="F876" s="49"/>
      <c r="G876" s="49"/>
      <c r="H876" s="42"/>
      <c r="I876" s="49"/>
      <c r="J876" s="42"/>
      <c r="K876" s="49"/>
      <c r="L876" s="49"/>
      <c r="M876" s="42"/>
      <c r="N876" s="42"/>
      <c r="O876" s="42"/>
      <c r="P876" s="42"/>
      <c r="Q876" s="49"/>
      <c r="R876" s="49"/>
      <c r="S876" s="49"/>
      <c r="T876" s="49"/>
      <c r="U876" s="49"/>
      <c r="V876" s="49"/>
      <c r="W876" s="49"/>
      <c r="X876" s="49"/>
      <c r="Y876" s="49"/>
      <c r="Z876" s="49"/>
      <c r="AA876" s="49"/>
      <c r="AB876" s="49"/>
      <c r="AC876" s="49"/>
      <c r="AD876" s="49"/>
    </row>
    <row r="877">
      <c r="A877" s="49"/>
      <c r="B877" s="49"/>
      <c r="C877" s="146"/>
      <c r="D877" s="146"/>
      <c r="E877" s="49"/>
      <c r="F877" s="49"/>
      <c r="G877" s="49"/>
      <c r="H877" s="42"/>
      <c r="I877" s="49"/>
      <c r="J877" s="42"/>
      <c r="K877" s="49"/>
      <c r="L877" s="49"/>
      <c r="M877" s="42"/>
      <c r="N877" s="42"/>
      <c r="O877" s="42"/>
      <c r="P877" s="42"/>
      <c r="Q877" s="49"/>
      <c r="R877" s="49"/>
      <c r="S877" s="49"/>
      <c r="T877" s="49"/>
      <c r="U877" s="49"/>
      <c r="V877" s="49"/>
      <c r="W877" s="49"/>
      <c r="X877" s="49"/>
      <c r="Y877" s="49"/>
      <c r="Z877" s="49"/>
      <c r="AA877" s="49"/>
      <c r="AB877" s="49"/>
      <c r="AC877" s="49"/>
      <c r="AD877" s="49"/>
    </row>
    <row r="878">
      <c r="A878" s="49"/>
      <c r="B878" s="49"/>
      <c r="C878" s="146"/>
      <c r="D878" s="146"/>
      <c r="E878" s="49"/>
      <c r="F878" s="49"/>
      <c r="G878" s="49"/>
      <c r="H878" s="42"/>
      <c r="I878" s="49"/>
      <c r="J878" s="42"/>
      <c r="K878" s="49"/>
      <c r="L878" s="49"/>
      <c r="M878" s="42"/>
      <c r="N878" s="42"/>
      <c r="O878" s="42"/>
      <c r="P878" s="42"/>
      <c r="Q878" s="49"/>
      <c r="R878" s="49"/>
      <c r="S878" s="49"/>
      <c r="T878" s="49"/>
      <c r="U878" s="49"/>
      <c r="V878" s="49"/>
      <c r="W878" s="49"/>
      <c r="X878" s="49"/>
      <c r="Y878" s="49"/>
      <c r="Z878" s="49"/>
      <c r="AA878" s="49"/>
      <c r="AB878" s="49"/>
      <c r="AC878" s="49"/>
      <c r="AD878" s="49"/>
    </row>
    <row r="879">
      <c r="A879" s="49"/>
      <c r="B879" s="49"/>
      <c r="C879" s="146"/>
      <c r="D879" s="146"/>
      <c r="E879" s="49"/>
      <c r="F879" s="49"/>
      <c r="G879" s="49"/>
      <c r="H879" s="42"/>
      <c r="I879" s="49"/>
      <c r="J879" s="42"/>
      <c r="K879" s="49"/>
      <c r="L879" s="49"/>
      <c r="M879" s="42"/>
      <c r="N879" s="42"/>
      <c r="O879" s="42"/>
      <c r="P879" s="42"/>
      <c r="Q879" s="49"/>
      <c r="R879" s="49"/>
      <c r="S879" s="49"/>
      <c r="T879" s="49"/>
      <c r="U879" s="49"/>
      <c r="V879" s="49"/>
      <c r="W879" s="49"/>
      <c r="X879" s="49"/>
      <c r="Y879" s="49"/>
      <c r="Z879" s="49"/>
      <c r="AA879" s="49"/>
      <c r="AB879" s="49"/>
      <c r="AC879" s="49"/>
      <c r="AD879" s="49"/>
    </row>
    <row r="880">
      <c r="A880" s="49"/>
      <c r="B880" s="49"/>
      <c r="C880" s="146"/>
      <c r="D880" s="146"/>
      <c r="E880" s="49"/>
      <c r="F880" s="49"/>
      <c r="G880" s="49"/>
      <c r="H880" s="42"/>
      <c r="I880" s="49"/>
      <c r="J880" s="42"/>
      <c r="K880" s="49"/>
      <c r="L880" s="49"/>
      <c r="M880" s="42"/>
      <c r="N880" s="42"/>
      <c r="O880" s="42"/>
      <c r="P880" s="42"/>
      <c r="Q880" s="49"/>
      <c r="R880" s="49"/>
      <c r="S880" s="49"/>
      <c r="T880" s="49"/>
      <c r="U880" s="49"/>
      <c r="V880" s="49"/>
      <c r="W880" s="49"/>
      <c r="X880" s="49"/>
      <c r="Y880" s="49"/>
      <c r="Z880" s="49"/>
      <c r="AA880" s="49"/>
      <c r="AB880" s="49"/>
      <c r="AC880" s="49"/>
      <c r="AD880" s="49"/>
    </row>
    <row r="881">
      <c r="A881" s="49"/>
      <c r="B881" s="49"/>
      <c r="C881" s="146"/>
      <c r="D881" s="146"/>
      <c r="E881" s="49"/>
      <c r="F881" s="49"/>
      <c r="G881" s="49"/>
      <c r="H881" s="42"/>
      <c r="I881" s="49"/>
      <c r="J881" s="42"/>
      <c r="K881" s="49"/>
      <c r="L881" s="49"/>
      <c r="M881" s="42"/>
      <c r="N881" s="42"/>
      <c r="O881" s="42"/>
      <c r="P881" s="42"/>
      <c r="Q881" s="49"/>
      <c r="R881" s="49"/>
      <c r="S881" s="49"/>
      <c r="T881" s="49"/>
      <c r="U881" s="49"/>
      <c r="V881" s="49"/>
      <c r="W881" s="49"/>
      <c r="X881" s="49"/>
      <c r="Y881" s="49"/>
      <c r="Z881" s="49"/>
      <c r="AA881" s="49"/>
      <c r="AB881" s="49"/>
      <c r="AC881" s="49"/>
      <c r="AD881" s="49"/>
    </row>
    <row r="882">
      <c r="A882" s="49"/>
      <c r="B882" s="49"/>
      <c r="C882" s="146"/>
      <c r="D882" s="146"/>
      <c r="E882" s="49"/>
      <c r="F882" s="49"/>
      <c r="G882" s="49"/>
      <c r="H882" s="42"/>
      <c r="I882" s="49"/>
      <c r="J882" s="42"/>
      <c r="K882" s="49"/>
      <c r="L882" s="49"/>
      <c r="M882" s="42"/>
      <c r="N882" s="42"/>
      <c r="O882" s="42"/>
      <c r="P882" s="42"/>
      <c r="Q882" s="49"/>
      <c r="R882" s="49"/>
      <c r="S882" s="49"/>
      <c r="T882" s="49"/>
      <c r="U882" s="49"/>
      <c r="V882" s="49"/>
      <c r="W882" s="49"/>
      <c r="X882" s="49"/>
      <c r="Y882" s="49"/>
      <c r="Z882" s="49"/>
      <c r="AA882" s="49"/>
      <c r="AB882" s="49"/>
      <c r="AC882" s="49"/>
      <c r="AD882" s="49"/>
    </row>
    <row r="883">
      <c r="A883" s="49"/>
      <c r="B883" s="49"/>
      <c r="C883" s="146"/>
      <c r="D883" s="146"/>
      <c r="E883" s="49"/>
      <c r="F883" s="49"/>
      <c r="G883" s="49"/>
      <c r="H883" s="42"/>
      <c r="I883" s="49"/>
      <c r="J883" s="42"/>
      <c r="K883" s="49"/>
      <c r="L883" s="49"/>
      <c r="M883" s="42"/>
      <c r="N883" s="42"/>
      <c r="O883" s="42"/>
      <c r="P883" s="42"/>
      <c r="Q883" s="49"/>
      <c r="R883" s="49"/>
      <c r="S883" s="49"/>
      <c r="T883" s="49"/>
      <c r="U883" s="49"/>
      <c r="V883" s="49"/>
      <c r="W883" s="49"/>
      <c r="X883" s="49"/>
      <c r="Y883" s="49"/>
      <c r="Z883" s="49"/>
      <c r="AA883" s="49"/>
      <c r="AB883" s="49"/>
      <c r="AC883" s="49"/>
      <c r="AD883" s="49"/>
    </row>
    <row r="884">
      <c r="A884" s="49"/>
      <c r="B884" s="49"/>
      <c r="C884" s="146"/>
      <c r="D884" s="146"/>
      <c r="E884" s="49"/>
      <c r="F884" s="49"/>
      <c r="G884" s="49"/>
      <c r="H884" s="42"/>
      <c r="I884" s="49"/>
      <c r="J884" s="42"/>
      <c r="K884" s="49"/>
      <c r="L884" s="49"/>
      <c r="M884" s="42"/>
      <c r="N884" s="42"/>
      <c r="O884" s="42"/>
      <c r="P884" s="42"/>
      <c r="Q884" s="49"/>
      <c r="R884" s="49"/>
      <c r="S884" s="49"/>
      <c r="T884" s="49"/>
      <c r="U884" s="49"/>
      <c r="V884" s="49"/>
      <c r="W884" s="49"/>
      <c r="X884" s="49"/>
      <c r="Y884" s="49"/>
      <c r="Z884" s="49"/>
      <c r="AA884" s="49"/>
      <c r="AB884" s="49"/>
      <c r="AC884" s="49"/>
      <c r="AD884" s="49"/>
    </row>
    <row r="885">
      <c r="A885" s="49"/>
      <c r="B885" s="49"/>
      <c r="C885" s="146"/>
      <c r="D885" s="146"/>
      <c r="E885" s="49"/>
      <c r="F885" s="49"/>
      <c r="G885" s="49"/>
      <c r="H885" s="42"/>
      <c r="I885" s="49"/>
      <c r="J885" s="42"/>
      <c r="K885" s="49"/>
      <c r="L885" s="49"/>
      <c r="M885" s="42"/>
      <c r="N885" s="42"/>
      <c r="O885" s="42"/>
      <c r="P885" s="42"/>
      <c r="Q885" s="49"/>
      <c r="R885" s="49"/>
      <c r="S885" s="49"/>
      <c r="T885" s="49"/>
      <c r="U885" s="49"/>
      <c r="V885" s="49"/>
      <c r="W885" s="49"/>
      <c r="X885" s="49"/>
      <c r="Y885" s="49"/>
      <c r="Z885" s="49"/>
      <c r="AA885" s="49"/>
      <c r="AB885" s="49"/>
      <c r="AC885" s="49"/>
      <c r="AD885" s="49"/>
    </row>
    <row r="886">
      <c r="A886" s="49"/>
      <c r="B886" s="49"/>
      <c r="C886" s="146"/>
      <c r="D886" s="146"/>
      <c r="E886" s="49"/>
      <c r="F886" s="49"/>
      <c r="G886" s="49"/>
      <c r="H886" s="42"/>
      <c r="I886" s="49"/>
      <c r="J886" s="42"/>
      <c r="K886" s="49"/>
      <c r="L886" s="49"/>
      <c r="M886" s="42"/>
      <c r="N886" s="42"/>
      <c r="O886" s="42"/>
      <c r="P886" s="42"/>
      <c r="Q886" s="49"/>
      <c r="R886" s="49"/>
      <c r="S886" s="49"/>
      <c r="T886" s="49"/>
      <c r="U886" s="49"/>
      <c r="V886" s="49"/>
      <c r="W886" s="49"/>
      <c r="X886" s="49"/>
      <c r="Y886" s="49"/>
      <c r="Z886" s="49"/>
      <c r="AA886" s="49"/>
      <c r="AB886" s="49"/>
      <c r="AC886" s="49"/>
      <c r="AD886" s="49"/>
    </row>
    <row r="887">
      <c r="A887" s="49"/>
      <c r="B887" s="49"/>
      <c r="C887" s="146"/>
      <c r="D887" s="146"/>
      <c r="E887" s="49"/>
      <c r="F887" s="49"/>
      <c r="G887" s="49"/>
      <c r="H887" s="42"/>
      <c r="I887" s="49"/>
      <c r="J887" s="42"/>
      <c r="K887" s="49"/>
      <c r="L887" s="49"/>
      <c r="M887" s="42"/>
      <c r="N887" s="42"/>
      <c r="O887" s="42"/>
      <c r="P887" s="42"/>
      <c r="Q887" s="49"/>
      <c r="R887" s="49"/>
      <c r="S887" s="49"/>
      <c r="T887" s="49"/>
      <c r="U887" s="49"/>
      <c r="V887" s="49"/>
      <c r="W887" s="49"/>
      <c r="X887" s="49"/>
      <c r="Y887" s="49"/>
      <c r="Z887" s="49"/>
      <c r="AA887" s="49"/>
      <c r="AB887" s="49"/>
      <c r="AC887" s="49"/>
      <c r="AD887" s="49"/>
    </row>
    <row r="888">
      <c r="A888" s="49"/>
      <c r="B888" s="49"/>
      <c r="C888" s="146"/>
      <c r="D888" s="146"/>
      <c r="E888" s="49"/>
      <c r="F888" s="49"/>
      <c r="G888" s="49"/>
      <c r="H888" s="42"/>
      <c r="I888" s="49"/>
      <c r="J888" s="42"/>
      <c r="K888" s="49"/>
      <c r="L888" s="49"/>
      <c r="M888" s="42"/>
      <c r="N888" s="42"/>
      <c r="O888" s="42"/>
      <c r="P888" s="42"/>
      <c r="Q888" s="49"/>
      <c r="R888" s="49"/>
      <c r="S888" s="49"/>
      <c r="T888" s="49"/>
      <c r="U888" s="49"/>
      <c r="V888" s="49"/>
      <c r="W888" s="49"/>
      <c r="X888" s="49"/>
      <c r="Y888" s="49"/>
      <c r="Z888" s="49"/>
      <c r="AA888" s="49"/>
      <c r="AB888" s="49"/>
      <c r="AC888" s="49"/>
      <c r="AD888" s="49"/>
    </row>
    <row r="889">
      <c r="A889" s="49"/>
      <c r="B889" s="49"/>
      <c r="C889" s="146"/>
      <c r="D889" s="146"/>
      <c r="E889" s="49"/>
      <c r="F889" s="49"/>
      <c r="G889" s="49"/>
      <c r="H889" s="42"/>
      <c r="I889" s="49"/>
      <c r="J889" s="42"/>
      <c r="K889" s="49"/>
      <c r="L889" s="49"/>
      <c r="M889" s="42"/>
      <c r="N889" s="42"/>
      <c r="O889" s="42"/>
      <c r="P889" s="42"/>
      <c r="Q889" s="49"/>
      <c r="R889" s="49"/>
      <c r="S889" s="49"/>
      <c r="T889" s="49"/>
      <c r="U889" s="49"/>
      <c r="V889" s="49"/>
      <c r="W889" s="49"/>
      <c r="X889" s="49"/>
      <c r="Y889" s="49"/>
      <c r="Z889" s="49"/>
      <c r="AA889" s="49"/>
      <c r="AB889" s="49"/>
      <c r="AC889" s="49"/>
      <c r="AD889" s="49"/>
    </row>
    <row r="890">
      <c r="A890" s="49"/>
      <c r="B890" s="49"/>
      <c r="C890" s="146"/>
      <c r="D890" s="146"/>
      <c r="E890" s="49"/>
      <c r="F890" s="49"/>
      <c r="G890" s="49"/>
      <c r="H890" s="42"/>
      <c r="I890" s="49"/>
      <c r="J890" s="42"/>
      <c r="K890" s="49"/>
      <c r="L890" s="49"/>
      <c r="M890" s="42"/>
      <c r="N890" s="42"/>
      <c r="O890" s="42"/>
      <c r="P890" s="42"/>
      <c r="Q890" s="49"/>
      <c r="R890" s="49"/>
      <c r="S890" s="49"/>
      <c r="T890" s="49"/>
      <c r="U890" s="49"/>
      <c r="V890" s="49"/>
      <c r="W890" s="49"/>
      <c r="X890" s="49"/>
      <c r="Y890" s="49"/>
      <c r="Z890" s="49"/>
      <c r="AA890" s="49"/>
      <c r="AB890" s="49"/>
      <c r="AC890" s="49"/>
      <c r="AD890" s="49"/>
    </row>
    <row r="891">
      <c r="A891" s="49"/>
      <c r="B891" s="49"/>
      <c r="C891" s="146"/>
      <c r="D891" s="146"/>
      <c r="E891" s="49"/>
      <c r="F891" s="49"/>
      <c r="G891" s="49"/>
      <c r="H891" s="42"/>
      <c r="I891" s="49"/>
      <c r="J891" s="42"/>
      <c r="K891" s="49"/>
      <c r="L891" s="49"/>
      <c r="M891" s="42"/>
      <c r="N891" s="42"/>
      <c r="O891" s="42"/>
      <c r="P891" s="42"/>
      <c r="Q891" s="49"/>
      <c r="R891" s="49"/>
      <c r="S891" s="49"/>
      <c r="T891" s="49"/>
      <c r="U891" s="49"/>
      <c r="V891" s="49"/>
      <c r="W891" s="49"/>
      <c r="X891" s="49"/>
      <c r="Y891" s="49"/>
      <c r="Z891" s="49"/>
      <c r="AA891" s="49"/>
      <c r="AB891" s="49"/>
      <c r="AC891" s="49"/>
      <c r="AD891" s="49"/>
    </row>
    <row r="892">
      <c r="A892" s="49"/>
      <c r="B892" s="49"/>
      <c r="C892" s="146"/>
      <c r="D892" s="146"/>
      <c r="E892" s="49"/>
      <c r="F892" s="49"/>
      <c r="G892" s="49"/>
      <c r="H892" s="42"/>
      <c r="I892" s="49"/>
      <c r="J892" s="42"/>
      <c r="K892" s="49"/>
      <c r="L892" s="49"/>
      <c r="M892" s="42"/>
      <c r="N892" s="42"/>
      <c r="O892" s="42"/>
      <c r="P892" s="42"/>
      <c r="Q892" s="49"/>
      <c r="R892" s="49"/>
      <c r="S892" s="49"/>
      <c r="T892" s="49"/>
      <c r="U892" s="49"/>
      <c r="V892" s="49"/>
      <c r="W892" s="49"/>
      <c r="X892" s="49"/>
      <c r="Y892" s="49"/>
      <c r="Z892" s="49"/>
      <c r="AA892" s="49"/>
      <c r="AB892" s="49"/>
      <c r="AC892" s="49"/>
      <c r="AD892" s="49"/>
    </row>
    <row r="893">
      <c r="A893" s="49"/>
      <c r="B893" s="49"/>
      <c r="C893" s="146"/>
      <c r="D893" s="146"/>
      <c r="E893" s="49"/>
      <c r="F893" s="49"/>
      <c r="G893" s="49"/>
      <c r="H893" s="42"/>
      <c r="I893" s="49"/>
      <c r="J893" s="42"/>
      <c r="K893" s="49"/>
      <c r="L893" s="49"/>
      <c r="M893" s="42"/>
      <c r="N893" s="42"/>
      <c r="O893" s="42"/>
      <c r="P893" s="42"/>
      <c r="Q893" s="49"/>
      <c r="R893" s="49"/>
      <c r="S893" s="49"/>
      <c r="T893" s="49"/>
      <c r="U893" s="49"/>
      <c r="V893" s="49"/>
      <c r="W893" s="49"/>
      <c r="X893" s="49"/>
      <c r="Y893" s="49"/>
      <c r="Z893" s="49"/>
      <c r="AA893" s="49"/>
      <c r="AB893" s="49"/>
      <c r="AC893" s="49"/>
      <c r="AD893" s="49"/>
    </row>
    <row r="894">
      <c r="A894" s="49"/>
      <c r="B894" s="49"/>
      <c r="C894" s="146"/>
      <c r="D894" s="146"/>
      <c r="E894" s="49"/>
      <c r="F894" s="49"/>
      <c r="G894" s="49"/>
      <c r="H894" s="42"/>
      <c r="I894" s="49"/>
      <c r="J894" s="42"/>
      <c r="K894" s="49"/>
      <c r="L894" s="49"/>
      <c r="M894" s="42"/>
      <c r="N894" s="42"/>
      <c r="O894" s="42"/>
      <c r="P894" s="42"/>
      <c r="Q894" s="49"/>
      <c r="R894" s="49"/>
      <c r="S894" s="49"/>
      <c r="T894" s="49"/>
      <c r="U894" s="49"/>
      <c r="V894" s="49"/>
      <c r="W894" s="49"/>
      <c r="X894" s="49"/>
      <c r="Y894" s="49"/>
      <c r="Z894" s="49"/>
      <c r="AA894" s="49"/>
      <c r="AB894" s="49"/>
      <c r="AC894" s="49"/>
      <c r="AD894" s="49"/>
    </row>
    <row r="895">
      <c r="A895" s="49"/>
      <c r="B895" s="49"/>
      <c r="C895" s="146"/>
      <c r="D895" s="146"/>
      <c r="E895" s="49"/>
      <c r="F895" s="49"/>
      <c r="G895" s="49"/>
      <c r="H895" s="42"/>
      <c r="I895" s="49"/>
      <c r="J895" s="42"/>
      <c r="K895" s="49"/>
      <c r="L895" s="49"/>
      <c r="M895" s="42"/>
      <c r="N895" s="42"/>
      <c r="O895" s="42"/>
      <c r="P895" s="42"/>
      <c r="Q895" s="49"/>
      <c r="R895" s="49"/>
      <c r="S895" s="49"/>
      <c r="T895" s="49"/>
      <c r="U895" s="49"/>
      <c r="V895" s="49"/>
      <c r="W895" s="49"/>
      <c r="X895" s="49"/>
      <c r="Y895" s="49"/>
      <c r="Z895" s="49"/>
      <c r="AA895" s="49"/>
      <c r="AB895" s="49"/>
      <c r="AC895" s="49"/>
      <c r="AD895" s="49"/>
    </row>
    <row r="896">
      <c r="A896" s="49"/>
      <c r="B896" s="49"/>
      <c r="C896" s="146"/>
      <c r="D896" s="146"/>
      <c r="E896" s="49"/>
      <c r="F896" s="49"/>
      <c r="G896" s="49"/>
      <c r="H896" s="42"/>
      <c r="I896" s="49"/>
      <c r="J896" s="42"/>
      <c r="K896" s="49"/>
      <c r="L896" s="49"/>
      <c r="M896" s="42"/>
      <c r="N896" s="42"/>
      <c r="O896" s="42"/>
      <c r="P896" s="42"/>
      <c r="Q896" s="49"/>
      <c r="R896" s="49"/>
      <c r="S896" s="49"/>
      <c r="T896" s="49"/>
      <c r="U896" s="49"/>
      <c r="V896" s="49"/>
      <c r="W896" s="49"/>
      <c r="X896" s="49"/>
      <c r="Y896" s="49"/>
      <c r="Z896" s="49"/>
      <c r="AA896" s="49"/>
      <c r="AB896" s="49"/>
      <c r="AC896" s="49"/>
      <c r="AD896" s="49"/>
    </row>
    <row r="897">
      <c r="A897" s="49"/>
      <c r="B897" s="49"/>
      <c r="C897" s="146"/>
      <c r="D897" s="146"/>
      <c r="E897" s="49"/>
      <c r="F897" s="49"/>
      <c r="G897" s="49"/>
      <c r="H897" s="42"/>
      <c r="I897" s="49"/>
      <c r="J897" s="42"/>
      <c r="K897" s="49"/>
      <c r="L897" s="49"/>
      <c r="M897" s="42"/>
      <c r="N897" s="42"/>
      <c r="O897" s="42"/>
      <c r="P897" s="42"/>
      <c r="Q897" s="49"/>
      <c r="R897" s="49"/>
      <c r="S897" s="49"/>
      <c r="T897" s="49"/>
      <c r="U897" s="49"/>
      <c r="V897" s="49"/>
      <c r="W897" s="49"/>
      <c r="X897" s="49"/>
      <c r="Y897" s="49"/>
      <c r="Z897" s="49"/>
      <c r="AA897" s="49"/>
      <c r="AB897" s="49"/>
      <c r="AC897" s="49"/>
      <c r="AD897" s="49"/>
    </row>
    <row r="898">
      <c r="A898" s="49"/>
      <c r="B898" s="49"/>
      <c r="C898" s="146"/>
      <c r="D898" s="146"/>
      <c r="E898" s="49"/>
      <c r="F898" s="49"/>
      <c r="G898" s="49"/>
      <c r="H898" s="42"/>
      <c r="I898" s="49"/>
      <c r="J898" s="42"/>
      <c r="K898" s="49"/>
      <c r="L898" s="49"/>
      <c r="M898" s="42"/>
      <c r="N898" s="42"/>
      <c r="O898" s="42"/>
      <c r="P898" s="42"/>
      <c r="Q898" s="49"/>
      <c r="R898" s="49"/>
      <c r="S898" s="49"/>
      <c r="T898" s="49"/>
      <c r="U898" s="49"/>
      <c r="V898" s="49"/>
      <c r="W898" s="49"/>
      <c r="X898" s="49"/>
      <c r="Y898" s="49"/>
      <c r="Z898" s="49"/>
      <c r="AA898" s="49"/>
      <c r="AB898" s="49"/>
      <c r="AC898" s="49"/>
      <c r="AD898" s="49"/>
    </row>
    <row r="899">
      <c r="A899" s="49"/>
      <c r="B899" s="49"/>
      <c r="C899" s="146"/>
      <c r="D899" s="146"/>
      <c r="E899" s="49"/>
      <c r="F899" s="49"/>
      <c r="G899" s="49"/>
      <c r="H899" s="42"/>
      <c r="I899" s="49"/>
      <c r="J899" s="42"/>
      <c r="K899" s="49"/>
      <c r="L899" s="49"/>
      <c r="M899" s="42"/>
      <c r="N899" s="42"/>
      <c r="O899" s="42"/>
      <c r="P899" s="42"/>
      <c r="Q899" s="49"/>
      <c r="R899" s="49"/>
      <c r="S899" s="49"/>
      <c r="T899" s="49"/>
      <c r="U899" s="49"/>
      <c r="V899" s="49"/>
      <c r="W899" s="49"/>
      <c r="X899" s="49"/>
      <c r="Y899" s="49"/>
      <c r="Z899" s="49"/>
      <c r="AA899" s="49"/>
      <c r="AB899" s="49"/>
      <c r="AC899" s="49"/>
      <c r="AD899" s="49"/>
    </row>
    <row r="900">
      <c r="A900" s="49"/>
      <c r="B900" s="49"/>
      <c r="C900" s="146"/>
      <c r="D900" s="146"/>
      <c r="E900" s="49"/>
      <c r="F900" s="49"/>
      <c r="G900" s="49"/>
      <c r="H900" s="42"/>
      <c r="I900" s="49"/>
      <c r="J900" s="42"/>
      <c r="K900" s="49"/>
      <c r="L900" s="49"/>
      <c r="M900" s="42"/>
      <c r="N900" s="42"/>
      <c r="O900" s="42"/>
      <c r="P900" s="42"/>
      <c r="Q900" s="49"/>
      <c r="R900" s="49"/>
      <c r="S900" s="49"/>
      <c r="T900" s="49"/>
      <c r="U900" s="49"/>
      <c r="V900" s="49"/>
      <c r="W900" s="49"/>
      <c r="X900" s="49"/>
      <c r="Y900" s="49"/>
      <c r="Z900" s="49"/>
      <c r="AA900" s="49"/>
      <c r="AB900" s="49"/>
      <c r="AC900" s="49"/>
      <c r="AD900" s="49"/>
    </row>
    <row r="901">
      <c r="A901" s="49"/>
      <c r="B901" s="49"/>
      <c r="C901" s="146"/>
      <c r="D901" s="146"/>
      <c r="E901" s="49"/>
      <c r="F901" s="49"/>
      <c r="G901" s="49"/>
      <c r="H901" s="42"/>
      <c r="I901" s="49"/>
      <c r="J901" s="42"/>
      <c r="K901" s="49"/>
      <c r="L901" s="49"/>
      <c r="M901" s="42"/>
      <c r="N901" s="42"/>
      <c r="O901" s="42"/>
      <c r="P901" s="42"/>
      <c r="Q901" s="49"/>
      <c r="R901" s="49"/>
      <c r="S901" s="49"/>
      <c r="T901" s="49"/>
      <c r="U901" s="49"/>
      <c r="V901" s="49"/>
      <c r="W901" s="49"/>
      <c r="X901" s="49"/>
      <c r="Y901" s="49"/>
      <c r="Z901" s="49"/>
      <c r="AA901" s="49"/>
      <c r="AB901" s="49"/>
      <c r="AC901" s="49"/>
      <c r="AD901" s="49"/>
    </row>
    <row r="902">
      <c r="A902" s="49"/>
      <c r="B902" s="49"/>
      <c r="C902" s="146"/>
      <c r="D902" s="146"/>
      <c r="E902" s="49"/>
      <c r="F902" s="49"/>
      <c r="G902" s="49"/>
      <c r="H902" s="42"/>
      <c r="I902" s="49"/>
      <c r="J902" s="42"/>
      <c r="K902" s="49"/>
      <c r="L902" s="49"/>
      <c r="M902" s="42"/>
      <c r="N902" s="42"/>
      <c r="O902" s="42"/>
      <c r="P902" s="42"/>
      <c r="Q902" s="49"/>
      <c r="R902" s="49"/>
      <c r="S902" s="49"/>
      <c r="T902" s="49"/>
      <c r="U902" s="49"/>
      <c r="V902" s="49"/>
      <c r="W902" s="49"/>
      <c r="X902" s="49"/>
      <c r="Y902" s="49"/>
      <c r="Z902" s="49"/>
      <c r="AA902" s="49"/>
      <c r="AB902" s="49"/>
      <c r="AC902" s="49"/>
      <c r="AD902" s="49"/>
    </row>
    <row r="903">
      <c r="A903" s="49"/>
      <c r="B903" s="49"/>
      <c r="C903" s="146"/>
      <c r="D903" s="146"/>
      <c r="E903" s="49"/>
      <c r="F903" s="49"/>
      <c r="G903" s="49"/>
      <c r="H903" s="42"/>
      <c r="I903" s="49"/>
      <c r="J903" s="42"/>
      <c r="K903" s="49"/>
      <c r="L903" s="49"/>
      <c r="M903" s="42"/>
      <c r="N903" s="42"/>
      <c r="O903" s="42"/>
      <c r="P903" s="42"/>
      <c r="Q903" s="49"/>
      <c r="R903" s="49"/>
      <c r="S903" s="49"/>
      <c r="T903" s="49"/>
      <c r="U903" s="49"/>
      <c r="V903" s="49"/>
      <c r="W903" s="49"/>
      <c r="X903" s="49"/>
      <c r="Y903" s="49"/>
      <c r="Z903" s="49"/>
      <c r="AA903" s="49"/>
      <c r="AB903" s="49"/>
      <c r="AC903" s="49"/>
      <c r="AD903" s="49"/>
    </row>
    <row r="904">
      <c r="A904" s="49"/>
      <c r="B904" s="49"/>
      <c r="C904" s="146"/>
      <c r="D904" s="146"/>
      <c r="E904" s="49"/>
      <c r="F904" s="49"/>
      <c r="G904" s="49"/>
      <c r="H904" s="42"/>
      <c r="I904" s="49"/>
      <c r="J904" s="42"/>
      <c r="K904" s="49"/>
      <c r="L904" s="49"/>
      <c r="M904" s="42"/>
      <c r="N904" s="42"/>
      <c r="O904" s="42"/>
      <c r="P904" s="42"/>
      <c r="Q904" s="49"/>
      <c r="R904" s="49"/>
      <c r="S904" s="49"/>
      <c r="T904" s="49"/>
      <c r="U904" s="49"/>
      <c r="V904" s="49"/>
      <c r="W904" s="49"/>
      <c r="X904" s="49"/>
      <c r="Y904" s="49"/>
      <c r="Z904" s="49"/>
      <c r="AA904" s="49"/>
      <c r="AB904" s="49"/>
      <c r="AC904" s="49"/>
      <c r="AD904" s="49"/>
    </row>
    <row r="905">
      <c r="A905" s="49"/>
      <c r="B905" s="49"/>
      <c r="C905" s="146"/>
      <c r="D905" s="146"/>
      <c r="E905" s="49"/>
      <c r="F905" s="49"/>
      <c r="G905" s="49"/>
      <c r="H905" s="42"/>
      <c r="I905" s="49"/>
      <c r="J905" s="42"/>
      <c r="K905" s="49"/>
      <c r="L905" s="49"/>
      <c r="M905" s="42"/>
      <c r="N905" s="42"/>
      <c r="O905" s="42"/>
      <c r="P905" s="42"/>
      <c r="Q905" s="49"/>
      <c r="R905" s="49"/>
      <c r="S905" s="49"/>
      <c r="T905" s="49"/>
      <c r="U905" s="49"/>
      <c r="V905" s="49"/>
      <c r="W905" s="49"/>
      <c r="X905" s="49"/>
      <c r="Y905" s="49"/>
      <c r="Z905" s="49"/>
      <c r="AA905" s="49"/>
      <c r="AB905" s="49"/>
      <c r="AC905" s="49"/>
      <c r="AD905" s="49"/>
    </row>
    <row r="906">
      <c r="A906" s="49"/>
      <c r="B906" s="49"/>
      <c r="C906" s="146"/>
      <c r="D906" s="146"/>
      <c r="E906" s="49"/>
      <c r="F906" s="49"/>
      <c r="G906" s="49"/>
      <c r="H906" s="42"/>
      <c r="I906" s="49"/>
      <c r="J906" s="42"/>
      <c r="K906" s="49"/>
      <c r="L906" s="49"/>
      <c r="M906" s="42"/>
      <c r="N906" s="42"/>
      <c r="O906" s="42"/>
      <c r="P906" s="42"/>
      <c r="Q906" s="49"/>
      <c r="R906" s="49"/>
      <c r="S906" s="49"/>
      <c r="T906" s="49"/>
      <c r="U906" s="49"/>
      <c r="V906" s="49"/>
      <c r="W906" s="49"/>
      <c r="X906" s="49"/>
      <c r="Y906" s="49"/>
      <c r="Z906" s="49"/>
      <c r="AA906" s="49"/>
      <c r="AB906" s="49"/>
      <c r="AC906" s="49"/>
      <c r="AD906" s="49"/>
    </row>
    <row r="907">
      <c r="A907" s="49"/>
      <c r="B907" s="49"/>
      <c r="C907" s="146"/>
      <c r="D907" s="146"/>
      <c r="E907" s="49"/>
      <c r="F907" s="49"/>
      <c r="G907" s="49"/>
      <c r="H907" s="42"/>
      <c r="I907" s="49"/>
      <c r="J907" s="42"/>
      <c r="K907" s="49"/>
      <c r="L907" s="49"/>
      <c r="M907" s="42"/>
      <c r="N907" s="42"/>
      <c r="O907" s="42"/>
      <c r="P907" s="42"/>
      <c r="Q907" s="49"/>
      <c r="R907" s="49"/>
      <c r="S907" s="49"/>
      <c r="T907" s="49"/>
      <c r="U907" s="49"/>
      <c r="V907" s="49"/>
      <c r="W907" s="49"/>
      <c r="X907" s="49"/>
      <c r="Y907" s="49"/>
      <c r="Z907" s="49"/>
      <c r="AA907" s="49"/>
      <c r="AB907" s="49"/>
      <c r="AC907" s="49"/>
      <c r="AD907" s="49"/>
    </row>
    <row r="908">
      <c r="A908" s="49"/>
      <c r="B908" s="49"/>
      <c r="C908" s="146"/>
      <c r="D908" s="146"/>
      <c r="E908" s="49"/>
      <c r="F908" s="49"/>
      <c r="G908" s="49"/>
      <c r="H908" s="42"/>
      <c r="I908" s="49"/>
      <c r="J908" s="42"/>
      <c r="K908" s="49"/>
      <c r="L908" s="49"/>
      <c r="M908" s="42"/>
      <c r="N908" s="42"/>
      <c r="O908" s="42"/>
      <c r="P908" s="42"/>
      <c r="Q908" s="49"/>
      <c r="R908" s="49"/>
      <c r="S908" s="49"/>
      <c r="T908" s="49"/>
      <c r="U908" s="49"/>
      <c r="V908" s="49"/>
      <c r="W908" s="49"/>
      <c r="X908" s="49"/>
      <c r="Y908" s="49"/>
      <c r="Z908" s="49"/>
      <c r="AA908" s="49"/>
      <c r="AB908" s="49"/>
      <c r="AC908" s="49"/>
      <c r="AD908" s="49"/>
    </row>
    <row r="909">
      <c r="A909" s="49"/>
      <c r="B909" s="49"/>
      <c r="C909" s="146"/>
      <c r="D909" s="146"/>
      <c r="E909" s="49"/>
      <c r="F909" s="49"/>
      <c r="G909" s="49"/>
      <c r="H909" s="42"/>
      <c r="I909" s="49"/>
      <c r="J909" s="42"/>
      <c r="K909" s="49"/>
      <c r="L909" s="49"/>
      <c r="M909" s="42"/>
      <c r="N909" s="42"/>
      <c r="O909" s="42"/>
      <c r="P909" s="42"/>
      <c r="Q909" s="49"/>
      <c r="R909" s="49"/>
      <c r="S909" s="49"/>
      <c r="T909" s="49"/>
      <c r="U909" s="49"/>
      <c r="V909" s="49"/>
      <c r="W909" s="49"/>
      <c r="X909" s="49"/>
      <c r="Y909" s="49"/>
      <c r="Z909" s="49"/>
      <c r="AA909" s="49"/>
      <c r="AB909" s="49"/>
      <c r="AC909" s="49"/>
      <c r="AD909" s="49"/>
    </row>
    <row r="910">
      <c r="A910" s="49"/>
      <c r="B910" s="49"/>
      <c r="C910" s="146"/>
      <c r="D910" s="146"/>
      <c r="E910" s="49"/>
      <c r="F910" s="49"/>
      <c r="G910" s="49"/>
      <c r="H910" s="42"/>
      <c r="I910" s="49"/>
      <c r="J910" s="42"/>
      <c r="K910" s="49"/>
      <c r="L910" s="49"/>
      <c r="M910" s="42"/>
      <c r="N910" s="42"/>
      <c r="O910" s="42"/>
      <c r="P910" s="42"/>
      <c r="Q910" s="49"/>
      <c r="R910" s="49"/>
      <c r="S910" s="49"/>
      <c r="T910" s="49"/>
      <c r="U910" s="49"/>
      <c r="V910" s="49"/>
      <c r="W910" s="49"/>
      <c r="X910" s="49"/>
      <c r="Y910" s="49"/>
      <c r="Z910" s="49"/>
      <c r="AA910" s="49"/>
      <c r="AB910" s="49"/>
      <c r="AC910" s="49"/>
      <c r="AD910" s="49"/>
    </row>
    <row r="911">
      <c r="A911" s="49"/>
      <c r="B911" s="49"/>
      <c r="C911" s="146"/>
      <c r="D911" s="146"/>
      <c r="E911" s="49"/>
      <c r="F911" s="49"/>
      <c r="G911" s="49"/>
      <c r="H911" s="42"/>
      <c r="I911" s="49"/>
      <c r="J911" s="42"/>
      <c r="K911" s="49"/>
      <c r="L911" s="49"/>
      <c r="M911" s="42"/>
      <c r="N911" s="42"/>
      <c r="O911" s="42"/>
      <c r="P911" s="42"/>
      <c r="Q911" s="49"/>
      <c r="R911" s="49"/>
      <c r="S911" s="49"/>
      <c r="T911" s="49"/>
      <c r="U911" s="49"/>
      <c r="V911" s="49"/>
      <c r="W911" s="49"/>
      <c r="X911" s="49"/>
      <c r="Y911" s="49"/>
      <c r="Z911" s="49"/>
      <c r="AA911" s="49"/>
      <c r="AB911" s="49"/>
      <c r="AC911" s="49"/>
      <c r="AD911" s="49"/>
    </row>
    <row r="912">
      <c r="A912" s="49"/>
      <c r="B912" s="49"/>
      <c r="C912" s="146"/>
      <c r="D912" s="146"/>
      <c r="E912" s="49"/>
      <c r="F912" s="49"/>
      <c r="G912" s="49"/>
      <c r="H912" s="42"/>
      <c r="I912" s="49"/>
      <c r="J912" s="42"/>
      <c r="K912" s="49"/>
      <c r="L912" s="49"/>
      <c r="M912" s="42"/>
      <c r="N912" s="42"/>
      <c r="O912" s="42"/>
      <c r="P912" s="42"/>
      <c r="Q912" s="49"/>
      <c r="R912" s="49"/>
      <c r="S912" s="49"/>
      <c r="T912" s="49"/>
      <c r="U912" s="49"/>
      <c r="V912" s="49"/>
      <c r="W912" s="49"/>
      <c r="X912" s="49"/>
      <c r="Y912" s="49"/>
      <c r="Z912" s="49"/>
      <c r="AA912" s="49"/>
      <c r="AB912" s="49"/>
      <c r="AC912" s="49"/>
      <c r="AD912" s="49"/>
    </row>
    <row r="913">
      <c r="A913" s="49"/>
      <c r="B913" s="49"/>
      <c r="C913" s="146"/>
      <c r="D913" s="146"/>
      <c r="E913" s="49"/>
      <c r="F913" s="49"/>
      <c r="G913" s="49"/>
      <c r="H913" s="42"/>
      <c r="I913" s="49"/>
      <c r="J913" s="42"/>
      <c r="K913" s="49"/>
      <c r="L913" s="49"/>
      <c r="M913" s="42"/>
      <c r="N913" s="42"/>
      <c r="O913" s="42"/>
      <c r="P913" s="42"/>
      <c r="Q913" s="49"/>
      <c r="R913" s="49"/>
      <c r="S913" s="49"/>
      <c r="T913" s="49"/>
      <c r="U913" s="49"/>
      <c r="V913" s="49"/>
      <c r="W913" s="49"/>
      <c r="X913" s="49"/>
      <c r="Y913" s="49"/>
      <c r="Z913" s="49"/>
      <c r="AA913" s="49"/>
      <c r="AB913" s="49"/>
      <c r="AC913" s="49"/>
      <c r="AD913" s="49"/>
    </row>
    <row r="914">
      <c r="A914" s="49"/>
      <c r="B914" s="49"/>
      <c r="C914" s="146"/>
      <c r="D914" s="146"/>
      <c r="E914" s="49"/>
      <c r="F914" s="49"/>
      <c r="G914" s="49"/>
      <c r="H914" s="42"/>
      <c r="I914" s="49"/>
      <c r="J914" s="42"/>
      <c r="K914" s="49"/>
      <c r="L914" s="49"/>
      <c r="M914" s="42"/>
      <c r="N914" s="42"/>
      <c r="O914" s="42"/>
      <c r="P914" s="42"/>
      <c r="Q914" s="49"/>
      <c r="R914" s="49"/>
      <c r="S914" s="49"/>
      <c r="T914" s="49"/>
      <c r="U914" s="49"/>
      <c r="V914" s="49"/>
      <c r="W914" s="49"/>
      <c r="X914" s="49"/>
      <c r="Y914" s="49"/>
      <c r="Z914" s="49"/>
      <c r="AA914" s="49"/>
      <c r="AB914" s="49"/>
      <c r="AC914" s="49"/>
      <c r="AD914" s="49"/>
    </row>
    <row r="915">
      <c r="A915" s="49"/>
      <c r="B915" s="49"/>
      <c r="C915" s="146"/>
      <c r="D915" s="146"/>
      <c r="E915" s="49"/>
      <c r="F915" s="49"/>
      <c r="G915" s="49"/>
      <c r="H915" s="42"/>
      <c r="I915" s="49"/>
      <c r="J915" s="42"/>
      <c r="K915" s="49"/>
      <c r="L915" s="49"/>
      <c r="M915" s="42"/>
      <c r="N915" s="42"/>
      <c r="O915" s="42"/>
      <c r="P915" s="42"/>
      <c r="Q915" s="49"/>
      <c r="R915" s="49"/>
      <c r="S915" s="49"/>
      <c r="T915" s="49"/>
      <c r="U915" s="49"/>
      <c r="V915" s="49"/>
      <c r="W915" s="49"/>
      <c r="X915" s="49"/>
      <c r="Y915" s="49"/>
      <c r="Z915" s="49"/>
      <c r="AA915" s="49"/>
      <c r="AB915" s="49"/>
      <c r="AC915" s="49"/>
      <c r="AD915" s="49"/>
    </row>
    <row r="916">
      <c r="A916" s="49"/>
      <c r="B916" s="49"/>
      <c r="C916" s="146"/>
      <c r="D916" s="146"/>
      <c r="E916" s="49"/>
      <c r="F916" s="49"/>
      <c r="G916" s="49"/>
      <c r="H916" s="42"/>
      <c r="I916" s="49"/>
      <c r="J916" s="42"/>
      <c r="K916" s="49"/>
      <c r="L916" s="49"/>
      <c r="M916" s="42"/>
      <c r="N916" s="42"/>
      <c r="O916" s="42"/>
      <c r="P916" s="42"/>
      <c r="Q916" s="49"/>
      <c r="R916" s="49"/>
      <c r="S916" s="49"/>
      <c r="T916" s="49"/>
      <c r="U916" s="49"/>
      <c r="V916" s="49"/>
      <c r="W916" s="49"/>
      <c r="X916" s="49"/>
      <c r="Y916" s="49"/>
      <c r="Z916" s="49"/>
      <c r="AA916" s="49"/>
      <c r="AB916" s="49"/>
      <c r="AC916" s="49"/>
      <c r="AD916" s="49"/>
    </row>
    <row r="917">
      <c r="A917" s="49"/>
      <c r="B917" s="49"/>
      <c r="C917" s="146"/>
      <c r="D917" s="146"/>
      <c r="E917" s="49"/>
      <c r="F917" s="49"/>
      <c r="G917" s="49"/>
      <c r="H917" s="42"/>
      <c r="I917" s="49"/>
      <c r="J917" s="42"/>
      <c r="K917" s="49"/>
      <c r="L917" s="49"/>
      <c r="M917" s="42"/>
      <c r="N917" s="42"/>
      <c r="O917" s="42"/>
      <c r="P917" s="42"/>
      <c r="Q917" s="49"/>
      <c r="R917" s="49"/>
      <c r="S917" s="49"/>
      <c r="T917" s="49"/>
      <c r="U917" s="49"/>
      <c r="V917" s="49"/>
      <c r="W917" s="49"/>
      <c r="X917" s="49"/>
      <c r="Y917" s="49"/>
      <c r="Z917" s="49"/>
      <c r="AA917" s="49"/>
      <c r="AB917" s="49"/>
      <c r="AC917" s="49"/>
      <c r="AD917" s="49"/>
    </row>
    <row r="918">
      <c r="A918" s="49"/>
      <c r="B918" s="49"/>
      <c r="C918" s="146"/>
      <c r="D918" s="146"/>
      <c r="E918" s="49"/>
      <c r="F918" s="49"/>
      <c r="G918" s="49"/>
      <c r="H918" s="42"/>
      <c r="I918" s="49"/>
      <c r="J918" s="42"/>
      <c r="K918" s="49"/>
      <c r="L918" s="49"/>
      <c r="M918" s="42"/>
      <c r="N918" s="42"/>
      <c r="O918" s="42"/>
      <c r="P918" s="42"/>
      <c r="Q918" s="49"/>
      <c r="R918" s="49"/>
      <c r="S918" s="49"/>
      <c r="T918" s="49"/>
      <c r="U918" s="49"/>
      <c r="V918" s="49"/>
      <c r="W918" s="49"/>
      <c r="X918" s="49"/>
      <c r="Y918" s="49"/>
      <c r="Z918" s="49"/>
      <c r="AA918" s="49"/>
      <c r="AB918" s="49"/>
      <c r="AC918" s="49"/>
      <c r="AD918" s="49"/>
    </row>
    <row r="919">
      <c r="A919" s="49"/>
      <c r="B919" s="49"/>
      <c r="C919" s="146"/>
      <c r="D919" s="146"/>
      <c r="E919" s="49"/>
      <c r="F919" s="49"/>
      <c r="G919" s="49"/>
      <c r="H919" s="42"/>
      <c r="I919" s="49"/>
      <c r="J919" s="42"/>
      <c r="K919" s="49"/>
      <c r="L919" s="49"/>
      <c r="M919" s="42"/>
      <c r="N919" s="42"/>
      <c r="O919" s="42"/>
      <c r="P919" s="42"/>
      <c r="Q919" s="49"/>
      <c r="R919" s="49"/>
      <c r="S919" s="49"/>
      <c r="T919" s="49"/>
      <c r="U919" s="49"/>
      <c r="V919" s="49"/>
      <c r="W919" s="49"/>
      <c r="X919" s="49"/>
      <c r="Y919" s="49"/>
      <c r="Z919" s="49"/>
      <c r="AA919" s="49"/>
      <c r="AB919" s="49"/>
      <c r="AC919" s="49"/>
      <c r="AD919" s="49"/>
    </row>
    <row r="920">
      <c r="A920" s="49"/>
      <c r="B920" s="49"/>
      <c r="C920" s="146"/>
      <c r="D920" s="146"/>
      <c r="E920" s="49"/>
      <c r="F920" s="49"/>
      <c r="G920" s="49"/>
      <c r="H920" s="42"/>
      <c r="I920" s="49"/>
      <c r="J920" s="42"/>
      <c r="K920" s="49"/>
      <c r="L920" s="49"/>
      <c r="M920" s="42"/>
      <c r="N920" s="42"/>
      <c r="O920" s="42"/>
      <c r="P920" s="42"/>
      <c r="Q920" s="49"/>
      <c r="R920" s="49"/>
      <c r="S920" s="49"/>
      <c r="T920" s="49"/>
      <c r="U920" s="49"/>
      <c r="V920" s="49"/>
      <c r="W920" s="49"/>
      <c r="X920" s="49"/>
      <c r="Y920" s="49"/>
      <c r="Z920" s="49"/>
      <c r="AA920" s="49"/>
      <c r="AB920" s="49"/>
      <c r="AC920" s="49"/>
      <c r="AD920" s="49"/>
    </row>
    <row r="921">
      <c r="A921" s="49"/>
      <c r="B921" s="49"/>
      <c r="C921" s="146"/>
      <c r="D921" s="146"/>
      <c r="E921" s="49"/>
      <c r="F921" s="49"/>
      <c r="G921" s="49"/>
      <c r="H921" s="42"/>
      <c r="I921" s="49"/>
      <c r="J921" s="42"/>
      <c r="K921" s="49"/>
      <c r="L921" s="49"/>
      <c r="M921" s="42"/>
      <c r="N921" s="42"/>
      <c r="O921" s="42"/>
      <c r="P921" s="42"/>
      <c r="Q921" s="49"/>
      <c r="R921" s="49"/>
      <c r="S921" s="49"/>
      <c r="T921" s="49"/>
      <c r="U921" s="49"/>
      <c r="V921" s="49"/>
      <c r="W921" s="49"/>
      <c r="X921" s="49"/>
      <c r="Y921" s="49"/>
      <c r="Z921" s="49"/>
      <c r="AA921" s="49"/>
      <c r="AB921" s="49"/>
      <c r="AC921" s="49"/>
      <c r="AD921" s="49"/>
    </row>
    <row r="922">
      <c r="A922" s="49"/>
      <c r="B922" s="49"/>
      <c r="C922" s="146"/>
      <c r="D922" s="146"/>
      <c r="E922" s="49"/>
      <c r="F922" s="49"/>
      <c r="G922" s="49"/>
      <c r="H922" s="42"/>
      <c r="I922" s="49"/>
      <c r="J922" s="42"/>
      <c r="K922" s="49"/>
      <c r="L922" s="49"/>
      <c r="M922" s="42"/>
      <c r="N922" s="42"/>
      <c r="O922" s="42"/>
      <c r="P922" s="42"/>
      <c r="Q922" s="49"/>
      <c r="R922" s="49"/>
      <c r="S922" s="49"/>
      <c r="T922" s="49"/>
      <c r="U922" s="49"/>
      <c r="V922" s="49"/>
      <c r="W922" s="49"/>
      <c r="X922" s="49"/>
      <c r="Y922" s="49"/>
      <c r="Z922" s="49"/>
      <c r="AA922" s="49"/>
      <c r="AB922" s="49"/>
      <c r="AC922" s="49"/>
      <c r="AD922" s="49"/>
    </row>
    <row r="923">
      <c r="A923" s="49"/>
      <c r="B923" s="49"/>
      <c r="C923" s="146"/>
      <c r="D923" s="146"/>
      <c r="E923" s="49"/>
      <c r="F923" s="49"/>
      <c r="G923" s="49"/>
      <c r="H923" s="42"/>
      <c r="I923" s="49"/>
      <c r="J923" s="42"/>
      <c r="K923" s="49"/>
      <c r="L923" s="49"/>
      <c r="M923" s="42"/>
      <c r="N923" s="42"/>
      <c r="O923" s="42"/>
      <c r="P923" s="42"/>
      <c r="Q923" s="49"/>
      <c r="R923" s="49"/>
      <c r="S923" s="49"/>
      <c r="T923" s="49"/>
      <c r="U923" s="49"/>
      <c r="V923" s="49"/>
      <c r="W923" s="49"/>
      <c r="X923" s="49"/>
      <c r="Y923" s="49"/>
      <c r="Z923" s="49"/>
      <c r="AA923" s="49"/>
      <c r="AB923" s="49"/>
      <c r="AC923" s="49"/>
      <c r="AD923" s="49"/>
    </row>
    <row r="924">
      <c r="A924" s="49"/>
      <c r="B924" s="49"/>
      <c r="C924" s="146"/>
      <c r="D924" s="146"/>
      <c r="E924" s="49"/>
      <c r="F924" s="49"/>
      <c r="G924" s="49"/>
      <c r="H924" s="42"/>
      <c r="I924" s="49"/>
      <c r="J924" s="42"/>
      <c r="K924" s="49"/>
      <c r="L924" s="49"/>
      <c r="M924" s="42"/>
      <c r="N924" s="42"/>
      <c r="O924" s="42"/>
      <c r="P924" s="42"/>
      <c r="Q924" s="49"/>
      <c r="R924" s="49"/>
      <c r="S924" s="49"/>
      <c r="T924" s="49"/>
      <c r="U924" s="49"/>
      <c r="V924" s="49"/>
      <c r="W924" s="49"/>
      <c r="X924" s="49"/>
      <c r="Y924" s="49"/>
      <c r="Z924" s="49"/>
      <c r="AA924" s="49"/>
      <c r="AB924" s="49"/>
      <c r="AC924" s="49"/>
      <c r="AD924" s="49"/>
    </row>
    <row r="925">
      <c r="A925" s="49"/>
      <c r="B925" s="49"/>
      <c r="C925" s="146"/>
      <c r="D925" s="146"/>
      <c r="E925" s="49"/>
      <c r="F925" s="49"/>
      <c r="G925" s="49"/>
      <c r="H925" s="42"/>
      <c r="I925" s="49"/>
      <c r="J925" s="42"/>
      <c r="K925" s="49"/>
      <c r="L925" s="49"/>
      <c r="M925" s="42"/>
      <c r="N925" s="42"/>
      <c r="O925" s="42"/>
      <c r="P925" s="42"/>
      <c r="Q925" s="49"/>
      <c r="R925" s="49"/>
      <c r="S925" s="49"/>
      <c r="T925" s="49"/>
      <c r="U925" s="49"/>
      <c r="V925" s="49"/>
      <c r="W925" s="49"/>
      <c r="X925" s="49"/>
      <c r="Y925" s="49"/>
      <c r="Z925" s="49"/>
      <c r="AA925" s="49"/>
      <c r="AB925" s="49"/>
      <c r="AC925" s="49"/>
      <c r="AD925" s="49"/>
    </row>
    <row r="926">
      <c r="A926" s="49"/>
      <c r="B926" s="49"/>
      <c r="C926" s="146"/>
      <c r="D926" s="146"/>
      <c r="E926" s="49"/>
      <c r="F926" s="49"/>
      <c r="G926" s="49"/>
      <c r="H926" s="42"/>
      <c r="I926" s="49"/>
      <c r="J926" s="42"/>
      <c r="K926" s="49"/>
      <c r="L926" s="49"/>
      <c r="M926" s="42"/>
      <c r="N926" s="42"/>
      <c r="O926" s="42"/>
      <c r="P926" s="42"/>
      <c r="Q926" s="49"/>
      <c r="R926" s="49"/>
      <c r="S926" s="49"/>
      <c r="T926" s="49"/>
      <c r="U926" s="49"/>
      <c r="V926" s="49"/>
      <c r="W926" s="49"/>
      <c r="X926" s="49"/>
      <c r="Y926" s="49"/>
      <c r="Z926" s="49"/>
      <c r="AA926" s="49"/>
      <c r="AB926" s="49"/>
      <c r="AC926" s="49"/>
      <c r="AD926" s="49"/>
    </row>
    <row r="927">
      <c r="A927" s="49"/>
      <c r="B927" s="49"/>
      <c r="C927" s="146"/>
      <c r="D927" s="146"/>
      <c r="E927" s="49"/>
      <c r="F927" s="49"/>
      <c r="G927" s="49"/>
      <c r="H927" s="42"/>
      <c r="I927" s="49"/>
      <c r="J927" s="42"/>
      <c r="K927" s="49"/>
      <c r="L927" s="49"/>
      <c r="M927" s="42"/>
      <c r="N927" s="42"/>
      <c r="O927" s="42"/>
      <c r="P927" s="42"/>
      <c r="Q927" s="49"/>
      <c r="R927" s="49"/>
      <c r="S927" s="49"/>
      <c r="T927" s="49"/>
      <c r="U927" s="49"/>
      <c r="V927" s="49"/>
      <c r="W927" s="49"/>
      <c r="X927" s="49"/>
      <c r="Y927" s="49"/>
      <c r="Z927" s="49"/>
      <c r="AA927" s="49"/>
      <c r="AB927" s="49"/>
      <c r="AC927" s="49"/>
      <c r="AD927" s="49"/>
    </row>
    <row r="928">
      <c r="A928" s="49"/>
      <c r="B928" s="49"/>
      <c r="C928" s="146"/>
      <c r="D928" s="146"/>
      <c r="E928" s="49"/>
      <c r="F928" s="49"/>
      <c r="G928" s="49"/>
      <c r="H928" s="42"/>
      <c r="I928" s="49"/>
      <c r="J928" s="42"/>
      <c r="K928" s="49"/>
      <c r="L928" s="49"/>
      <c r="M928" s="42"/>
      <c r="N928" s="42"/>
      <c r="O928" s="42"/>
      <c r="P928" s="42"/>
      <c r="Q928" s="49"/>
      <c r="R928" s="49"/>
      <c r="S928" s="49"/>
      <c r="T928" s="49"/>
      <c r="U928" s="49"/>
      <c r="V928" s="49"/>
      <c r="W928" s="49"/>
      <c r="X928" s="49"/>
      <c r="Y928" s="49"/>
      <c r="Z928" s="49"/>
      <c r="AA928" s="49"/>
      <c r="AB928" s="49"/>
      <c r="AC928" s="49"/>
      <c r="AD928" s="49"/>
    </row>
    <row r="929">
      <c r="A929" s="49"/>
      <c r="B929" s="49"/>
      <c r="C929" s="146"/>
      <c r="D929" s="146"/>
      <c r="E929" s="49"/>
      <c r="F929" s="49"/>
      <c r="G929" s="49"/>
      <c r="H929" s="42"/>
      <c r="I929" s="49"/>
      <c r="J929" s="42"/>
      <c r="K929" s="49"/>
      <c r="L929" s="49"/>
      <c r="M929" s="42"/>
      <c r="N929" s="42"/>
      <c r="O929" s="42"/>
      <c r="P929" s="42"/>
      <c r="Q929" s="49"/>
      <c r="R929" s="49"/>
      <c r="S929" s="49"/>
      <c r="T929" s="49"/>
      <c r="U929" s="49"/>
      <c r="V929" s="49"/>
      <c r="W929" s="49"/>
      <c r="X929" s="49"/>
      <c r="Y929" s="49"/>
      <c r="Z929" s="49"/>
      <c r="AA929" s="49"/>
      <c r="AB929" s="49"/>
      <c r="AC929" s="49"/>
      <c r="AD929" s="49"/>
    </row>
    <row r="930">
      <c r="A930" s="49"/>
      <c r="B930" s="49"/>
      <c r="C930" s="146"/>
      <c r="D930" s="146"/>
      <c r="E930" s="49"/>
      <c r="F930" s="49"/>
      <c r="G930" s="49"/>
      <c r="H930" s="42"/>
      <c r="I930" s="49"/>
      <c r="J930" s="42"/>
      <c r="K930" s="49"/>
      <c r="L930" s="49"/>
      <c r="M930" s="42"/>
      <c r="N930" s="42"/>
      <c r="O930" s="42"/>
      <c r="P930" s="42"/>
      <c r="Q930" s="49"/>
      <c r="R930" s="49"/>
      <c r="S930" s="49"/>
      <c r="T930" s="49"/>
      <c r="U930" s="49"/>
      <c r="V930" s="49"/>
      <c r="W930" s="49"/>
      <c r="X930" s="49"/>
      <c r="Y930" s="49"/>
      <c r="Z930" s="49"/>
      <c r="AA930" s="49"/>
      <c r="AB930" s="49"/>
      <c r="AC930" s="49"/>
      <c r="AD930" s="49"/>
    </row>
    <row r="931">
      <c r="A931" s="49"/>
      <c r="B931" s="49"/>
      <c r="C931" s="146"/>
      <c r="D931" s="146"/>
      <c r="E931" s="49"/>
      <c r="F931" s="49"/>
      <c r="G931" s="49"/>
      <c r="H931" s="42"/>
      <c r="I931" s="49"/>
      <c r="J931" s="42"/>
      <c r="K931" s="49"/>
      <c r="L931" s="49"/>
      <c r="M931" s="42"/>
      <c r="N931" s="42"/>
      <c r="O931" s="42"/>
      <c r="P931" s="42"/>
      <c r="Q931" s="49"/>
      <c r="R931" s="49"/>
      <c r="S931" s="49"/>
      <c r="T931" s="49"/>
      <c r="U931" s="49"/>
      <c r="V931" s="49"/>
      <c r="W931" s="49"/>
      <c r="X931" s="49"/>
      <c r="Y931" s="49"/>
      <c r="Z931" s="49"/>
      <c r="AA931" s="49"/>
      <c r="AB931" s="49"/>
      <c r="AC931" s="49"/>
      <c r="AD931" s="49"/>
    </row>
    <row r="932">
      <c r="A932" s="49"/>
      <c r="B932" s="49"/>
      <c r="C932" s="146"/>
      <c r="D932" s="146"/>
      <c r="E932" s="49"/>
      <c r="F932" s="49"/>
      <c r="G932" s="49"/>
      <c r="H932" s="42"/>
      <c r="I932" s="49"/>
      <c r="J932" s="42"/>
      <c r="K932" s="49"/>
      <c r="L932" s="49"/>
      <c r="M932" s="42"/>
      <c r="N932" s="42"/>
      <c r="O932" s="42"/>
      <c r="P932" s="42"/>
      <c r="Q932" s="49"/>
      <c r="R932" s="49"/>
      <c r="S932" s="49"/>
      <c r="T932" s="49"/>
      <c r="U932" s="49"/>
      <c r="V932" s="49"/>
      <c r="W932" s="49"/>
      <c r="X932" s="49"/>
      <c r="Y932" s="49"/>
      <c r="Z932" s="49"/>
      <c r="AA932" s="49"/>
      <c r="AB932" s="49"/>
      <c r="AC932" s="49"/>
      <c r="AD932" s="49"/>
    </row>
    <row r="933">
      <c r="A933" s="49"/>
      <c r="B933" s="49"/>
      <c r="C933" s="146"/>
      <c r="D933" s="146"/>
      <c r="E933" s="49"/>
      <c r="F933" s="49"/>
      <c r="G933" s="49"/>
      <c r="H933" s="42"/>
      <c r="I933" s="49"/>
      <c r="J933" s="42"/>
      <c r="K933" s="49"/>
      <c r="L933" s="49"/>
      <c r="M933" s="42"/>
      <c r="N933" s="42"/>
      <c r="O933" s="42"/>
      <c r="P933" s="42"/>
      <c r="Q933" s="49"/>
      <c r="R933" s="49"/>
      <c r="S933" s="49"/>
      <c r="T933" s="49"/>
      <c r="U933" s="49"/>
      <c r="V933" s="49"/>
      <c r="W933" s="49"/>
      <c r="X933" s="49"/>
      <c r="Y933" s="49"/>
      <c r="Z933" s="49"/>
      <c r="AA933" s="49"/>
      <c r="AB933" s="49"/>
      <c r="AC933" s="49"/>
      <c r="AD933" s="49"/>
    </row>
    <row r="934">
      <c r="A934" s="49"/>
      <c r="B934" s="49"/>
      <c r="C934" s="146"/>
      <c r="D934" s="146"/>
      <c r="E934" s="49"/>
      <c r="F934" s="49"/>
      <c r="G934" s="49"/>
      <c r="H934" s="42"/>
      <c r="I934" s="49"/>
      <c r="J934" s="42"/>
      <c r="K934" s="49"/>
      <c r="L934" s="49"/>
      <c r="M934" s="42"/>
      <c r="N934" s="42"/>
      <c r="O934" s="42"/>
      <c r="P934" s="42"/>
      <c r="Q934" s="49"/>
      <c r="R934" s="49"/>
      <c r="S934" s="49"/>
      <c r="T934" s="49"/>
      <c r="U934" s="49"/>
      <c r="V934" s="49"/>
      <c r="W934" s="49"/>
      <c r="X934" s="49"/>
      <c r="Y934" s="49"/>
      <c r="Z934" s="49"/>
      <c r="AA934" s="49"/>
      <c r="AB934" s="49"/>
      <c r="AC934" s="49"/>
      <c r="AD934" s="49"/>
    </row>
    <row r="935">
      <c r="A935" s="49"/>
      <c r="B935" s="49"/>
      <c r="C935" s="146"/>
      <c r="D935" s="146"/>
      <c r="E935" s="49"/>
      <c r="F935" s="49"/>
      <c r="G935" s="49"/>
      <c r="H935" s="42"/>
      <c r="I935" s="49"/>
      <c r="J935" s="42"/>
      <c r="K935" s="49"/>
      <c r="L935" s="49"/>
      <c r="M935" s="42"/>
      <c r="N935" s="42"/>
      <c r="O935" s="42"/>
      <c r="P935" s="42"/>
      <c r="Q935" s="49"/>
      <c r="R935" s="49"/>
      <c r="S935" s="49"/>
      <c r="T935" s="49"/>
      <c r="U935" s="49"/>
      <c r="V935" s="49"/>
      <c r="W935" s="49"/>
      <c r="X935" s="49"/>
      <c r="Y935" s="49"/>
      <c r="Z935" s="49"/>
      <c r="AA935" s="49"/>
      <c r="AB935" s="49"/>
      <c r="AC935" s="49"/>
      <c r="AD935" s="49"/>
    </row>
    <row r="936">
      <c r="A936" s="49"/>
      <c r="B936" s="49"/>
      <c r="C936" s="146"/>
      <c r="D936" s="146"/>
      <c r="E936" s="49"/>
      <c r="F936" s="49"/>
      <c r="G936" s="49"/>
      <c r="H936" s="42"/>
      <c r="I936" s="49"/>
      <c r="J936" s="42"/>
      <c r="K936" s="49"/>
      <c r="L936" s="49"/>
      <c r="M936" s="42"/>
      <c r="N936" s="42"/>
      <c r="O936" s="42"/>
      <c r="P936" s="42"/>
      <c r="Q936" s="49"/>
      <c r="R936" s="49"/>
      <c r="S936" s="49"/>
      <c r="T936" s="49"/>
      <c r="U936" s="49"/>
      <c r="V936" s="49"/>
      <c r="W936" s="49"/>
      <c r="X936" s="49"/>
      <c r="Y936" s="49"/>
      <c r="Z936" s="49"/>
      <c r="AA936" s="49"/>
      <c r="AB936" s="49"/>
      <c r="AC936" s="49"/>
      <c r="AD936" s="49"/>
    </row>
    <row r="937">
      <c r="A937" s="49"/>
      <c r="B937" s="49"/>
      <c r="C937" s="146"/>
      <c r="D937" s="146"/>
      <c r="E937" s="49"/>
      <c r="F937" s="49"/>
      <c r="G937" s="49"/>
      <c r="H937" s="42"/>
      <c r="I937" s="49"/>
      <c r="J937" s="42"/>
      <c r="K937" s="49"/>
      <c r="L937" s="49"/>
      <c r="M937" s="42"/>
      <c r="N937" s="42"/>
      <c r="O937" s="42"/>
      <c r="P937" s="42"/>
      <c r="Q937" s="49"/>
      <c r="R937" s="49"/>
      <c r="S937" s="49"/>
      <c r="T937" s="49"/>
      <c r="U937" s="49"/>
      <c r="V937" s="49"/>
      <c r="W937" s="49"/>
      <c r="X937" s="49"/>
      <c r="Y937" s="49"/>
      <c r="Z937" s="49"/>
      <c r="AA937" s="49"/>
      <c r="AB937" s="49"/>
      <c r="AC937" s="49"/>
      <c r="AD937" s="49"/>
    </row>
    <row r="938">
      <c r="A938" s="49"/>
      <c r="B938" s="49"/>
      <c r="C938" s="146"/>
      <c r="D938" s="146"/>
      <c r="E938" s="49"/>
      <c r="F938" s="49"/>
      <c r="G938" s="49"/>
      <c r="H938" s="42"/>
      <c r="I938" s="49"/>
      <c r="J938" s="42"/>
      <c r="K938" s="49"/>
      <c r="L938" s="49"/>
      <c r="M938" s="42"/>
      <c r="N938" s="42"/>
      <c r="O938" s="42"/>
      <c r="P938" s="42"/>
      <c r="Q938" s="49"/>
      <c r="R938" s="49"/>
      <c r="S938" s="49"/>
      <c r="T938" s="49"/>
      <c r="U938" s="49"/>
      <c r="V938" s="49"/>
      <c r="W938" s="49"/>
      <c r="X938" s="49"/>
      <c r="Y938" s="49"/>
      <c r="Z938" s="49"/>
      <c r="AA938" s="49"/>
      <c r="AB938" s="49"/>
      <c r="AC938" s="49"/>
      <c r="AD938" s="49"/>
    </row>
    <row r="939">
      <c r="A939" s="49"/>
      <c r="B939" s="49"/>
      <c r="C939" s="146"/>
      <c r="D939" s="146"/>
      <c r="E939" s="49"/>
      <c r="F939" s="49"/>
      <c r="G939" s="49"/>
      <c r="H939" s="42"/>
      <c r="I939" s="49"/>
      <c r="J939" s="42"/>
      <c r="K939" s="49"/>
      <c r="L939" s="49"/>
      <c r="M939" s="42"/>
      <c r="N939" s="42"/>
      <c r="O939" s="42"/>
      <c r="P939" s="42"/>
      <c r="Q939" s="49"/>
      <c r="R939" s="49"/>
      <c r="S939" s="49"/>
      <c r="T939" s="49"/>
      <c r="U939" s="49"/>
      <c r="V939" s="49"/>
      <c r="W939" s="49"/>
      <c r="X939" s="49"/>
      <c r="Y939" s="49"/>
      <c r="Z939" s="49"/>
      <c r="AA939" s="49"/>
      <c r="AB939" s="49"/>
      <c r="AC939" s="49"/>
      <c r="AD939" s="49"/>
    </row>
    <row r="940">
      <c r="A940" s="49"/>
      <c r="B940" s="49"/>
      <c r="C940" s="146"/>
      <c r="D940" s="146"/>
      <c r="E940" s="49"/>
      <c r="F940" s="49"/>
      <c r="G940" s="49"/>
      <c r="H940" s="42"/>
      <c r="I940" s="49"/>
      <c r="J940" s="42"/>
      <c r="K940" s="49"/>
      <c r="L940" s="49"/>
      <c r="M940" s="42"/>
      <c r="N940" s="42"/>
      <c r="O940" s="42"/>
      <c r="P940" s="42"/>
      <c r="Q940" s="49"/>
      <c r="R940" s="49"/>
      <c r="S940" s="49"/>
      <c r="T940" s="49"/>
      <c r="U940" s="49"/>
      <c r="V940" s="49"/>
      <c r="W940" s="49"/>
      <c r="X940" s="49"/>
      <c r="Y940" s="49"/>
      <c r="Z940" s="49"/>
      <c r="AA940" s="49"/>
      <c r="AB940" s="49"/>
      <c r="AC940" s="49"/>
      <c r="AD940" s="49"/>
    </row>
    <row r="941">
      <c r="A941" s="49"/>
      <c r="B941" s="49"/>
      <c r="C941" s="146"/>
      <c r="D941" s="146"/>
      <c r="E941" s="49"/>
      <c r="F941" s="49"/>
      <c r="G941" s="49"/>
      <c r="H941" s="42"/>
      <c r="I941" s="49"/>
      <c r="J941" s="42"/>
      <c r="K941" s="49"/>
      <c r="L941" s="49"/>
      <c r="M941" s="42"/>
      <c r="N941" s="42"/>
      <c r="O941" s="42"/>
      <c r="P941" s="42"/>
      <c r="Q941" s="49"/>
      <c r="R941" s="49"/>
      <c r="S941" s="49"/>
      <c r="T941" s="49"/>
      <c r="U941" s="49"/>
      <c r="V941" s="49"/>
      <c r="W941" s="49"/>
      <c r="X941" s="49"/>
      <c r="Y941" s="49"/>
      <c r="Z941" s="49"/>
      <c r="AA941" s="49"/>
      <c r="AB941" s="49"/>
      <c r="AC941" s="49"/>
      <c r="AD941" s="49"/>
    </row>
    <row r="942">
      <c r="A942" s="49"/>
      <c r="B942" s="49"/>
      <c r="C942" s="146"/>
      <c r="D942" s="146"/>
      <c r="E942" s="49"/>
      <c r="F942" s="49"/>
      <c r="G942" s="49"/>
      <c r="H942" s="42"/>
      <c r="I942" s="49"/>
      <c r="J942" s="42"/>
      <c r="K942" s="49"/>
      <c r="L942" s="49"/>
      <c r="M942" s="42"/>
      <c r="N942" s="42"/>
      <c r="O942" s="42"/>
      <c r="P942" s="42"/>
      <c r="Q942" s="49"/>
      <c r="R942" s="49"/>
      <c r="S942" s="49"/>
      <c r="T942" s="49"/>
      <c r="U942" s="49"/>
      <c r="V942" s="49"/>
      <c r="W942" s="49"/>
      <c r="X942" s="49"/>
      <c r="Y942" s="49"/>
      <c r="Z942" s="49"/>
      <c r="AA942" s="49"/>
      <c r="AB942" s="49"/>
      <c r="AC942" s="49"/>
      <c r="AD942" s="49"/>
    </row>
    <row r="943">
      <c r="A943" s="49"/>
      <c r="B943" s="49"/>
      <c r="C943" s="146"/>
      <c r="D943" s="146"/>
      <c r="E943" s="49"/>
      <c r="F943" s="49"/>
      <c r="G943" s="49"/>
      <c r="H943" s="42"/>
      <c r="I943" s="49"/>
      <c r="J943" s="42"/>
      <c r="K943" s="49"/>
      <c r="L943" s="49"/>
      <c r="M943" s="42"/>
      <c r="N943" s="42"/>
      <c r="O943" s="42"/>
      <c r="P943" s="42"/>
      <c r="Q943" s="49"/>
      <c r="R943" s="49"/>
      <c r="S943" s="49"/>
      <c r="T943" s="49"/>
      <c r="U943" s="49"/>
      <c r="V943" s="49"/>
      <c r="W943" s="49"/>
      <c r="X943" s="49"/>
      <c r="Y943" s="49"/>
      <c r="Z943" s="49"/>
      <c r="AA943" s="49"/>
      <c r="AB943" s="49"/>
      <c r="AC943" s="49"/>
      <c r="AD943" s="49"/>
    </row>
    <row r="944">
      <c r="A944" s="49"/>
      <c r="B944" s="49"/>
      <c r="C944" s="146"/>
      <c r="D944" s="146"/>
      <c r="E944" s="49"/>
      <c r="F944" s="49"/>
      <c r="G944" s="49"/>
      <c r="H944" s="42"/>
      <c r="I944" s="49"/>
      <c r="J944" s="42"/>
      <c r="K944" s="49"/>
      <c r="L944" s="49"/>
      <c r="M944" s="42"/>
      <c r="N944" s="42"/>
      <c r="O944" s="42"/>
      <c r="P944" s="42"/>
      <c r="Q944" s="49"/>
      <c r="R944" s="49"/>
      <c r="S944" s="49"/>
      <c r="T944" s="49"/>
      <c r="U944" s="49"/>
      <c r="V944" s="49"/>
      <c r="W944" s="49"/>
      <c r="X944" s="49"/>
      <c r="Y944" s="49"/>
      <c r="Z944" s="49"/>
      <c r="AA944" s="49"/>
      <c r="AB944" s="49"/>
      <c r="AC944" s="49"/>
      <c r="AD944" s="49"/>
    </row>
    <row r="945">
      <c r="A945" s="49"/>
      <c r="B945" s="49"/>
      <c r="C945" s="146"/>
      <c r="D945" s="146"/>
      <c r="E945" s="49"/>
      <c r="F945" s="49"/>
      <c r="G945" s="49"/>
      <c r="H945" s="42"/>
      <c r="I945" s="49"/>
      <c r="J945" s="42"/>
      <c r="K945" s="49"/>
      <c r="L945" s="49"/>
      <c r="M945" s="42"/>
      <c r="N945" s="42"/>
      <c r="O945" s="42"/>
      <c r="P945" s="42"/>
      <c r="Q945" s="49"/>
      <c r="R945" s="49"/>
      <c r="S945" s="49"/>
      <c r="T945" s="49"/>
      <c r="U945" s="49"/>
      <c r="V945" s="49"/>
      <c r="W945" s="49"/>
      <c r="X945" s="49"/>
      <c r="Y945" s="49"/>
      <c r="Z945" s="49"/>
      <c r="AA945" s="49"/>
      <c r="AB945" s="49"/>
      <c r="AC945" s="49"/>
      <c r="AD945" s="49"/>
    </row>
    <row r="946">
      <c r="A946" s="49"/>
      <c r="B946" s="49"/>
      <c r="C946" s="146"/>
      <c r="D946" s="146"/>
      <c r="E946" s="49"/>
      <c r="F946" s="49"/>
      <c r="G946" s="49"/>
      <c r="H946" s="42"/>
      <c r="I946" s="49"/>
      <c r="J946" s="42"/>
      <c r="K946" s="49"/>
      <c r="L946" s="49"/>
      <c r="M946" s="42"/>
      <c r="N946" s="42"/>
      <c r="O946" s="42"/>
      <c r="P946" s="42"/>
      <c r="Q946" s="49"/>
      <c r="R946" s="49"/>
      <c r="S946" s="49"/>
      <c r="T946" s="49"/>
      <c r="U946" s="49"/>
      <c r="V946" s="49"/>
      <c r="W946" s="49"/>
      <c r="X946" s="49"/>
      <c r="Y946" s="49"/>
      <c r="Z946" s="49"/>
      <c r="AA946" s="49"/>
      <c r="AB946" s="49"/>
      <c r="AC946" s="49"/>
      <c r="AD946" s="49"/>
    </row>
    <row r="947">
      <c r="A947" s="49"/>
      <c r="B947" s="49"/>
      <c r="C947" s="146"/>
      <c r="D947" s="146"/>
      <c r="E947" s="49"/>
      <c r="F947" s="49"/>
      <c r="G947" s="49"/>
      <c r="H947" s="42"/>
      <c r="I947" s="49"/>
      <c r="J947" s="42"/>
      <c r="K947" s="49"/>
      <c r="L947" s="49"/>
      <c r="M947" s="42"/>
      <c r="N947" s="42"/>
      <c r="O947" s="42"/>
      <c r="P947" s="42"/>
      <c r="Q947" s="49"/>
      <c r="R947" s="49"/>
      <c r="S947" s="49"/>
      <c r="T947" s="49"/>
      <c r="U947" s="49"/>
      <c r="V947" s="49"/>
      <c r="W947" s="49"/>
      <c r="X947" s="49"/>
      <c r="Y947" s="49"/>
      <c r="Z947" s="49"/>
      <c r="AA947" s="49"/>
      <c r="AB947" s="49"/>
      <c r="AC947" s="49"/>
      <c r="AD947" s="49"/>
    </row>
    <row r="948">
      <c r="A948" s="49"/>
      <c r="B948" s="49"/>
      <c r="C948" s="146"/>
      <c r="D948" s="146"/>
      <c r="E948" s="49"/>
      <c r="F948" s="49"/>
      <c r="G948" s="49"/>
      <c r="H948" s="42"/>
      <c r="I948" s="49"/>
      <c r="J948" s="42"/>
      <c r="K948" s="49"/>
      <c r="L948" s="49"/>
      <c r="M948" s="42"/>
      <c r="N948" s="42"/>
      <c r="O948" s="42"/>
      <c r="P948" s="42"/>
      <c r="Q948" s="49"/>
      <c r="R948" s="49"/>
      <c r="S948" s="49"/>
      <c r="T948" s="49"/>
      <c r="U948" s="49"/>
      <c r="V948" s="49"/>
      <c r="W948" s="49"/>
      <c r="X948" s="49"/>
      <c r="Y948" s="49"/>
      <c r="Z948" s="49"/>
      <c r="AA948" s="49"/>
      <c r="AB948" s="49"/>
      <c r="AC948" s="49"/>
      <c r="AD948" s="49"/>
    </row>
    <row r="949">
      <c r="A949" s="49"/>
      <c r="B949" s="49"/>
      <c r="C949" s="146"/>
      <c r="D949" s="146"/>
      <c r="E949" s="49"/>
      <c r="F949" s="49"/>
      <c r="G949" s="49"/>
      <c r="H949" s="42"/>
      <c r="I949" s="49"/>
      <c r="J949" s="42"/>
      <c r="K949" s="49"/>
      <c r="L949" s="49"/>
      <c r="M949" s="42"/>
      <c r="N949" s="42"/>
      <c r="O949" s="42"/>
      <c r="P949" s="42"/>
      <c r="Q949" s="49"/>
      <c r="R949" s="49"/>
      <c r="S949" s="49"/>
      <c r="T949" s="49"/>
      <c r="U949" s="49"/>
      <c r="V949" s="49"/>
      <c r="W949" s="49"/>
      <c r="X949" s="49"/>
      <c r="Y949" s="49"/>
      <c r="Z949" s="49"/>
      <c r="AA949" s="49"/>
      <c r="AB949" s="49"/>
      <c r="AC949" s="49"/>
      <c r="AD949" s="49"/>
    </row>
    <row r="950">
      <c r="A950" s="49"/>
      <c r="B950" s="49"/>
      <c r="C950" s="146"/>
      <c r="D950" s="146"/>
      <c r="E950" s="49"/>
      <c r="F950" s="49"/>
      <c r="G950" s="49"/>
      <c r="H950" s="42"/>
      <c r="I950" s="49"/>
      <c r="J950" s="42"/>
      <c r="K950" s="49"/>
      <c r="L950" s="49"/>
      <c r="M950" s="42"/>
      <c r="N950" s="42"/>
      <c r="O950" s="42"/>
      <c r="P950" s="42"/>
      <c r="Q950" s="49"/>
      <c r="R950" s="49"/>
      <c r="S950" s="49"/>
      <c r="T950" s="49"/>
      <c r="U950" s="49"/>
      <c r="V950" s="49"/>
      <c r="W950" s="49"/>
      <c r="X950" s="49"/>
      <c r="Y950" s="49"/>
      <c r="Z950" s="49"/>
      <c r="AA950" s="49"/>
      <c r="AB950" s="49"/>
      <c r="AC950" s="49"/>
      <c r="AD950" s="49"/>
    </row>
    <row r="951">
      <c r="A951" s="49"/>
      <c r="B951" s="49"/>
      <c r="C951" s="146"/>
      <c r="D951" s="146"/>
      <c r="E951" s="49"/>
      <c r="F951" s="49"/>
      <c r="G951" s="49"/>
      <c r="H951" s="42"/>
      <c r="I951" s="49"/>
      <c r="J951" s="42"/>
      <c r="K951" s="49"/>
      <c r="L951" s="49"/>
      <c r="M951" s="42"/>
      <c r="N951" s="42"/>
      <c r="O951" s="42"/>
      <c r="P951" s="42"/>
      <c r="Q951" s="49"/>
      <c r="R951" s="49"/>
      <c r="S951" s="49"/>
      <c r="T951" s="49"/>
      <c r="U951" s="49"/>
      <c r="V951" s="49"/>
      <c r="W951" s="49"/>
      <c r="X951" s="49"/>
      <c r="Y951" s="49"/>
      <c r="Z951" s="49"/>
      <c r="AA951" s="49"/>
      <c r="AB951" s="49"/>
      <c r="AC951" s="49"/>
      <c r="AD951" s="49"/>
    </row>
    <row r="952">
      <c r="A952" s="49"/>
      <c r="B952" s="49"/>
      <c r="C952" s="146"/>
      <c r="D952" s="146"/>
      <c r="E952" s="49"/>
      <c r="F952" s="49"/>
      <c r="G952" s="49"/>
      <c r="H952" s="42"/>
      <c r="I952" s="49"/>
      <c r="J952" s="42"/>
      <c r="K952" s="49"/>
      <c r="L952" s="49"/>
      <c r="M952" s="42"/>
      <c r="N952" s="42"/>
      <c r="O952" s="42"/>
      <c r="P952" s="42"/>
      <c r="Q952" s="49"/>
      <c r="R952" s="49"/>
      <c r="S952" s="49"/>
      <c r="T952" s="49"/>
      <c r="U952" s="49"/>
      <c r="V952" s="49"/>
      <c r="W952" s="49"/>
      <c r="X952" s="49"/>
      <c r="Y952" s="49"/>
      <c r="Z952" s="49"/>
      <c r="AA952" s="49"/>
      <c r="AB952" s="49"/>
      <c r="AC952" s="49"/>
      <c r="AD952" s="49"/>
    </row>
    <row r="953">
      <c r="A953" s="49"/>
      <c r="B953" s="49"/>
      <c r="C953" s="146"/>
      <c r="D953" s="146"/>
      <c r="E953" s="49"/>
      <c r="F953" s="49"/>
      <c r="G953" s="49"/>
      <c r="H953" s="42"/>
      <c r="I953" s="49"/>
      <c r="J953" s="42"/>
      <c r="K953" s="49"/>
      <c r="L953" s="49"/>
      <c r="M953" s="42"/>
      <c r="N953" s="42"/>
      <c r="O953" s="42"/>
      <c r="P953" s="42"/>
      <c r="Q953" s="49"/>
      <c r="R953" s="49"/>
      <c r="S953" s="49"/>
      <c r="T953" s="49"/>
      <c r="U953" s="49"/>
      <c r="V953" s="49"/>
      <c r="W953" s="49"/>
      <c r="X953" s="49"/>
      <c r="Y953" s="49"/>
      <c r="Z953" s="49"/>
      <c r="AA953" s="49"/>
      <c r="AB953" s="49"/>
      <c r="AC953" s="49"/>
      <c r="AD953" s="49"/>
    </row>
    <row r="954">
      <c r="A954" s="49"/>
      <c r="B954" s="49"/>
      <c r="C954" s="146"/>
      <c r="D954" s="146"/>
      <c r="E954" s="49"/>
      <c r="F954" s="49"/>
      <c r="G954" s="49"/>
      <c r="H954" s="42"/>
      <c r="I954" s="49"/>
      <c r="J954" s="42"/>
      <c r="K954" s="49"/>
      <c r="L954" s="49"/>
      <c r="M954" s="42"/>
      <c r="N954" s="42"/>
      <c r="O954" s="42"/>
      <c r="P954" s="42"/>
      <c r="Q954" s="49"/>
      <c r="R954" s="49"/>
      <c r="S954" s="49"/>
      <c r="T954" s="49"/>
      <c r="U954" s="49"/>
      <c r="V954" s="49"/>
      <c r="W954" s="49"/>
      <c r="X954" s="49"/>
      <c r="Y954" s="49"/>
      <c r="Z954" s="49"/>
      <c r="AA954" s="49"/>
      <c r="AB954" s="49"/>
      <c r="AC954" s="49"/>
      <c r="AD954" s="49"/>
    </row>
    <row r="955">
      <c r="A955" s="49"/>
      <c r="B955" s="49"/>
      <c r="C955" s="146"/>
      <c r="D955" s="146"/>
      <c r="E955" s="49"/>
      <c r="F955" s="49"/>
      <c r="G955" s="49"/>
      <c r="H955" s="42"/>
      <c r="I955" s="49"/>
      <c r="J955" s="42"/>
      <c r="K955" s="49"/>
      <c r="L955" s="49"/>
      <c r="M955" s="42"/>
      <c r="N955" s="42"/>
      <c r="O955" s="42"/>
      <c r="P955" s="42"/>
      <c r="Q955" s="49"/>
      <c r="R955" s="49"/>
      <c r="S955" s="49"/>
      <c r="T955" s="49"/>
      <c r="U955" s="49"/>
      <c r="V955" s="49"/>
      <c r="W955" s="49"/>
      <c r="X955" s="49"/>
      <c r="Y955" s="49"/>
      <c r="Z955" s="49"/>
      <c r="AA955" s="49"/>
      <c r="AB955" s="49"/>
      <c r="AC955" s="49"/>
      <c r="AD955" s="49"/>
    </row>
    <row r="956">
      <c r="A956" s="49"/>
      <c r="B956" s="49"/>
      <c r="C956" s="146"/>
      <c r="D956" s="146"/>
      <c r="E956" s="49"/>
      <c r="F956" s="49"/>
      <c r="G956" s="49"/>
      <c r="H956" s="42"/>
      <c r="I956" s="49"/>
      <c r="J956" s="42"/>
      <c r="K956" s="49"/>
      <c r="L956" s="49"/>
      <c r="M956" s="42"/>
      <c r="N956" s="42"/>
      <c r="O956" s="42"/>
      <c r="P956" s="42"/>
      <c r="Q956" s="49"/>
      <c r="R956" s="49"/>
      <c r="S956" s="49"/>
      <c r="T956" s="49"/>
      <c r="U956" s="49"/>
      <c r="V956" s="49"/>
      <c r="W956" s="49"/>
      <c r="X956" s="49"/>
      <c r="Y956" s="49"/>
      <c r="Z956" s="49"/>
      <c r="AA956" s="49"/>
      <c r="AB956" s="49"/>
      <c r="AC956" s="49"/>
      <c r="AD956" s="49"/>
    </row>
    <row r="957">
      <c r="A957" s="49"/>
      <c r="B957" s="49"/>
      <c r="C957" s="146"/>
      <c r="D957" s="146"/>
      <c r="E957" s="49"/>
      <c r="F957" s="49"/>
      <c r="G957" s="49"/>
      <c r="H957" s="42"/>
      <c r="I957" s="49"/>
      <c r="J957" s="42"/>
      <c r="K957" s="49"/>
      <c r="L957" s="49"/>
      <c r="M957" s="42"/>
      <c r="N957" s="42"/>
      <c r="O957" s="42"/>
      <c r="P957" s="42"/>
      <c r="Q957" s="49"/>
      <c r="R957" s="49"/>
      <c r="S957" s="49"/>
      <c r="T957" s="49"/>
      <c r="U957" s="49"/>
      <c r="V957" s="49"/>
      <c r="W957" s="49"/>
      <c r="X957" s="49"/>
      <c r="Y957" s="49"/>
      <c r="Z957" s="49"/>
      <c r="AA957" s="49"/>
      <c r="AB957" s="49"/>
      <c r="AC957" s="49"/>
      <c r="AD957" s="49"/>
    </row>
    <row r="958">
      <c r="A958" s="49"/>
      <c r="B958" s="49"/>
      <c r="C958" s="146"/>
      <c r="D958" s="146"/>
      <c r="E958" s="49"/>
      <c r="F958" s="49"/>
      <c r="G958" s="49"/>
      <c r="H958" s="42"/>
      <c r="I958" s="49"/>
      <c r="J958" s="42"/>
      <c r="K958" s="49"/>
      <c r="L958" s="49"/>
      <c r="M958" s="42"/>
      <c r="N958" s="42"/>
      <c r="O958" s="42"/>
      <c r="P958" s="42"/>
      <c r="Q958" s="49"/>
      <c r="R958" s="49"/>
      <c r="S958" s="49"/>
      <c r="T958" s="49"/>
      <c r="U958" s="49"/>
      <c r="V958" s="49"/>
      <c r="W958" s="49"/>
      <c r="X958" s="49"/>
      <c r="Y958" s="49"/>
      <c r="Z958" s="49"/>
      <c r="AA958" s="49"/>
      <c r="AB958" s="49"/>
      <c r="AC958" s="49"/>
      <c r="AD958" s="49"/>
    </row>
    <row r="959">
      <c r="A959" s="49"/>
      <c r="B959" s="49"/>
      <c r="C959" s="146"/>
      <c r="D959" s="146"/>
      <c r="E959" s="49"/>
      <c r="F959" s="49"/>
      <c r="G959" s="49"/>
      <c r="H959" s="42"/>
      <c r="I959" s="49"/>
      <c r="J959" s="42"/>
      <c r="K959" s="49"/>
      <c r="L959" s="49"/>
      <c r="M959" s="42"/>
      <c r="N959" s="42"/>
      <c r="O959" s="42"/>
      <c r="P959" s="42"/>
      <c r="Q959" s="49"/>
      <c r="R959" s="49"/>
      <c r="S959" s="49"/>
      <c r="T959" s="49"/>
      <c r="U959" s="49"/>
      <c r="V959" s="49"/>
      <c r="W959" s="49"/>
      <c r="X959" s="49"/>
      <c r="Y959" s="49"/>
      <c r="Z959" s="49"/>
      <c r="AA959" s="49"/>
      <c r="AB959" s="49"/>
      <c r="AC959" s="49"/>
      <c r="AD959" s="49"/>
    </row>
    <row r="960">
      <c r="A960" s="49"/>
      <c r="B960" s="49"/>
      <c r="C960" s="146"/>
      <c r="D960" s="146"/>
      <c r="E960" s="49"/>
      <c r="F960" s="49"/>
      <c r="G960" s="49"/>
      <c r="H960" s="42"/>
      <c r="I960" s="49"/>
      <c r="J960" s="42"/>
      <c r="K960" s="49"/>
      <c r="L960" s="49"/>
      <c r="M960" s="42"/>
      <c r="N960" s="42"/>
      <c r="O960" s="42"/>
      <c r="P960" s="42"/>
      <c r="Q960" s="49"/>
      <c r="R960" s="49"/>
      <c r="S960" s="49"/>
      <c r="T960" s="49"/>
      <c r="U960" s="49"/>
      <c r="V960" s="49"/>
      <c r="W960" s="49"/>
      <c r="X960" s="49"/>
      <c r="Y960" s="49"/>
      <c r="Z960" s="49"/>
      <c r="AA960" s="49"/>
      <c r="AB960" s="49"/>
      <c r="AC960" s="49"/>
      <c r="AD960" s="49"/>
    </row>
    <row r="961">
      <c r="A961" s="49"/>
      <c r="B961" s="49"/>
      <c r="C961" s="146"/>
      <c r="D961" s="146"/>
      <c r="E961" s="49"/>
      <c r="F961" s="49"/>
      <c r="G961" s="49"/>
      <c r="H961" s="42"/>
      <c r="I961" s="49"/>
      <c r="J961" s="42"/>
      <c r="K961" s="49"/>
      <c r="L961" s="49"/>
      <c r="M961" s="42"/>
      <c r="N961" s="42"/>
      <c r="O961" s="42"/>
      <c r="P961" s="42"/>
      <c r="Q961" s="49"/>
      <c r="R961" s="49"/>
      <c r="S961" s="49"/>
      <c r="T961" s="49"/>
      <c r="U961" s="49"/>
      <c r="V961" s="49"/>
      <c r="W961" s="49"/>
      <c r="X961" s="49"/>
      <c r="Y961" s="49"/>
      <c r="Z961" s="49"/>
      <c r="AA961" s="49"/>
      <c r="AB961" s="49"/>
      <c r="AC961" s="49"/>
      <c r="AD961" s="49"/>
    </row>
    <row r="962">
      <c r="A962" s="49"/>
      <c r="B962" s="49"/>
      <c r="C962" s="146"/>
      <c r="D962" s="146"/>
      <c r="E962" s="49"/>
      <c r="F962" s="49"/>
      <c r="G962" s="49"/>
      <c r="H962" s="42"/>
      <c r="I962" s="49"/>
      <c r="J962" s="42"/>
      <c r="K962" s="49"/>
      <c r="L962" s="49"/>
      <c r="M962" s="42"/>
      <c r="N962" s="42"/>
      <c r="O962" s="42"/>
      <c r="P962" s="42"/>
      <c r="Q962" s="49"/>
      <c r="R962" s="49"/>
      <c r="S962" s="49"/>
      <c r="T962" s="49"/>
      <c r="U962" s="49"/>
      <c r="V962" s="49"/>
      <c r="W962" s="49"/>
      <c r="X962" s="49"/>
      <c r="Y962" s="49"/>
      <c r="Z962" s="49"/>
      <c r="AA962" s="49"/>
      <c r="AB962" s="49"/>
      <c r="AC962" s="49"/>
      <c r="AD962" s="49"/>
    </row>
    <row r="963">
      <c r="A963" s="49"/>
      <c r="B963" s="49"/>
      <c r="C963" s="146"/>
      <c r="D963" s="146"/>
      <c r="E963" s="49"/>
      <c r="F963" s="49"/>
      <c r="G963" s="49"/>
      <c r="H963" s="42"/>
      <c r="I963" s="49"/>
      <c r="J963" s="42"/>
      <c r="K963" s="49"/>
      <c r="L963" s="49"/>
      <c r="M963" s="42"/>
      <c r="N963" s="42"/>
      <c r="O963" s="42"/>
      <c r="P963" s="42"/>
      <c r="Q963" s="49"/>
      <c r="R963" s="49"/>
      <c r="S963" s="49"/>
      <c r="T963" s="49"/>
      <c r="U963" s="49"/>
      <c r="V963" s="49"/>
      <c r="W963" s="49"/>
      <c r="X963" s="49"/>
      <c r="Y963" s="49"/>
      <c r="Z963" s="49"/>
      <c r="AA963" s="49"/>
      <c r="AB963" s="49"/>
      <c r="AC963" s="49"/>
      <c r="AD963" s="49"/>
    </row>
    <row r="964">
      <c r="A964" s="49"/>
      <c r="B964" s="49"/>
      <c r="C964" s="146"/>
      <c r="D964" s="146"/>
      <c r="E964" s="49"/>
      <c r="F964" s="49"/>
      <c r="G964" s="49"/>
      <c r="H964" s="42"/>
      <c r="I964" s="49"/>
      <c r="J964" s="42"/>
      <c r="K964" s="49"/>
      <c r="L964" s="49"/>
      <c r="M964" s="42"/>
      <c r="N964" s="42"/>
      <c r="O964" s="42"/>
      <c r="P964" s="42"/>
      <c r="Q964" s="49"/>
      <c r="R964" s="49"/>
      <c r="S964" s="49"/>
      <c r="T964" s="49"/>
      <c r="U964" s="49"/>
      <c r="V964" s="49"/>
      <c r="W964" s="49"/>
      <c r="X964" s="49"/>
      <c r="Y964" s="49"/>
      <c r="Z964" s="49"/>
      <c r="AA964" s="49"/>
      <c r="AB964" s="49"/>
      <c r="AC964" s="49"/>
      <c r="AD964" s="49"/>
    </row>
    <row r="965">
      <c r="A965" s="49"/>
      <c r="B965" s="49"/>
      <c r="C965" s="146"/>
      <c r="D965" s="146"/>
      <c r="E965" s="49"/>
      <c r="F965" s="49"/>
      <c r="G965" s="49"/>
      <c r="H965" s="42"/>
      <c r="I965" s="49"/>
      <c r="J965" s="42"/>
      <c r="K965" s="49"/>
      <c r="L965" s="49"/>
      <c r="M965" s="42"/>
      <c r="N965" s="42"/>
      <c r="O965" s="42"/>
      <c r="P965" s="42"/>
      <c r="Q965" s="49"/>
      <c r="R965" s="49"/>
      <c r="S965" s="49"/>
      <c r="T965" s="49"/>
      <c r="U965" s="49"/>
      <c r="V965" s="49"/>
      <c r="W965" s="49"/>
      <c r="X965" s="49"/>
      <c r="Y965" s="49"/>
      <c r="Z965" s="49"/>
      <c r="AA965" s="49"/>
      <c r="AB965" s="49"/>
      <c r="AC965" s="49"/>
      <c r="AD965" s="49"/>
    </row>
    <row r="966">
      <c r="A966" s="49"/>
      <c r="B966" s="49"/>
      <c r="C966" s="146"/>
      <c r="D966" s="146"/>
      <c r="E966" s="49"/>
      <c r="F966" s="49"/>
      <c r="G966" s="49"/>
      <c r="H966" s="42"/>
      <c r="I966" s="49"/>
      <c r="J966" s="42"/>
      <c r="K966" s="49"/>
      <c r="L966" s="49"/>
      <c r="M966" s="42"/>
      <c r="N966" s="42"/>
      <c r="O966" s="42"/>
      <c r="P966" s="42"/>
      <c r="Q966" s="49"/>
      <c r="R966" s="49"/>
      <c r="S966" s="49"/>
      <c r="T966" s="49"/>
      <c r="U966" s="49"/>
      <c r="V966" s="49"/>
      <c r="W966" s="49"/>
      <c r="X966" s="49"/>
      <c r="Y966" s="49"/>
      <c r="Z966" s="49"/>
      <c r="AA966" s="49"/>
      <c r="AB966" s="49"/>
      <c r="AC966" s="49"/>
      <c r="AD966" s="49"/>
    </row>
    <row r="967">
      <c r="A967" s="49"/>
      <c r="B967" s="49"/>
      <c r="C967" s="146"/>
      <c r="D967" s="146"/>
      <c r="E967" s="49"/>
      <c r="F967" s="49"/>
      <c r="G967" s="49"/>
      <c r="H967" s="42"/>
      <c r="I967" s="49"/>
      <c r="J967" s="42"/>
      <c r="K967" s="49"/>
      <c r="L967" s="49"/>
      <c r="M967" s="42"/>
      <c r="N967" s="42"/>
      <c r="O967" s="42"/>
      <c r="P967" s="42"/>
      <c r="Q967" s="49"/>
      <c r="R967" s="49"/>
      <c r="S967" s="49"/>
      <c r="T967" s="49"/>
      <c r="U967" s="49"/>
      <c r="V967" s="49"/>
      <c r="W967" s="49"/>
      <c r="X967" s="49"/>
      <c r="Y967" s="49"/>
      <c r="Z967" s="49"/>
      <c r="AA967" s="49"/>
      <c r="AB967" s="49"/>
      <c r="AC967" s="49"/>
      <c r="AD967" s="49"/>
    </row>
    <row r="968">
      <c r="A968" s="49"/>
      <c r="B968" s="49"/>
      <c r="C968" s="146"/>
      <c r="D968" s="146"/>
      <c r="E968" s="49"/>
      <c r="F968" s="49"/>
      <c r="G968" s="49"/>
      <c r="H968" s="42"/>
      <c r="I968" s="49"/>
      <c r="J968" s="42"/>
      <c r="K968" s="49"/>
      <c r="L968" s="49"/>
      <c r="M968" s="42"/>
      <c r="N968" s="42"/>
      <c r="O968" s="42"/>
      <c r="P968" s="42"/>
      <c r="Q968" s="49"/>
      <c r="R968" s="49"/>
      <c r="S968" s="49"/>
      <c r="T968" s="49"/>
      <c r="U968" s="49"/>
      <c r="V968" s="49"/>
      <c r="W968" s="49"/>
      <c r="X968" s="49"/>
      <c r="Y968" s="49"/>
      <c r="Z968" s="49"/>
      <c r="AA968" s="49"/>
      <c r="AB968" s="49"/>
      <c r="AC968" s="49"/>
      <c r="AD968" s="49"/>
    </row>
    <row r="969">
      <c r="A969" s="49"/>
      <c r="B969" s="49"/>
      <c r="C969" s="146"/>
      <c r="D969" s="146"/>
      <c r="E969" s="49"/>
      <c r="F969" s="49"/>
      <c r="G969" s="49"/>
      <c r="H969" s="42"/>
      <c r="I969" s="49"/>
      <c r="J969" s="42"/>
      <c r="K969" s="49"/>
      <c r="L969" s="49"/>
      <c r="M969" s="42"/>
      <c r="N969" s="42"/>
      <c r="O969" s="42"/>
      <c r="P969" s="42"/>
      <c r="Q969" s="49"/>
      <c r="R969" s="49"/>
      <c r="S969" s="49"/>
      <c r="T969" s="49"/>
      <c r="U969" s="49"/>
      <c r="V969" s="49"/>
      <c r="W969" s="49"/>
      <c r="X969" s="49"/>
      <c r="Y969" s="49"/>
      <c r="Z969" s="49"/>
      <c r="AA969" s="49"/>
      <c r="AB969" s="49"/>
      <c r="AC969" s="49"/>
      <c r="AD969" s="49"/>
    </row>
    <row r="970">
      <c r="A970" s="49"/>
      <c r="B970" s="49"/>
      <c r="C970" s="146"/>
      <c r="D970" s="146"/>
      <c r="E970" s="49"/>
      <c r="F970" s="49"/>
      <c r="G970" s="49"/>
      <c r="H970" s="42"/>
      <c r="I970" s="49"/>
      <c r="J970" s="42"/>
      <c r="K970" s="49"/>
      <c r="L970" s="49"/>
      <c r="M970" s="42"/>
      <c r="N970" s="42"/>
      <c r="O970" s="42"/>
      <c r="P970" s="42"/>
      <c r="Q970" s="49"/>
      <c r="R970" s="49"/>
      <c r="S970" s="49"/>
      <c r="T970" s="49"/>
      <c r="U970" s="49"/>
      <c r="V970" s="49"/>
      <c r="W970" s="49"/>
      <c r="X970" s="49"/>
      <c r="Y970" s="49"/>
      <c r="Z970" s="49"/>
      <c r="AA970" s="49"/>
      <c r="AB970" s="49"/>
      <c r="AC970" s="49"/>
      <c r="AD970" s="49"/>
    </row>
    <row r="971">
      <c r="A971" s="49"/>
      <c r="B971" s="49"/>
      <c r="C971" s="146"/>
      <c r="D971" s="146"/>
      <c r="E971" s="49"/>
      <c r="F971" s="49"/>
      <c r="G971" s="49"/>
      <c r="H971" s="42"/>
      <c r="I971" s="49"/>
      <c r="J971" s="42"/>
      <c r="K971" s="49"/>
      <c r="L971" s="49"/>
      <c r="M971" s="42"/>
      <c r="N971" s="42"/>
      <c r="O971" s="42"/>
      <c r="P971" s="42"/>
      <c r="Q971" s="49"/>
      <c r="R971" s="49"/>
      <c r="S971" s="49"/>
      <c r="T971" s="49"/>
      <c r="U971" s="49"/>
      <c r="V971" s="49"/>
      <c r="W971" s="49"/>
      <c r="X971" s="49"/>
      <c r="Y971" s="49"/>
      <c r="Z971" s="49"/>
      <c r="AA971" s="49"/>
      <c r="AB971" s="49"/>
      <c r="AC971" s="49"/>
      <c r="AD971" s="49"/>
    </row>
    <row r="972">
      <c r="A972" s="49"/>
      <c r="B972" s="49"/>
      <c r="C972" s="146"/>
      <c r="D972" s="146"/>
      <c r="E972" s="49"/>
      <c r="F972" s="49"/>
      <c r="G972" s="49"/>
      <c r="H972" s="42"/>
      <c r="I972" s="49"/>
      <c r="J972" s="42"/>
      <c r="K972" s="49"/>
      <c r="L972" s="49"/>
      <c r="M972" s="42"/>
      <c r="N972" s="42"/>
      <c r="O972" s="42"/>
      <c r="P972" s="42"/>
      <c r="Q972" s="49"/>
      <c r="R972" s="49"/>
      <c r="S972" s="49"/>
      <c r="T972" s="49"/>
      <c r="U972" s="49"/>
      <c r="V972" s="49"/>
      <c r="W972" s="49"/>
      <c r="X972" s="49"/>
      <c r="Y972" s="49"/>
      <c r="Z972" s="49"/>
      <c r="AA972" s="49"/>
      <c r="AB972" s="49"/>
      <c r="AC972" s="49"/>
      <c r="AD972" s="49"/>
    </row>
    <row r="973">
      <c r="A973" s="49"/>
      <c r="B973" s="49"/>
      <c r="C973" s="146"/>
      <c r="D973" s="146"/>
      <c r="E973" s="49"/>
      <c r="F973" s="49"/>
      <c r="G973" s="49"/>
      <c r="H973" s="42"/>
      <c r="I973" s="49"/>
      <c r="J973" s="42"/>
      <c r="K973" s="49"/>
      <c r="L973" s="49"/>
      <c r="M973" s="42"/>
      <c r="N973" s="42"/>
      <c r="O973" s="42"/>
      <c r="P973" s="42"/>
      <c r="Q973" s="49"/>
      <c r="R973" s="49"/>
      <c r="S973" s="49"/>
      <c r="T973" s="49"/>
      <c r="U973" s="49"/>
      <c r="V973" s="49"/>
      <c r="W973" s="49"/>
      <c r="X973" s="49"/>
      <c r="Y973" s="49"/>
      <c r="Z973" s="49"/>
      <c r="AA973" s="49"/>
      <c r="AB973" s="49"/>
      <c r="AC973" s="49"/>
      <c r="AD973" s="49"/>
    </row>
    <row r="974">
      <c r="A974" s="49"/>
      <c r="B974" s="49"/>
      <c r="C974" s="146"/>
      <c r="D974" s="146"/>
      <c r="E974" s="49"/>
      <c r="F974" s="49"/>
      <c r="G974" s="49"/>
      <c r="H974" s="42"/>
      <c r="I974" s="49"/>
      <c r="J974" s="42"/>
      <c r="K974" s="49"/>
      <c r="L974" s="49"/>
      <c r="M974" s="42"/>
      <c r="N974" s="42"/>
      <c r="O974" s="42"/>
      <c r="P974" s="42"/>
      <c r="Q974" s="49"/>
      <c r="R974" s="49"/>
      <c r="S974" s="49"/>
      <c r="T974" s="49"/>
      <c r="U974" s="49"/>
      <c r="V974" s="49"/>
      <c r="W974" s="49"/>
      <c r="X974" s="49"/>
      <c r="Y974" s="49"/>
      <c r="Z974" s="49"/>
      <c r="AA974" s="49"/>
      <c r="AB974" s="49"/>
      <c r="AC974" s="49"/>
      <c r="AD974" s="49"/>
    </row>
    <row r="975">
      <c r="A975" s="49"/>
      <c r="B975" s="49"/>
      <c r="C975" s="146"/>
      <c r="D975" s="146"/>
      <c r="E975" s="49"/>
      <c r="F975" s="49"/>
      <c r="G975" s="49"/>
      <c r="H975" s="42"/>
      <c r="I975" s="49"/>
      <c r="J975" s="42"/>
      <c r="K975" s="49"/>
      <c r="L975" s="49"/>
      <c r="M975" s="42"/>
      <c r="N975" s="42"/>
      <c r="O975" s="42"/>
      <c r="P975" s="42"/>
      <c r="Q975" s="49"/>
      <c r="R975" s="49"/>
      <c r="S975" s="49"/>
      <c r="T975" s="49"/>
      <c r="U975" s="49"/>
      <c r="V975" s="49"/>
      <c r="W975" s="49"/>
      <c r="X975" s="49"/>
      <c r="Y975" s="49"/>
      <c r="Z975" s="49"/>
      <c r="AA975" s="49"/>
      <c r="AB975" s="49"/>
      <c r="AC975" s="49"/>
      <c r="AD975" s="49"/>
    </row>
  </sheetData>
  <conditionalFormatting sqref="A2:A65 A67:A975">
    <cfRule type="expression" dxfId="7" priority="1">
      <formula>countif(A:A, A2)&gt;1</formula>
    </cfRule>
  </conditionalFormatting>
  <dataValidations>
    <dataValidation type="list" allowBlank="1" showErrorMessage="1" sqref="L2:M975">
      <formula1>"Yes,No,Absent"</formula1>
    </dataValidation>
  </dataValidations>
  <drawing r:id="rId1"/>
  <tableParts count="19">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7.25"/>
    <col customWidth="1" min="3" max="3" width="11.0"/>
    <col customWidth="1" min="4" max="4" width="11.5"/>
    <col customWidth="1" min="5" max="5" width="12.25"/>
    <col customWidth="1" min="6" max="6" width="21.63"/>
    <col customWidth="1" min="8" max="8" width="13.88"/>
    <col customWidth="1" min="11" max="11" width="15.25"/>
    <col customWidth="1" min="12" max="12" width="24.88"/>
    <col customWidth="1" min="13" max="13" width="28.0"/>
    <col customWidth="1" min="14" max="14" width="59.5"/>
  </cols>
  <sheetData>
    <row r="1">
      <c r="A1" s="40" t="s">
        <v>1816</v>
      </c>
      <c r="B1" s="40" t="s">
        <v>1793</v>
      </c>
      <c r="C1" s="39" t="s">
        <v>1747</v>
      </c>
      <c r="D1" s="39" t="s">
        <v>17</v>
      </c>
      <c r="E1" s="39" t="s">
        <v>1799</v>
      </c>
      <c r="F1" s="40" t="s">
        <v>1800</v>
      </c>
      <c r="G1" s="40" t="s">
        <v>1801</v>
      </c>
      <c r="H1" s="40" t="s">
        <v>1802</v>
      </c>
      <c r="I1" s="40" t="s">
        <v>1803</v>
      </c>
      <c r="J1" s="40" t="s">
        <v>1804</v>
      </c>
      <c r="K1" s="39" t="s">
        <v>1806</v>
      </c>
      <c r="L1" s="40" t="s">
        <v>1807</v>
      </c>
      <c r="M1" s="40" t="s">
        <v>1809</v>
      </c>
      <c r="N1" s="40" t="s">
        <v>1810</v>
      </c>
      <c r="O1" s="40" t="s">
        <v>1811</v>
      </c>
      <c r="P1" s="40" t="s">
        <v>1812</v>
      </c>
      <c r="Q1" s="42"/>
      <c r="R1" s="42"/>
      <c r="S1" s="42"/>
      <c r="T1" s="42"/>
      <c r="U1" s="42"/>
      <c r="V1" s="42"/>
      <c r="W1" s="42"/>
      <c r="X1" s="42"/>
      <c r="Y1" s="42"/>
      <c r="Z1" s="42"/>
      <c r="AA1" s="42"/>
      <c r="AB1" s="42"/>
    </row>
    <row r="2">
      <c r="A2" s="50" t="s">
        <v>1825</v>
      </c>
      <c r="B2" s="43" t="s">
        <v>1826</v>
      </c>
      <c r="C2" s="51" t="s">
        <v>51</v>
      </c>
      <c r="D2" s="43" t="s">
        <v>1828</v>
      </c>
      <c r="E2" s="43" t="s">
        <v>1748</v>
      </c>
      <c r="F2" s="52" t="s">
        <v>1829</v>
      </c>
      <c r="G2" s="43" t="s">
        <v>1831</v>
      </c>
      <c r="H2" s="43">
        <v>2.0</v>
      </c>
      <c r="I2" s="43">
        <v>3.0</v>
      </c>
      <c r="J2" s="47" t="s">
        <v>1833</v>
      </c>
      <c r="K2" s="47"/>
      <c r="L2" s="43" t="s">
        <v>1836</v>
      </c>
      <c r="M2" s="43" t="s">
        <v>1831</v>
      </c>
      <c r="N2" s="43" t="s">
        <v>1837</v>
      </c>
      <c r="O2" s="48"/>
      <c r="P2" s="48"/>
    </row>
    <row r="3">
      <c r="A3" s="50" t="s">
        <v>1042</v>
      </c>
      <c r="B3" s="43" t="s">
        <v>1044</v>
      </c>
      <c r="C3" s="51" t="s">
        <v>603</v>
      </c>
      <c r="D3" s="43" t="s">
        <v>59</v>
      </c>
      <c r="E3" s="43" t="s">
        <v>1761</v>
      </c>
      <c r="F3" s="52" t="s">
        <v>1840</v>
      </c>
      <c r="G3" s="43">
        <v>4.0</v>
      </c>
      <c r="H3" s="43" t="s">
        <v>1831</v>
      </c>
      <c r="I3" s="43">
        <v>3.5</v>
      </c>
      <c r="J3" s="47" t="s">
        <v>1842</v>
      </c>
      <c r="K3" s="47"/>
      <c r="L3" s="43" t="s">
        <v>1843</v>
      </c>
      <c r="M3" s="43" t="s">
        <v>1844</v>
      </c>
      <c r="N3" s="43" t="s">
        <v>1845</v>
      </c>
      <c r="O3" s="48"/>
      <c r="P3" s="48"/>
    </row>
    <row r="4">
      <c r="A4" s="50" t="s">
        <v>811</v>
      </c>
      <c r="B4" s="43" t="s">
        <v>812</v>
      </c>
      <c r="C4" s="51" t="s">
        <v>603</v>
      </c>
      <c r="D4" s="43" t="s">
        <v>59</v>
      </c>
      <c r="E4" s="43" t="s">
        <v>1761</v>
      </c>
      <c r="F4" s="52" t="s">
        <v>1848</v>
      </c>
      <c r="G4" s="43">
        <v>3.0</v>
      </c>
      <c r="H4" s="43" t="s">
        <v>1831</v>
      </c>
      <c r="I4" s="43">
        <v>3.0</v>
      </c>
      <c r="J4" s="47" t="s">
        <v>1833</v>
      </c>
      <c r="K4" s="47"/>
      <c r="L4" s="43" t="s">
        <v>1851</v>
      </c>
      <c r="M4" s="43" t="s">
        <v>1844</v>
      </c>
      <c r="N4" s="43" t="s">
        <v>1852</v>
      </c>
      <c r="O4" s="48"/>
      <c r="P4" s="48"/>
    </row>
    <row r="5">
      <c r="A5" s="53" t="s">
        <v>918</v>
      </c>
      <c r="B5" s="43" t="s">
        <v>919</v>
      </c>
      <c r="C5" s="53" t="s">
        <v>51</v>
      </c>
      <c r="D5" s="43" t="s">
        <v>59</v>
      </c>
      <c r="E5" s="43" t="s">
        <v>1782</v>
      </c>
      <c r="F5" s="52" t="s">
        <v>1856</v>
      </c>
      <c r="G5" s="43" t="s">
        <v>1831</v>
      </c>
      <c r="H5" s="43">
        <v>1.0</v>
      </c>
      <c r="I5" s="43">
        <v>2.0</v>
      </c>
      <c r="J5" s="47" t="s">
        <v>1833</v>
      </c>
      <c r="K5" s="47"/>
      <c r="L5" s="43" t="s">
        <v>1858</v>
      </c>
      <c r="M5" s="43" t="s">
        <v>1860</v>
      </c>
      <c r="N5" s="43" t="s">
        <v>1861</v>
      </c>
      <c r="O5" s="48"/>
      <c r="P5" s="48"/>
    </row>
    <row r="6">
      <c r="A6" s="53" t="s">
        <v>1107</v>
      </c>
      <c r="B6" s="43" t="s">
        <v>1862</v>
      </c>
      <c r="C6" s="53" t="s">
        <v>51</v>
      </c>
      <c r="D6" s="43" t="s">
        <v>59</v>
      </c>
      <c r="E6" s="43" t="s">
        <v>1782</v>
      </c>
      <c r="F6" s="52" t="s">
        <v>1856</v>
      </c>
      <c r="G6" s="43" t="s">
        <v>1831</v>
      </c>
      <c r="H6" s="43">
        <v>3.0</v>
      </c>
      <c r="I6" s="43">
        <v>3.5</v>
      </c>
      <c r="J6" s="47" t="s">
        <v>1842</v>
      </c>
      <c r="K6" s="47"/>
      <c r="L6" s="43" t="s">
        <v>1865</v>
      </c>
      <c r="M6" s="43" t="s">
        <v>1860</v>
      </c>
      <c r="N6" s="43" t="s">
        <v>1866</v>
      </c>
      <c r="O6" s="48"/>
      <c r="P6" s="48"/>
    </row>
    <row r="7">
      <c r="A7" s="53" t="s">
        <v>1083</v>
      </c>
      <c r="B7" s="43" t="s">
        <v>1085</v>
      </c>
      <c r="C7" s="53" t="s">
        <v>603</v>
      </c>
      <c r="D7" s="43" t="s">
        <v>59</v>
      </c>
      <c r="E7" s="43" t="s">
        <v>1867</v>
      </c>
      <c r="F7" s="52" t="s">
        <v>1868</v>
      </c>
      <c r="G7" s="43">
        <v>4.0</v>
      </c>
      <c r="H7" s="43" t="s">
        <v>1831</v>
      </c>
      <c r="I7" s="43">
        <v>3.0</v>
      </c>
      <c r="J7" s="47" t="s">
        <v>1842</v>
      </c>
      <c r="K7" s="47"/>
      <c r="L7" s="48"/>
      <c r="M7" s="43" t="s">
        <v>1871</v>
      </c>
      <c r="N7" s="43" t="s">
        <v>1873</v>
      </c>
      <c r="O7" s="48"/>
      <c r="P7" s="48"/>
    </row>
    <row r="8">
      <c r="A8" s="53" t="s">
        <v>1076</v>
      </c>
      <c r="B8" s="43" t="s">
        <v>1078</v>
      </c>
      <c r="C8" s="53" t="s">
        <v>603</v>
      </c>
      <c r="D8" s="43" t="s">
        <v>59</v>
      </c>
      <c r="E8" s="43" t="s">
        <v>1867</v>
      </c>
      <c r="F8" s="52" t="s">
        <v>1878</v>
      </c>
      <c r="G8" s="43">
        <v>4.0</v>
      </c>
      <c r="H8" s="43" t="s">
        <v>1831</v>
      </c>
      <c r="I8" s="43">
        <v>4.0</v>
      </c>
      <c r="J8" s="47" t="s">
        <v>1842</v>
      </c>
      <c r="K8" s="47"/>
      <c r="L8" s="48"/>
      <c r="M8" s="43" t="s">
        <v>1871</v>
      </c>
      <c r="N8" s="43" t="s">
        <v>1879</v>
      </c>
      <c r="O8" s="48"/>
      <c r="P8" s="48"/>
    </row>
    <row r="9">
      <c r="A9" s="53" t="s">
        <v>813</v>
      </c>
      <c r="B9" s="43" t="s">
        <v>814</v>
      </c>
      <c r="C9" s="53" t="s">
        <v>51</v>
      </c>
      <c r="D9" s="43" t="s">
        <v>59</v>
      </c>
      <c r="E9" s="43" t="s">
        <v>1780</v>
      </c>
      <c r="F9" s="52" t="s">
        <v>1886</v>
      </c>
      <c r="G9" s="43" t="s">
        <v>1888</v>
      </c>
      <c r="H9" s="43">
        <v>4.0</v>
      </c>
      <c r="I9" s="43">
        <v>4.0</v>
      </c>
      <c r="J9" s="47" t="s">
        <v>1842</v>
      </c>
      <c r="K9" s="47"/>
      <c r="L9" s="48"/>
      <c r="M9" s="43" t="s">
        <v>1890</v>
      </c>
      <c r="N9" s="43" t="s">
        <v>1893</v>
      </c>
      <c r="O9" s="48"/>
      <c r="P9" s="48"/>
    </row>
    <row r="10">
      <c r="A10" s="53" t="s">
        <v>1134</v>
      </c>
      <c r="B10" s="43" t="s">
        <v>1137</v>
      </c>
      <c r="C10" s="53" t="s">
        <v>603</v>
      </c>
      <c r="D10" s="43" t="s">
        <v>59</v>
      </c>
      <c r="E10" s="43" t="s">
        <v>1758</v>
      </c>
      <c r="F10" s="52" t="s">
        <v>1895</v>
      </c>
      <c r="G10" s="43">
        <v>4.0</v>
      </c>
      <c r="H10" s="43" t="s">
        <v>1831</v>
      </c>
      <c r="I10" s="43">
        <v>3.0</v>
      </c>
      <c r="J10" s="47" t="s">
        <v>1842</v>
      </c>
      <c r="K10" s="47"/>
      <c r="L10" s="48"/>
      <c r="M10" s="43" t="s">
        <v>1871</v>
      </c>
      <c r="N10" s="43" t="s">
        <v>1899</v>
      </c>
      <c r="O10" s="48"/>
      <c r="P10" s="48"/>
    </row>
    <row r="11">
      <c r="A11" s="53" t="s">
        <v>789</v>
      </c>
      <c r="B11" s="43" t="s">
        <v>1716</v>
      </c>
      <c r="C11" s="53" t="s">
        <v>603</v>
      </c>
      <c r="D11" s="43" t="s">
        <v>59</v>
      </c>
      <c r="E11" s="43" t="s">
        <v>1752</v>
      </c>
      <c r="F11" s="52" t="s">
        <v>1907</v>
      </c>
      <c r="G11" s="43">
        <v>4.0</v>
      </c>
      <c r="H11" s="43" t="s">
        <v>47</v>
      </c>
      <c r="I11" s="43">
        <v>4.0</v>
      </c>
      <c r="J11" s="47" t="s">
        <v>1842</v>
      </c>
      <c r="K11" s="47"/>
      <c r="L11" s="48"/>
      <c r="M11" s="43" t="s">
        <v>1871</v>
      </c>
      <c r="N11" s="43" t="s">
        <v>1912</v>
      </c>
      <c r="O11" s="48"/>
      <c r="P11" s="48"/>
    </row>
    <row r="12">
      <c r="A12" s="53" t="s">
        <v>1050</v>
      </c>
      <c r="B12" s="43" t="s">
        <v>1051</v>
      </c>
      <c r="C12" s="53" t="s">
        <v>603</v>
      </c>
      <c r="D12" s="43" t="s">
        <v>59</v>
      </c>
      <c r="E12" s="43" t="s">
        <v>1752</v>
      </c>
      <c r="F12" s="52" t="s">
        <v>1917</v>
      </c>
      <c r="G12" s="43">
        <v>3.5</v>
      </c>
      <c r="H12" s="43" t="s">
        <v>47</v>
      </c>
      <c r="I12" s="43">
        <v>3.5</v>
      </c>
      <c r="J12" s="47" t="s">
        <v>1842</v>
      </c>
      <c r="K12" s="47"/>
      <c r="L12" s="48"/>
      <c r="M12" s="43" t="s">
        <v>1871</v>
      </c>
      <c r="N12" s="43" t="s">
        <v>1922</v>
      </c>
      <c r="O12" s="48"/>
      <c r="P12" s="48"/>
    </row>
    <row r="13">
      <c r="A13" s="53" t="s">
        <v>728</v>
      </c>
      <c r="B13" s="43" t="s">
        <v>730</v>
      </c>
      <c r="C13" s="53" t="s">
        <v>51</v>
      </c>
      <c r="D13" s="43" t="s">
        <v>1828</v>
      </c>
      <c r="E13" s="43" t="s">
        <v>1772</v>
      </c>
      <c r="F13" s="52"/>
      <c r="G13" s="43" t="s">
        <v>47</v>
      </c>
      <c r="H13" s="43">
        <v>2.0</v>
      </c>
      <c r="I13" s="43">
        <v>3.0</v>
      </c>
      <c r="J13" s="47" t="s">
        <v>1833</v>
      </c>
      <c r="K13" s="47"/>
      <c r="L13" s="48"/>
      <c r="M13" s="43" t="s">
        <v>1929</v>
      </c>
      <c r="N13" s="43" t="s">
        <v>1931</v>
      </c>
      <c r="O13" s="48"/>
      <c r="P13" s="48"/>
    </row>
    <row r="14">
      <c r="A14" s="53" t="s">
        <v>1140</v>
      </c>
      <c r="B14" s="47" t="s">
        <v>1141</v>
      </c>
      <c r="C14" s="53" t="s">
        <v>51</v>
      </c>
      <c r="D14" s="43" t="s">
        <v>1828</v>
      </c>
      <c r="E14" s="43" t="s">
        <v>1772</v>
      </c>
      <c r="F14" s="52" t="s">
        <v>1934</v>
      </c>
      <c r="G14" s="43" t="s">
        <v>47</v>
      </c>
      <c r="H14" s="43">
        <v>3.5</v>
      </c>
      <c r="I14" s="43">
        <v>4.0</v>
      </c>
      <c r="J14" s="47" t="s">
        <v>1842</v>
      </c>
      <c r="K14" s="47"/>
      <c r="L14" s="48"/>
      <c r="M14" s="43" t="s">
        <v>1939</v>
      </c>
      <c r="N14" s="43" t="s">
        <v>1940</v>
      </c>
      <c r="O14" s="48"/>
      <c r="P14" s="48"/>
    </row>
    <row r="15">
      <c r="A15" s="53" t="s">
        <v>844</v>
      </c>
      <c r="B15" s="47" t="s">
        <v>1943</v>
      </c>
      <c r="C15" s="53" t="s">
        <v>51</v>
      </c>
      <c r="D15" s="43" t="s">
        <v>1828</v>
      </c>
      <c r="E15" s="43" t="s">
        <v>1782</v>
      </c>
      <c r="F15" s="52" t="s">
        <v>1946</v>
      </c>
      <c r="G15" s="48"/>
      <c r="H15" s="43">
        <v>4.5</v>
      </c>
      <c r="I15" s="43">
        <v>4.0</v>
      </c>
      <c r="J15" s="47" t="s">
        <v>1842</v>
      </c>
      <c r="K15" s="47"/>
      <c r="L15" s="48"/>
      <c r="M15" s="43" t="s">
        <v>1949</v>
      </c>
      <c r="N15" s="43" t="s">
        <v>1950</v>
      </c>
      <c r="O15" s="48"/>
      <c r="P15" s="48"/>
    </row>
    <row r="16">
      <c r="A16" s="53" t="s">
        <v>1239</v>
      </c>
      <c r="B16" s="43" t="s">
        <v>1951</v>
      </c>
      <c r="C16" s="53" t="s">
        <v>51</v>
      </c>
      <c r="D16" s="43" t="s">
        <v>59</v>
      </c>
      <c r="E16" s="43" t="s">
        <v>1780</v>
      </c>
      <c r="F16" s="52" t="s">
        <v>1953</v>
      </c>
      <c r="G16" s="43" t="s">
        <v>47</v>
      </c>
      <c r="H16" s="43">
        <v>3.0</v>
      </c>
      <c r="I16" s="43">
        <v>3.0</v>
      </c>
      <c r="J16" s="47" t="s">
        <v>1842</v>
      </c>
      <c r="K16" s="47"/>
      <c r="L16" s="43" t="s">
        <v>1956</v>
      </c>
      <c r="M16" s="43" t="s">
        <v>1957</v>
      </c>
      <c r="N16" s="43" t="s">
        <v>1959</v>
      </c>
      <c r="O16" s="48"/>
      <c r="P16" s="48"/>
    </row>
    <row r="17">
      <c r="A17" s="53" t="s">
        <v>785</v>
      </c>
      <c r="B17" s="43" t="s">
        <v>787</v>
      </c>
      <c r="C17" s="53" t="s">
        <v>51</v>
      </c>
      <c r="D17" s="43" t="s">
        <v>59</v>
      </c>
      <c r="E17" s="43" t="s">
        <v>1780</v>
      </c>
      <c r="F17" s="52" t="s">
        <v>1963</v>
      </c>
      <c r="G17" s="43" t="s">
        <v>47</v>
      </c>
      <c r="H17" s="43">
        <v>4.0</v>
      </c>
      <c r="I17" s="43">
        <v>4.0</v>
      </c>
      <c r="J17" s="47" t="s">
        <v>1842</v>
      </c>
      <c r="K17" s="47"/>
      <c r="L17" s="48"/>
      <c r="M17" s="43" t="s">
        <v>1967</v>
      </c>
      <c r="N17" s="43" t="s">
        <v>1968</v>
      </c>
      <c r="O17" s="48"/>
      <c r="P17" s="48"/>
    </row>
    <row r="18">
      <c r="A18" s="53" t="s">
        <v>701</v>
      </c>
      <c r="B18" s="47" t="s">
        <v>1971</v>
      </c>
      <c r="C18" s="53" t="s">
        <v>603</v>
      </c>
      <c r="D18" s="43" t="s">
        <v>59</v>
      </c>
      <c r="E18" s="43" t="s">
        <v>1752</v>
      </c>
      <c r="F18" s="52" t="s">
        <v>1974</v>
      </c>
      <c r="G18" s="43" t="s">
        <v>47</v>
      </c>
      <c r="H18" s="43">
        <v>3.4</v>
      </c>
      <c r="I18" s="43">
        <v>3.0</v>
      </c>
      <c r="J18" s="47" t="s">
        <v>1842</v>
      </c>
      <c r="K18" s="47"/>
      <c r="L18" s="48"/>
      <c r="M18" s="43" t="s">
        <v>1978</v>
      </c>
      <c r="N18" s="43" t="s">
        <v>1979</v>
      </c>
      <c r="O18" s="48"/>
      <c r="P18" s="48"/>
    </row>
    <row r="19">
      <c r="A19" s="61" t="s">
        <v>891</v>
      </c>
      <c r="B19" s="62" t="s">
        <v>892</v>
      </c>
      <c r="C19" s="61" t="s">
        <v>603</v>
      </c>
      <c r="D19" s="43" t="s">
        <v>59</v>
      </c>
      <c r="E19" s="43" t="s">
        <v>1761</v>
      </c>
      <c r="F19" s="52" t="s">
        <v>1987</v>
      </c>
      <c r="G19" s="62">
        <v>2.5</v>
      </c>
      <c r="H19" s="63" t="s">
        <v>1831</v>
      </c>
      <c r="I19" s="62">
        <v>3.0</v>
      </c>
      <c r="J19" s="64" t="s">
        <v>1833</v>
      </c>
      <c r="K19" s="47"/>
      <c r="L19" s="63" t="s">
        <v>1993</v>
      </c>
      <c r="M19" s="63" t="s">
        <v>1871</v>
      </c>
      <c r="N19" s="63" t="s">
        <v>1995</v>
      </c>
      <c r="O19" s="65"/>
      <c r="P19" s="65"/>
    </row>
    <row r="20">
      <c r="A20" s="61" t="s">
        <v>745</v>
      </c>
      <c r="B20" s="62" t="s">
        <v>747</v>
      </c>
      <c r="C20" s="61" t="s">
        <v>603</v>
      </c>
      <c r="D20" s="43" t="s">
        <v>59</v>
      </c>
      <c r="E20" s="62" t="s">
        <v>1754</v>
      </c>
      <c r="F20" s="52" t="s">
        <v>2001</v>
      </c>
      <c r="G20" s="62">
        <v>2.5</v>
      </c>
      <c r="H20" s="63" t="s">
        <v>1831</v>
      </c>
      <c r="I20" s="62">
        <v>4.0</v>
      </c>
      <c r="J20" s="64" t="s">
        <v>1833</v>
      </c>
      <c r="K20" s="47"/>
      <c r="L20" s="63" t="s">
        <v>2004</v>
      </c>
      <c r="M20" s="63" t="s">
        <v>1871</v>
      </c>
      <c r="N20" s="63" t="s">
        <v>2006</v>
      </c>
      <c r="O20" s="65"/>
      <c r="P20" s="65"/>
    </row>
    <row r="21">
      <c r="A21" s="61" t="s">
        <v>838</v>
      </c>
      <c r="B21" s="66" t="s">
        <v>837</v>
      </c>
      <c r="C21" s="61" t="s">
        <v>51</v>
      </c>
      <c r="D21" s="65" t="s">
        <v>59</v>
      </c>
      <c r="E21" s="62" t="s">
        <v>1780</v>
      </c>
      <c r="F21" s="52" t="s">
        <v>2011</v>
      </c>
      <c r="G21" s="62" t="s">
        <v>47</v>
      </c>
      <c r="H21" s="63">
        <v>1.0</v>
      </c>
      <c r="I21" s="62">
        <v>2.0</v>
      </c>
      <c r="J21" s="64" t="s">
        <v>1833</v>
      </c>
      <c r="K21" s="47"/>
      <c r="L21" s="63" t="s">
        <v>2015</v>
      </c>
      <c r="M21" s="67"/>
      <c r="N21" s="63" t="s">
        <v>2017</v>
      </c>
      <c r="O21" s="65"/>
      <c r="P21" s="65"/>
    </row>
    <row r="22">
      <c r="A22" s="68" t="s">
        <v>818</v>
      </c>
      <c r="B22" s="65" t="s">
        <v>820</v>
      </c>
      <c r="C22" s="61" t="s">
        <v>603</v>
      </c>
      <c r="D22" s="43" t="s">
        <v>59</v>
      </c>
      <c r="E22" s="62" t="s">
        <v>1752</v>
      </c>
      <c r="F22" s="52" t="s">
        <v>2001</v>
      </c>
      <c r="G22" s="62">
        <v>3.5</v>
      </c>
      <c r="H22" s="63" t="s">
        <v>1831</v>
      </c>
      <c r="I22" s="62">
        <v>3.0</v>
      </c>
      <c r="J22" s="64" t="s">
        <v>1842</v>
      </c>
      <c r="K22" s="47"/>
      <c r="L22" s="67"/>
      <c r="M22" s="63" t="s">
        <v>2025</v>
      </c>
      <c r="N22" s="63" t="s">
        <v>2027</v>
      </c>
      <c r="O22" s="65"/>
      <c r="P22" s="65"/>
    </row>
    <row r="23">
      <c r="A23" s="68" t="s">
        <v>149</v>
      </c>
      <c r="B23" s="62" t="s">
        <v>146</v>
      </c>
      <c r="C23" s="61" t="s">
        <v>51</v>
      </c>
      <c r="D23" s="65" t="s">
        <v>59</v>
      </c>
      <c r="E23" s="62" t="s">
        <v>1780</v>
      </c>
      <c r="F23" s="52" t="s">
        <v>2011</v>
      </c>
      <c r="G23" s="62" t="s">
        <v>47</v>
      </c>
      <c r="H23" s="63">
        <v>2.0</v>
      </c>
      <c r="I23" s="62">
        <v>3.0</v>
      </c>
      <c r="J23" s="64" t="s">
        <v>1833</v>
      </c>
      <c r="K23" s="47"/>
      <c r="L23" s="63" t="s">
        <v>2035</v>
      </c>
      <c r="M23" s="67"/>
      <c r="N23" s="63" t="s">
        <v>2039</v>
      </c>
      <c r="O23" s="65"/>
      <c r="P23" s="65"/>
    </row>
    <row r="24">
      <c r="A24" s="61" t="s">
        <v>731</v>
      </c>
      <c r="B24" s="62" t="s">
        <v>732</v>
      </c>
      <c r="C24" s="61" t="s">
        <v>51</v>
      </c>
      <c r="D24" s="66" t="s">
        <v>2044</v>
      </c>
      <c r="E24" s="62" t="s">
        <v>1782</v>
      </c>
      <c r="F24" s="52"/>
      <c r="G24" s="65"/>
      <c r="H24" s="63">
        <v>3.5</v>
      </c>
      <c r="I24" s="62">
        <v>4.0</v>
      </c>
      <c r="J24" s="64" t="s">
        <v>1842</v>
      </c>
      <c r="K24" s="47"/>
      <c r="L24" s="67"/>
      <c r="M24" s="67"/>
      <c r="N24" s="67"/>
      <c r="O24" s="65"/>
      <c r="P24" s="65"/>
    </row>
    <row r="25">
      <c r="A25" s="68" t="s">
        <v>815</v>
      </c>
      <c r="B25" s="62" t="s">
        <v>2037</v>
      </c>
      <c r="C25" s="61" t="s">
        <v>603</v>
      </c>
      <c r="D25" s="43" t="s">
        <v>1828</v>
      </c>
      <c r="E25" s="62" t="s">
        <v>1754</v>
      </c>
      <c r="F25" s="52" t="s">
        <v>2060</v>
      </c>
      <c r="G25" s="62">
        <v>4.0</v>
      </c>
      <c r="H25" s="63" t="s">
        <v>47</v>
      </c>
      <c r="I25" s="62">
        <v>3.0</v>
      </c>
      <c r="J25" s="64" t="s">
        <v>1842</v>
      </c>
      <c r="K25" s="47"/>
      <c r="L25" s="63" t="s">
        <v>2065</v>
      </c>
      <c r="M25" s="63" t="s">
        <v>2025</v>
      </c>
      <c r="N25" s="71" t="s">
        <v>2068</v>
      </c>
      <c r="O25" s="65"/>
      <c r="P25" s="65"/>
    </row>
    <row r="26">
      <c r="A26" s="61" t="s">
        <v>611</v>
      </c>
      <c r="B26" s="66" t="s">
        <v>609</v>
      </c>
      <c r="C26" s="61" t="s">
        <v>603</v>
      </c>
      <c r="D26" s="62" t="s">
        <v>2044</v>
      </c>
      <c r="E26" s="62" t="s">
        <v>1761</v>
      </c>
      <c r="F26" s="52" t="s">
        <v>2082</v>
      </c>
      <c r="G26" s="62">
        <v>2.0</v>
      </c>
      <c r="H26" s="63" t="s">
        <v>47</v>
      </c>
      <c r="I26" s="62">
        <v>3.0</v>
      </c>
      <c r="J26" s="64" t="s">
        <v>1833</v>
      </c>
      <c r="K26" s="47"/>
      <c r="L26" s="63" t="s">
        <v>2087</v>
      </c>
      <c r="M26" s="67"/>
      <c r="N26" s="63" t="s">
        <v>2088</v>
      </c>
      <c r="O26" s="65"/>
      <c r="P26" s="65"/>
    </row>
    <row r="27">
      <c r="A27" s="61" t="s">
        <v>862</v>
      </c>
      <c r="B27" s="66" t="s">
        <v>2090</v>
      </c>
      <c r="C27" s="61" t="s">
        <v>603</v>
      </c>
      <c r="D27" s="62" t="s">
        <v>2044</v>
      </c>
      <c r="E27" s="62" t="s">
        <v>1761</v>
      </c>
      <c r="F27" s="52" t="s">
        <v>2093</v>
      </c>
      <c r="G27" s="62">
        <v>2.0</v>
      </c>
      <c r="H27" s="63" t="s">
        <v>47</v>
      </c>
      <c r="I27" s="62">
        <v>3.0</v>
      </c>
      <c r="J27" s="64" t="s">
        <v>1833</v>
      </c>
      <c r="K27" s="47"/>
      <c r="L27" s="63" t="s">
        <v>2097</v>
      </c>
      <c r="M27" s="67"/>
      <c r="N27" s="63" t="s">
        <v>2098</v>
      </c>
      <c r="O27" s="65"/>
      <c r="P27" s="65"/>
    </row>
    <row r="28">
      <c r="A28" s="61" t="s">
        <v>721</v>
      </c>
      <c r="B28" s="66" t="s">
        <v>2100</v>
      </c>
      <c r="C28" s="61" t="s">
        <v>603</v>
      </c>
      <c r="D28" s="65" t="s">
        <v>59</v>
      </c>
      <c r="E28" s="43" t="s">
        <v>1867</v>
      </c>
      <c r="F28" s="52" t="s">
        <v>2103</v>
      </c>
      <c r="G28" s="62">
        <v>3.5</v>
      </c>
      <c r="H28" s="63" t="s">
        <v>47</v>
      </c>
      <c r="I28" s="62">
        <v>3.0</v>
      </c>
      <c r="J28" s="64" t="s">
        <v>1842</v>
      </c>
      <c r="K28" s="47"/>
      <c r="L28" s="67"/>
      <c r="M28" s="63" t="s">
        <v>2108</v>
      </c>
      <c r="N28" s="63" t="s">
        <v>2109</v>
      </c>
      <c r="O28" s="65"/>
      <c r="P28" s="65"/>
    </row>
    <row r="29">
      <c r="A29" s="61" t="s">
        <v>1226</v>
      </c>
      <c r="B29" s="66" t="s">
        <v>2112</v>
      </c>
      <c r="C29" s="61" t="s">
        <v>603</v>
      </c>
      <c r="D29" s="65" t="s">
        <v>49</v>
      </c>
      <c r="E29" s="43" t="s">
        <v>1867</v>
      </c>
      <c r="F29" s="52" t="s">
        <v>2115</v>
      </c>
      <c r="G29" s="62">
        <v>3.0</v>
      </c>
      <c r="H29" s="63" t="s">
        <v>47</v>
      </c>
      <c r="I29" s="62">
        <v>2.5</v>
      </c>
      <c r="J29" s="64" t="s">
        <v>1833</v>
      </c>
      <c r="K29" s="47"/>
      <c r="L29" s="63" t="s">
        <v>2121</v>
      </c>
      <c r="M29" s="67"/>
      <c r="N29" s="63" t="s">
        <v>2122</v>
      </c>
      <c r="O29" s="65"/>
      <c r="P29" s="65"/>
    </row>
    <row r="30">
      <c r="A30" s="72" t="s">
        <v>1024</v>
      </c>
      <c r="B30" s="72" t="s">
        <v>1678</v>
      </c>
      <c r="C30" s="73" t="s">
        <v>51</v>
      </c>
      <c r="D30" s="62" t="s">
        <v>2044</v>
      </c>
      <c r="E30" s="62" t="s">
        <v>1780</v>
      </c>
      <c r="F30" s="52"/>
      <c r="G30" s="62" t="s">
        <v>47</v>
      </c>
      <c r="H30" s="63">
        <v>1.0</v>
      </c>
      <c r="I30" s="62">
        <v>2.0</v>
      </c>
      <c r="J30" s="64" t="s">
        <v>1833</v>
      </c>
      <c r="K30" s="47"/>
      <c r="L30" s="63" t="s">
        <v>2136</v>
      </c>
      <c r="M30" s="67"/>
      <c r="N30" s="63" t="s">
        <v>2137</v>
      </c>
      <c r="O30" s="65"/>
      <c r="P30" s="65"/>
    </row>
    <row r="31">
      <c r="A31" s="64" t="s">
        <v>39</v>
      </c>
      <c r="B31" s="64" t="s">
        <v>37</v>
      </c>
      <c r="C31" s="73" t="s">
        <v>51</v>
      </c>
      <c r="D31" s="62" t="s">
        <v>2044</v>
      </c>
      <c r="E31" s="62" t="s">
        <v>1780</v>
      </c>
      <c r="F31" s="52"/>
      <c r="G31" s="62" t="s">
        <v>47</v>
      </c>
      <c r="H31" s="63">
        <v>2.0</v>
      </c>
      <c r="I31" s="62">
        <v>3.0</v>
      </c>
      <c r="J31" s="64" t="s">
        <v>1833</v>
      </c>
      <c r="K31" s="47"/>
      <c r="L31" s="63" t="s">
        <v>2145</v>
      </c>
      <c r="M31" s="67"/>
      <c r="N31" s="63" t="s">
        <v>2148</v>
      </c>
      <c r="O31" s="65"/>
      <c r="P31" s="65"/>
    </row>
    <row r="32">
      <c r="A32" s="72" t="s">
        <v>622</v>
      </c>
      <c r="B32" s="72" t="s">
        <v>621</v>
      </c>
      <c r="C32" s="73" t="s">
        <v>603</v>
      </c>
      <c r="D32" s="62" t="s">
        <v>2044</v>
      </c>
      <c r="E32" s="62" t="s">
        <v>1754</v>
      </c>
      <c r="F32" s="52"/>
      <c r="G32" s="65"/>
      <c r="H32" s="67"/>
      <c r="I32" s="65"/>
      <c r="J32" s="62" t="s">
        <v>2156</v>
      </c>
      <c r="K32" s="47"/>
      <c r="L32" s="63" t="s">
        <v>2158</v>
      </c>
      <c r="M32" s="67"/>
      <c r="N32" s="67"/>
      <c r="O32" s="65"/>
      <c r="P32" s="65"/>
    </row>
    <row r="33">
      <c r="A33" s="64" t="s">
        <v>708</v>
      </c>
      <c r="B33" s="64" t="s">
        <v>709</v>
      </c>
      <c r="C33" s="73" t="s">
        <v>603</v>
      </c>
      <c r="D33" s="62" t="s">
        <v>2044</v>
      </c>
      <c r="E33" s="62" t="s">
        <v>1754</v>
      </c>
      <c r="F33" s="52" t="s">
        <v>2164</v>
      </c>
      <c r="G33" s="62">
        <v>4.0</v>
      </c>
      <c r="H33" s="67"/>
      <c r="I33" s="62">
        <v>4.5</v>
      </c>
      <c r="J33" s="64" t="s">
        <v>1842</v>
      </c>
      <c r="K33" s="47"/>
      <c r="L33" s="63" t="s">
        <v>2166</v>
      </c>
      <c r="M33" s="63" t="s">
        <v>2168</v>
      </c>
      <c r="N33" s="63" t="s">
        <v>2169</v>
      </c>
      <c r="O33" s="65"/>
      <c r="P33" s="65"/>
    </row>
    <row r="34">
      <c r="A34" s="62" t="s">
        <v>668</v>
      </c>
      <c r="B34" s="62" t="s">
        <v>669</v>
      </c>
      <c r="C34" s="61" t="s">
        <v>51</v>
      </c>
      <c r="D34" s="62" t="s">
        <v>2044</v>
      </c>
      <c r="E34" s="62" t="s">
        <v>1770</v>
      </c>
      <c r="F34" s="52" t="s">
        <v>2173</v>
      </c>
      <c r="G34" s="65"/>
      <c r="H34" s="63">
        <v>1.5</v>
      </c>
      <c r="I34" s="62">
        <v>1.5</v>
      </c>
      <c r="J34" s="64" t="s">
        <v>1833</v>
      </c>
      <c r="K34" s="47"/>
      <c r="L34" s="63" t="s">
        <v>2177</v>
      </c>
      <c r="M34" s="67"/>
      <c r="N34" s="67"/>
      <c r="O34" s="65"/>
      <c r="P34" s="65"/>
    </row>
    <row r="35">
      <c r="A35" s="62" t="s">
        <v>728</v>
      </c>
      <c r="B35" s="62" t="s">
        <v>730</v>
      </c>
      <c r="C35" s="61" t="s">
        <v>51</v>
      </c>
      <c r="D35" s="43" t="s">
        <v>1828</v>
      </c>
      <c r="E35" s="62" t="s">
        <v>1770</v>
      </c>
      <c r="F35" s="52" t="s">
        <v>2183</v>
      </c>
      <c r="G35" s="65"/>
      <c r="H35" s="63">
        <v>4.0</v>
      </c>
      <c r="I35" s="62">
        <v>4.5</v>
      </c>
      <c r="J35" s="64" t="s">
        <v>1842</v>
      </c>
      <c r="K35" s="47"/>
      <c r="L35" s="67"/>
      <c r="M35" s="63" t="s">
        <v>2187</v>
      </c>
      <c r="N35" s="63" t="s">
        <v>2189</v>
      </c>
      <c r="O35" s="65"/>
      <c r="P35" s="65"/>
    </row>
    <row r="36">
      <c r="A36" s="66" t="s">
        <v>1022</v>
      </c>
      <c r="B36" s="66" t="s">
        <v>1023</v>
      </c>
      <c r="C36" s="61" t="s">
        <v>51</v>
      </c>
      <c r="D36" s="62" t="s">
        <v>2044</v>
      </c>
      <c r="E36" s="62" t="s">
        <v>1748</v>
      </c>
      <c r="F36" s="52" t="s">
        <v>2196</v>
      </c>
      <c r="G36" s="62" t="s">
        <v>1831</v>
      </c>
      <c r="H36" s="63">
        <v>3.0</v>
      </c>
      <c r="I36" s="65"/>
      <c r="J36" s="64" t="s">
        <v>1842</v>
      </c>
      <c r="K36" s="47" t="s">
        <v>1842</v>
      </c>
      <c r="L36" s="63" t="s">
        <v>1831</v>
      </c>
      <c r="M36" s="63" t="s">
        <v>2202</v>
      </c>
      <c r="N36" s="63" t="s">
        <v>2203</v>
      </c>
      <c r="O36" s="65"/>
      <c r="P36" s="65"/>
    </row>
    <row r="37">
      <c r="A37" s="66" t="s">
        <v>716</v>
      </c>
      <c r="B37" s="66" t="s">
        <v>717</v>
      </c>
      <c r="C37" s="61" t="s">
        <v>51</v>
      </c>
      <c r="D37" s="62" t="s">
        <v>2044</v>
      </c>
      <c r="E37" s="62" t="s">
        <v>2208</v>
      </c>
      <c r="F37" s="52" t="s">
        <v>2210</v>
      </c>
      <c r="G37" s="65"/>
      <c r="H37" s="63">
        <v>3.0</v>
      </c>
      <c r="I37" s="62">
        <v>3.0</v>
      </c>
      <c r="J37" s="64" t="s">
        <v>1833</v>
      </c>
      <c r="K37" s="47"/>
      <c r="L37" s="63" t="s">
        <v>2213</v>
      </c>
      <c r="M37" s="63" t="s">
        <v>2202</v>
      </c>
      <c r="N37" s="67"/>
      <c r="O37" s="65"/>
      <c r="P37" s="65"/>
    </row>
    <row r="38">
      <c r="A38" s="66" t="s">
        <v>267</v>
      </c>
      <c r="B38" s="66" t="s">
        <v>265</v>
      </c>
      <c r="C38" s="61" t="s">
        <v>51</v>
      </c>
      <c r="D38" s="62" t="s">
        <v>2044</v>
      </c>
      <c r="E38" s="62" t="s">
        <v>2208</v>
      </c>
      <c r="F38" s="52"/>
      <c r="G38" s="65"/>
      <c r="H38" s="63">
        <v>2.0</v>
      </c>
      <c r="I38" s="62">
        <v>3.0</v>
      </c>
      <c r="J38" s="64" t="s">
        <v>1833</v>
      </c>
      <c r="K38" s="47"/>
      <c r="L38" s="63" t="s">
        <v>2223</v>
      </c>
      <c r="M38" s="67"/>
      <c r="N38" s="67"/>
      <c r="O38" s="65"/>
      <c r="P38" s="65"/>
    </row>
    <row r="39">
      <c r="A39" s="66" t="s">
        <v>66</v>
      </c>
      <c r="B39" s="66" t="s">
        <v>2228</v>
      </c>
      <c r="C39" s="61" t="s">
        <v>51</v>
      </c>
      <c r="D39" s="62" t="s">
        <v>2044</v>
      </c>
      <c r="E39" s="62" t="s">
        <v>1748</v>
      </c>
      <c r="F39" s="52"/>
      <c r="G39" s="62" t="s">
        <v>1831</v>
      </c>
      <c r="H39" s="67"/>
      <c r="I39" s="65"/>
      <c r="J39" s="64" t="s">
        <v>1833</v>
      </c>
      <c r="K39" s="47"/>
      <c r="L39" s="63" t="s">
        <v>2233</v>
      </c>
      <c r="M39" s="67"/>
      <c r="N39" s="63" t="s">
        <v>2235</v>
      </c>
      <c r="O39" s="65"/>
      <c r="P39" s="65"/>
    </row>
    <row r="40">
      <c r="A40" s="50" t="s">
        <v>1825</v>
      </c>
      <c r="B40" s="43" t="s">
        <v>1826</v>
      </c>
      <c r="C40" s="53" t="s">
        <v>51</v>
      </c>
      <c r="D40" s="43" t="s">
        <v>1828</v>
      </c>
      <c r="E40" s="43" t="s">
        <v>1748</v>
      </c>
      <c r="F40" s="52" t="s">
        <v>1829</v>
      </c>
      <c r="G40" s="43" t="s">
        <v>1831</v>
      </c>
      <c r="H40" s="43">
        <v>3.0</v>
      </c>
      <c r="I40" s="43">
        <v>3.0</v>
      </c>
      <c r="J40" s="47" t="s">
        <v>1842</v>
      </c>
      <c r="K40" s="47"/>
      <c r="L40" s="43" t="s">
        <v>1831</v>
      </c>
      <c r="M40" s="43" t="s">
        <v>2242</v>
      </c>
      <c r="N40" s="43" t="s">
        <v>2243</v>
      </c>
      <c r="O40" s="48"/>
      <c r="P40" s="48"/>
    </row>
    <row r="41">
      <c r="A41" s="66" t="s">
        <v>889</v>
      </c>
      <c r="B41" s="66" t="s">
        <v>890</v>
      </c>
      <c r="C41" s="61" t="s">
        <v>51</v>
      </c>
      <c r="D41" s="62" t="s">
        <v>59</v>
      </c>
      <c r="E41" s="62" t="s">
        <v>1748</v>
      </c>
      <c r="F41" s="52" t="s">
        <v>1829</v>
      </c>
      <c r="G41" s="43" t="s">
        <v>1831</v>
      </c>
      <c r="H41" s="43">
        <v>3.0</v>
      </c>
      <c r="I41" s="43">
        <v>3.0</v>
      </c>
      <c r="J41" s="47" t="s">
        <v>1842</v>
      </c>
      <c r="K41" s="47"/>
      <c r="L41" s="43" t="s">
        <v>1831</v>
      </c>
      <c r="M41" s="43" t="s">
        <v>2242</v>
      </c>
      <c r="N41" s="43" t="s">
        <v>2247</v>
      </c>
      <c r="O41" s="65"/>
      <c r="P41" s="65"/>
    </row>
    <row r="42">
      <c r="A42" s="66" t="s">
        <v>1115</v>
      </c>
      <c r="B42" s="66" t="s">
        <v>1461</v>
      </c>
      <c r="C42" s="61" t="s">
        <v>51</v>
      </c>
      <c r="D42" s="62" t="s">
        <v>59</v>
      </c>
      <c r="E42" s="62" t="s">
        <v>1748</v>
      </c>
      <c r="F42" s="52" t="s">
        <v>1829</v>
      </c>
      <c r="G42" s="43" t="s">
        <v>1831</v>
      </c>
      <c r="H42" s="43">
        <v>3.0</v>
      </c>
      <c r="I42" s="43">
        <v>3.0</v>
      </c>
      <c r="J42" s="47" t="s">
        <v>1842</v>
      </c>
      <c r="K42" s="47"/>
      <c r="L42" s="43" t="s">
        <v>1831</v>
      </c>
      <c r="M42" s="43" t="s">
        <v>2242</v>
      </c>
      <c r="N42" s="43" t="s">
        <v>2251</v>
      </c>
      <c r="O42" s="65"/>
      <c r="P42" s="65"/>
    </row>
    <row r="43">
      <c r="A43" s="66" t="s">
        <v>741</v>
      </c>
      <c r="B43" s="66" t="s">
        <v>742</v>
      </c>
      <c r="C43" s="61" t="s">
        <v>51</v>
      </c>
      <c r="D43" s="66" t="s">
        <v>59</v>
      </c>
      <c r="E43" s="66" t="s">
        <v>1784</v>
      </c>
      <c r="F43" s="52" t="s">
        <v>2253</v>
      </c>
      <c r="G43" s="43" t="s">
        <v>1831</v>
      </c>
      <c r="H43" s="43">
        <v>4.0</v>
      </c>
      <c r="I43" s="46">
        <v>3.0</v>
      </c>
      <c r="J43" s="47" t="s">
        <v>1842</v>
      </c>
      <c r="K43" s="47"/>
      <c r="L43" s="43" t="s">
        <v>1831</v>
      </c>
      <c r="M43" s="43" t="s">
        <v>2242</v>
      </c>
      <c r="N43" s="63" t="s">
        <v>2255</v>
      </c>
      <c r="O43" s="65"/>
      <c r="P43" s="65"/>
    </row>
    <row r="44">
      <c r="A44" s="66" t="s">
        <v>957</v>
      </c>
      <c r="B44" s="66" t="s">
        <v>1468</v>
      </c>
      <c r="C44" s="61" t="s">
        <v>51</v>
      </c>
      <c r="D44" s="66" t="s">
        <v>59</v>
      </c>
      <c r="E44" s="66" t="s">
        <v>1784</v>
      </c>
      <c r="F44" s="52" t="s">
        <v>2011</v>
      </c>
      <c r="G44" s="43" t="s">
        <v>1831</v>
      </c>
      <c r="H44" s="43">
        <v>3.0</v>
      </c>
      <c r="I44" s="46">
        <v>3.0</v>
      </c>
      <c r="J44" s="47" t="s">
        <v>1842</v>
      </c>
      <c r="K44" s="47"/>
      <c r="L44" s="43" t="s">
        <v>1831</v>
      </c>
      <c r="M44" s="63" t="s">
        <v>2264</v>
      </c>
      <c r="N44" s="63" t="s">
        <v>2266</v>
      </c>
      <c r="O44" s="65"/>
      <c r="P44" s="65"/>
    </row>
    <row r="45">
      <c r="A45" s="66" t="s">
        <v>850</v>
      </c>
      <c r="B45" s="66" t="s">
        <v>851</v>
      </c>
      <c r="C45" s="61" t="s">
        <v>51</v>
      </c>
      <c r="D45" s="66" t="s">
        <v>1828</v>
      </c>
      <c r="E45" s="66" t="s">
        <v>1784</v>
      </c>
      <c r="F45" s="52" t="s">
        <v>2274</v>
      </c>
      <c r="G45" s="43" t="s">
        <v>1831</v>
      </c>
      <c r="H45" s="43">
        <v>4.0</v>
      </c>
      <c r="I45" s="46">
        <v>4.0</v>
      </c>
      <c r="J45" s="47" t="s">
        <v>1842</v>
      </c>
      <c r="K45" s="47"/>
      <c r="L45" s="67"/>
      <c r="M45" s="67"/>
      <c r="N45" s="63" t="s">
        <v>2280</v>
      </c>
      <c r="O45" s="65"/>
      <c r="P45" s="65"/>
    </row>
    <row r="46">
      <c r="A46" s="66" t="s">
        <v>24</v>
      </c>
      <c r="B46" s="66" t="s">
        <v>1488</v>
      </c>
      <c r="C46" s="61" t="s">
        <v>51</v>
      </c>
      <c r="D46" s="66" t="s">
        <v>59</v>
      </c>
      <c r="E46" s="66" t="s">
        <v>1784</v>
      </c>
      <c r="F46" s="52" t="s">
        <v>2011</v>
      </c>
      <c r="G46" s="43" t="s">
        <v>1831</v>
      </c>
      <c r="H46" s="43">
        <v>4.0</v>
      </c>
      <c r="I46" s="46">
        <v>4.0</v>
      </c>
      <c r="J46" s="47" t="s">
        <v>1842</v>
      </c>
      <c r="K46" s="47"/>
      <c r="L46" s="67"/>
      <c r="M46" s="63" t="s">
        <v>2264</v>
      </c>
      <c r="N46" s="63" t="s">
        <v>2285</v>
      </c>
      <c r="O46" s="65"/>
      <c r="P46" s="65"/>
    </row>
    <row r="47">
      <c r="A47" s="66" t="s">
        <v>468</v>
      </c>
      <c r="B47" s="66" t="s">
        <v>1607</v>
      </c>
      <c r="C47" s="61" t="s">
        <v>51</v>
      </c>
      <c r="D47" s="66" t="s">
        <v>59</v>
      </c>
      <c r="E47" s="62" t="s">
        <v>1748</v>
      </c>
      <c r="F47" s="52" t="s">
        <v>2286</v>
      </c>
      <c r="G47" s="43" t="s">
        <v>1831</v>
      </c>
      <c r="H47" s="43">
        <v>1.0</v>
      </c>
      <c r="I47" s="43">
        <v>3.0</v>
      </c>
      <c r="J47" s="47" t="s">
        <v>1833</v>
      </c>
      <c r="K47" s="47"/>
      <c r="L47" s="43" t="s">
        <v>2288</v>
      </c>
      <c r="M47" s="43" t="s">
        <v>1831</v>
      </c>
      <c r="N47" s="43" t="s">
        <v>2289</v>
      </c>
      <c r="O47" s="65"/>
      <c r="P47" s="65"/>
    </row>
    <row r="48">
      <c r="A48" s="66" t="s">
        <v>792</v>
      </c>
      <c r="B48" s="66" t="s">
        <v>1794</v>
      </c>
      <c r="C48" s="61" t="s">
        <v>51</v>
      </c>
      <c r="D48" s="66" t="s">
        <v>59</v>
      </c>
      <c r="E48" s="62" t="s">
        <v>1748</v>
      </c>
      <c r="F48" s="52" t="s">
        <v>2286</v>
      </c>
      <c r="G48" s="43" t="s">
        <v>1831</v>
      </c>
      <c r="H48" s="43">
        <v>2.0</v>
      </c>
      <c r="I48" s="43">
        <v>3.0</v>
      </c>
      <c r="J48" s="47" t="s">
        <v>1833</v>
      </c>
      <c r="K48" s="47"/>
      <c r="L48" s="43" t="s">
        <v>2291</v>
      </c>
      <c r="M48" s="43" t="s">
        <v>1831</v>
      </c>
      <c r="N48" s="43" t="s">
        <v>2292</v>
      </c>
      <c r="O48" s="65"/>
      <c r="P48" s="65"/>
    </row>
    <row r="49">
      <c r="A49" s="66" t="s">
        <v>1016</v>
      </c>
      <c r="B49" s="66" t="s">
        <v>1017</v>
      </c>
      <c r="C49" s="61" t="s">
        <v>51</v>
      </c>
      <c r="D49" s="66" t="s">
        <v>59</v>
      </c>
      <c r="E49" s="62" t="s">
        <v>1748</v>
      </c>
      <c r="F49" s="52" t="s">
        <v>2286</v>
      </c>
      <c r="G49" s="43" t="s">
        <v>1831</v>
      </c>
      <c r="H49" s="43">
        <v>4.0</v>
      </c>
      <c r="I49" s="43">
        <v>4.0</v>
      </c>
      <c r="J49" s="47" t="s">
        <v>1842</v>
      </c>
      <c r="K49" s="47"/>
      <c r="L49" s="43" t="s">
        <v>2294</v>
      </c>
      <c r="M49" s="43" t="s">
        <v>2202</v>
      </c>
      <c r="N49" s="43" t="s">
        <v>2295</v>
      </c>
      <c r="O49" s="65"/>
      <c r="P49" s="65"/>
    </row>
    <row r="50">
      <c r="A50" s="66" t="s">
        <v>336</v>
      </c>
      <c r="B50" s="66" t="s">
        <v>339</v>
      </c>
      <c r="C50" s="61" t="s">
        <v>51</v>
      </c>
      <c r="D50" s="66" t="s">
        <v>59</v>
      </c>
      <c r="E50" s="62" t="s">
        <v>1748</v>
      </c>
      <c r="F50" s="52" t="s">
        <v>2286</v>
      </c>
      <c r="G50" s="43" t="s">
        <v>1831</v>
      </c>
      <c r="H50" s="43">
        <v>3.0</v>
      </c>
      <c r="I50" s="43">
        <v>3.0</v>
      </c>
      <c r="J50" s="47" t="s">
        <v>1842</v>
      </c>
      <c r="K50" s="47"/>
      <c r="L50" s="43" t="s">
        <v>1831</v>
      </c>
      <c r="M50" s="43" t="s">
        <v>2202</v>
      </c>
      <c r="N50" s="43" t="s">
        <v>2299</v>
      </c>
      <c r="O50" s="65"/>
      <c r="P50" s="65"/>
    </row>
    <row r="51">
      <c r="A51" s="66" t="s">
        <v>120</v>
      </c>
      <c r="B51" s="66" t="s">
        <v>1586</v>
      </c>
      <c r="C51" s="61" t="s">
        <v>603</v>
      </c>
      <c r="D51" s="66" t="s">
        <v>59</v>
      </c>
      <c r="E51" s="62" t="s">
        <v>1752</v>
      </c>
      <c r="F51" s="52" t="s">
        <v>2300</v>
      </c>
      <c r="G51" s="62">
        <v>3.0</v>
      </c>
      <c r="H51" s="67"/>
      <c r="I51" s="62">
        <v>3.0</v>
      </c>
      <c r="J51" s="47" t="s">
        <v>1833</v>
      </c>
      <c r="K51" s="47"/>
      <c r="L51" s="63" t="s">
        <v>2302</v>
      </c>
      <c r="M51" s="63" t="s">
        <v>2303</v>
      </c>
      <c r="N51" s="63" t="s">
        <v>2304</v>
      </c>
      <c r="O51" s="65"/>
      <c r="P51" s="65"/>
    </row>
    <row r="52">
      <c r="A52" s="66" t="s">
        <v>716</v>
      </c>
      <c r="B52" s="66" t="s">
        <v>717</v>
      </c>
      <c r="C52" s="61" t="s">
        <v>51</v>
      </c>
      <c r="D52" s="66" t="s">
        <v>59</v>
      </c>
      <c r="E52" s="62" t="s">
        <v>1772</v>
      </c>
      <c r="F52" s="52"/>
      <c r="G52" s="62"/>
      <c r="H52" s="63">
        <v>3.0</v>
      </c>
      <c r="I52" s="62">
        <v>4.0</v>
      </c>
      <c r="J52" s="47" t="s">
        <v>1842</v>
      </c>
      <c r="K52" s="47"/>
      <c r="L52" s="67"/>
      <c r="M52" s="63" t="s">
        <v>2242</v>
      </c>
      <c r="N52" s="63" t="s">
        <v>2306</v>
      </c>
      <c r="O52" s="65"/>
      <c r="P52" s="65"/>
    </row>
    <row r="53">
      <c r="A53" s="66" t="s">
        <v>487</v>
      </c>
      <c r="B53" s="66" t="s">
        <v>489</v>
      </c>
      <c r="C53" s="61" t="s">
        <v>51</v>
      </c>
      <c r="D53" s="66" t="s">
        <v>59</v>
      </c>
      <c r="E53" s="62" t="s">
        <v>1772</v>
      </c>
      <c r="F53" s="52" t="s">
        <v>2307</v>
      </c>
      <c r="G53" s="65"/>
      <c r="H53" s="63">
        <v>4.0</v>
      </c>
      <c r="I53" s="62">
        <v>5.0</v>
      </c>
      <c r="J53" s="47" t="s">
        <v>1842</v>
      </c>
      <c r="K53" s="47"/>
      <c r="L53" s="67"/>
      <c r="M53" s="63" t="s">
        <v>2309</v>
      </c>
      <c r="N53" s="63" t="s">
        <v>2310</v>
      </c>
      <c r="O53" s="65"/>
      <c r="P53" s="65"/>
    </row>
    <row r="54">
      <c r="A54" s="66" t="s">
        <v>1166</v>
      </c>
      <c r="B54" s="66" t="s">
        <v>1168</v>
      </c>
      <c r="C54" s="61" t="s">
        <v>51</v>
      </c>
      <c r="D54" s="66" t="s">
        <v>59</v>
      </c>
      <c r="E54" s="62" t="s">
        <v>1780</v>
      </c>
      <c r="F54" s="52" t="s">
        <v>2311</v>
      </c>
      <c r="G54" s="65"/>
      <c r="H54" s="63">
        <v>3.5</v>
      </c>
      <c r="I54" s="62">
        <v>3.5</v>
      </c>
      <c r="J54" s="47" t="s">
        <v>1842</v>
      </c>
      <c r="K54" s="47"/>
      <c r="L54" s="67"/>
      <c r="M54" s="63" t="s">
        <v>2313</v>
      </c>
      <c r="N54" s="63" t="s">
        <v>2314</v>
      </c>
      <c r="O54" s="65"/>
      <c r="P54" s="65"/>
    </row>
    <row r="55">
      <c r="A55" s="66" t="s">
        <v>466</v>
      </c>
      <c r="B55" s="66" t="s">
        <v>1635</v>
      </c>
      <c r="C55" s="61" t="s">
        <v>51</v>
      </c>
      <c r="D55" s="66" t="s">
        <v>59</v>
      </c>
      <c r="E55" s="62" t="s">
        <v>1780</v>
      </c>
      <c r="F55" s="52" t="s">
        <v>2316</v>
      </c>
      <c r="G55" s="65"/>
      <c r="H55" s="63">
        <v>3.5</v>
      </c>
      <c r="I55" s="62">
        <v>4.0</v>
      </c>
      <c r="J55" s="47" t="s">
        <v>1842</v>
      </c>
      <c r="K55" s="47"/>
      <c r="L55" s="67"/>
      <c r="M55" s="63" t="s">
        <v>2320</v>
      </c>
      <c r="N55" s="63" t="s">
        <v>2321</v>
      </c>
      <c r="O55" s="65"/>
      <c r="P55" s="65"/>
    </row>
    <row r="56">
      <c r="A56" s="77" t="s">
        <v>96</v>
      </c>
      <c r="B56" s="66" t="s">
        <v>2323</v>
      </c>
      <c r="C56" s="61" t="s">
        <v>603</v>
      </c>
      <c r="D56" s="66" t="s">
        <v>59</v>
      </c>
      <c r="E56" s="62" t="s">
        <v>1756</v>
      </c>
      <c r="F56" s="52" t="s">
        <v>2324</v>
      </c>
      <c r="G56" s="62">
        <v>3.5</v>
      </c>
      <c r="H56" s="67"/>
      <c r="I56" s="72">
        <v>4.0</v>
      </c>
      <c r="J56" s="47" t="s">
        <v>1842</v>
      </c>
      <c r="K56" s="47"/>
      <c r="L56" s="67"/>
      <c r="M56" s="63" t="s">
        <v>2329</v>
      </c>
      <c r="N56" s="63" t="s">
        <v>2330</v>
      </c>
      <c r="O56" s="65"/>
      <c r="P56" s="65"/>
    </row>
    <row r="57">
      <c r="A57" s="66" t="s">
        <v>76</v>
      </c>
      <c r="B57" s="66" t="s">
        <v>74</v>
      </c>
      <c r="C57" s="61" t="s">
        <v>51</v>
      </c>
      <c r="D57" s="66" t="s">
        <v>59</v>
      </c>
      <c r="E57" s="62" t="s">
        <v>1748</v>
      </c>
      <c r="F57" s="52" t="s">
        <v>2286</v>
      </c>
      <c r="G57" s="43" t="s">
        <v>1831</v>
      </c>
      <c r="H57" s="43">
        <v>2.0</v>
      </c>
      <c r="I57" s="43">
        <v>3.0</v>
      </c>
      <c r="J57" s="47" t="s">
        <v>1833</v>
      </c>
      <c r="K57" s="47"/>
      <c r="L57" s="43" t="s">
        <v>2343</v>
      </c>
      <c r="M57" s="43" t="s">
        <v>1831</v>
      </c>
      <c r="N57" s="43" t="s">
        <v>2347</v>
      </c>
      <c r="O57" s="65"/>
      <c r="P57" s="65"/>
    </row>
    <row r="58">
      <c r="A58" s="66" t="s">
        <v>692</v>
      </c>
      <c r="B58" s="66" t="s">
        <v>693</v>
      </c>
      <c r="C58" s="61" t="s">
        <v>51</v>
      </c>
      <c r="D58" s="66" t="s">
        <v>59</v>
      </c>
      <c r="E58" s="62" t="s">
        <v>1772</v>
      </c>
      <c r="F58" s="52" t="s">
        <v>1946</v>
      </c>
      <c r="G58" s="65"/>
      <c r="H58" s="63">
        <v>3.5</v>
      </c>
      <c r="I58" s="62">
        <v>4.0</v>
      </c>
      <c r="J58" s="47" t="s">
        <v>1842</v>
      </c>
      <c r="K58" s="47"/>
      <c r="L58" s="67"/>
      <c r="M58" s="67"/>
      <c r="N58" s="63" t="s">
        <v>2364</v>
      </c>
      <c r="O58" s="65"/>
      <c r="P58" s="65"/>
    </row>
    <row r="59">
      <c r="A59" s="66" t="s">
        <v>117</v>
      </c>
      <c r="B59" s="66" t="s">
        <v>118</v>
      </c>
      <c r="C59" s="61" t="s">
        <v>51</v>
      </c>
      <c r="D59" s="66" t="s">
        <v>59</v>
      </c>
      <c r="E59" s="62" t="s">
        <v>1748</v>
      </c>
      <c r="F59" s="52" t="s">
        <v>2286</v>
      </c>
      <c r="G59" s="43" t="s">
        <v>1831</v>
      </c>
      <c r="H59" s="43">
        <v>3.0</v>
      </c>
      <c r="I59" s="43">
        <v>3.0</v>
      </c>
      <c r="J59" s="47" t="s">
        <v>1842</v>
      </c>
      <c r="K59" s="47"/>
      <c r="L59" s="63" t="s">
        <v>1831</v>
      </c>
      <c r="M59" s="63" t="s">
        <v>2376</v>
      </c>
      <c r="N59" s="43" t="s">
        <v>2377</v>
      </c>
      <c r="O59" s="65"/>
      <c r="P59" s="65"/>
    </row>
    <row r="60">
      <c r="A60" s="66" t="s">
        <v>65</v>
      </c>
      <c r="B60" s="83" t="s">
        <v>67</v>
      </c>
      <c r="C60" s="86" t="s">
        <v>51</v>
      </c>
      <c r="D60" s="66" t="s">
        <v>59</v>
      </c>
      <c r="E60" s="62" t="s">
        <v>1748</v>
      </c>
      <c r="F60" s="52" t="s">
        <v>2286</v>
      </c>
      <c r="G60" s="43" t="s">
        <v>1831</v>
      </c>
      <c r="H60" s="43">
        <v>2.0</v>
      </c>
      <c r="I60" s="43">
        <v>3.0</v>
      </c>
      <c r="J60" s="47" t="s">
        <v>1833</v>
      </c>
      <c r="K60" s="47"/>
      <c r="L60" s="43" t="s">
        <v>2386</v>
      </c>
      <c r="M60" s="43" t="s">
        <v>1831</v>
      </c>
      <c r="N60" s="43" t="s">
        <v>2388</v>
      </c>
      <c r="O60" s="65"/>
      <c r="P60" s="65"/>
    </row>
    <row r="61">
      <c r="A61" s="66" t="s">
        <v>567</v>
      </c>
      <c r="B61" s="66" t="s">
        <v>563</v>
      </c>
      <c r="C61" s="61" t="s">
        <v>51</v>
      </c>
      <c r="D61" s="66" t="s">
        <v>59</v>
      </c>
      <c r="E61" s="62" t="s">
        <v>1748</v>
      </c>
      <c r="F61" s="52" t="s">
        <v>2286</v>
      </c>
      <c r="G61" s="43" t="s">
        <v>1831</v>
      </c>
      <c r="H61" s="43">
        <v>2.0</v>
      </c>
      <c r="I61" s="43">
        <v>3.0</v>
      </c>
      <c r="J61" s="47" t="s">
        <v>1833</v>
      </c>
      <c r="K61" s="47"/>
      <c r="L61" s="43" t="s">
        <v>2392</v>
      </c>
      <c r="M61" s="43" t="s">
        <v>1831</v>
      </c>
      <c r="N61" s="43" t="s">
        <v>2394</v>
      </c>
      <c r="O61" s="65"/>
      <c r="P61" s="65"/>
    </row>
    <row r="62">
      <c r="A62" s="66" t="s">
        <v>1008</v>
      </c>
      <c r="B62" s="66" t="s">
        <v>1518</v>
      </c>
      <c r="C62" s="61" t="s">
        <v>603</v>
      </c>
      <c r="D62" s="66" t="s">
        <v>59</v>
      </c>
      <c r="E62" s="62" t="s">
        <v>1761</v>
      </c>
      <c r="F62" s="52" t="s">
        <v>2396</v>
      </c>
      <c r="G62" s="62">
        <v>4.0</v>
      </c>
      <c r="H62" s="63" t="s">
        <v>1831</v>
      </c>
      <c r="I62" s="62">
        <v>4.0</v>
      </c>
      <c r="J62" s="47" t="s">
        <v>1842</v>
      </c>
      <c r="K62" s="47"/>
      <c r="L62" s="63" t="s">
        <v>1831</v>
      </c>
      <c r="M62" s="63" t="s">
        <v>2397</v>
      </c>
      <c r="N62" s="63" t="s">
        <v>2398</v>
      </c>
      <c r="O62" s="65"/>
      <c r="P62" s="65"/>
    </row>
    <row r="63">
      <c r="A63" s="62" t="s">
        <v>296</v>
      </c>
      <c r="B63" s="62" t="s">
        <v>1610</v>
      </c>
      <c r="C63" s="61" t="s">
        <v>51</v>
      </c>
      <c r="D63" s="66" t="s">
        <v>59</v>
      </c>
      <c r="E63" s="62" t="s">
        <v>1770</v>
      </c>
      <c r="F63" s="52" t="s">
        <v>2399</v>
      </c>
      <c r="G63" s="65"/>
      <c r="H63" s="63">
        <v>3.5</v>
      </c>
      <c r="I63" s="62">
        <v>4.0</v>
      </c>
      <c r="J63" s="47" t="s">
        <v>1842</v>
      </c>
      <c r="K63" s="47"/>
      <c r="L63" s="67"/>
      <c r="M63" s="63" t="s">
        <v>2400</v>
      </c>
      <c r="N63" s="63" t="s">
        <v>2401</v>
      </c>
      <c r="O63" s="65"/>
      <c r="P63" s="65"/>
    </row>
    <row r="64">
      <c r="A64" s="62" t="s">
        <v>930</v>
      </c>
      <c r="B64" s="62" t="s">
        <v>932</v>
      </c>
      <c r="C64" s="61" t="s">
        <v>51</v>
      </c>
      <c r="D64" s="66" t="s">
        <v>59</v>
      </c>
      <c r="E64" s="62" t="s">
        <v>1770</v>
      </c>
      <c r="F64" s="52" t="s">
        <v>2399</v>
      </c>
      <c r="G64" s="65"/>
      <c r="H64" s="63">
        <v>3.5</v>
      </c>
      <c r="I64" s="62">
        <v>4.5</v>
      </c>
      <c r="J64" s="47" t="s">
        <v>1842</v>
      </c>
      <c r="K64" s="47"/>
      <c r="L64" s="67"/>
      <c r="M64" s="63" t="s">
        <v>2400</v>
      </c>
      <c r="N64" s="63" t="s">
        <v>2406</v>
      </c>
      <c r="O64" s="65"/>
      <c r="P64" s="65"/>
    </row>
    <row r="65">
      <c r="A65" s="66" t="s">
        <v>66</v>
      </c>
      <c r="B65" s="66" t="s">
        <v>2228</v>
      </c>
      <c r="C65" s="61" t="s">
        <v>51</v>
      </c>
      <c r="D65" s="66" t="s">
        <v>2044</v>
      </c>
      <c r="E65" s="62" t="s">
        <v>1772</v>
      </c>
      <c r="F65" s="52" t="s">
        <v>2407</v>
      </c>
      <c r="G65" s="65"/>
      <c r="H65" s="63">
        <v>2.0</v>
      </c>
      <c r="I65" s="62">
        <v>3.5</v>
      </c>
      <c r="J65" s="47" t="s">
        <v>1833</v>
      </c>
      <c r="K65" s="47"/>
      <c r="L65" s="63"/>
      <c r="M65" s="63" t="s">
        <v>2242</v>
      </c>
      <c r="N65" s="63" t="s">
        <v>2409</v>
      </c>
      <c r="O65" s="65"/>
      <c r="P65" s="65"/>
    </row>
    <row r="66">
      <c r="A66" s="66" t="s">
        <v>1024</v>
      </c>
      <c r="B66" s="66" t="s">
        <v>1678</v>
      </c>
      <c r="C66" s="61" t="s">
        <v>51</v>
      </c>
      <c r="D66" s="66" t="s">
        <v>59</v>
      </c>
      <c r="E66" s="62" t="s">
        <v>1748</v>
      </c>
      <c r="F66" s="52" t="s">
        <v>2286</v>
      </c>
      <c r="G66" s="43" t="s">
        <v>1831</v>
      </c>
      <c r="H66" s="102">
        <v>3.0</v>
      </c>
      <c r="I66" s="102">
        <v>3.0</v>
      </c>
      <c r="J66" s="47" t="s">
        <v>1842</v>
      </c>
      <c r="K66" s="47"/>
      <c r="L66" s="63" t="s">
        <v>1831</v>
      </c>
      <c r="M66" s="63" t="s">
        <v>2376</v>
      </c>
      <c r="N66" s="43" t="s">
        <v>2411</v>
      </c>
      <c r="O66" s="65"/>
      <c r="P66" s="65"/>
    </row>
    <row r="67">
      <c r="A67" s="66" t="s">
        <v>214</v>
      </c>
      <c r="B67" s="66" t="s">
        <v>215</v>
      </c>
      <c r="C67" s="61" t="s">
        <v>51</v>
      </c>
      <c r="D67" s="66" t="s">
        <v>59</v>
      </c>
      <c r="E67" s="62" t="s">
        <v>1748</v>
      </c>
      <c r="F67" s="52" t="s">
        <v>2286</v>
      </c>
      <c r="G67" s="43" t="s">
        <v>1831</v>
      </c>
      <c r="H67" s="102">
        <v>3.0</v>
      </c>
      <c r="I67" s="102">
        <v>3.0</v>
      </c>
      <c r="J67" s="47" t="s">
        <v>1842</v>
      </c>
      <c r="K67" s="47"/>
      <c r="L67" s="63" t="s">
        <v>1831</v>
      </c>
      <c r="M67" s="63" t="s">
        <v>2376</v>
      </c>
      <c r="N67" s="43" t="s">
        <v>2413</v>
      </c>
      <c r="O67" s="65"/>
      <c r="P67" s="65"/>
    </row>
    <row r="68">
      <c r="A68" s="66" t="s">
        <v>672</v>
      </c>
      <c r="B68" s="66" t="s">
        <v>1704</v>
      </c>
      <c r="C68" s="61" t="s">
        <v>51</v>
      </c>
      <c r="D68" s="66" t="s">
        <v>59</v>
      </c>
      <c r="E68" s="62" t="s">
        <v>1748</v>
      </c>
      <c r="F68" s="52" t="s">
        <v>2286</v>
      </c>
      <c r="G68" s="43" t="s">
        <v>1831</v>
      </c>
      <c r="H68" s="102">
        <v>4.0</v>
      </c>
      <c r="I68" s="102">
        <v>4.0</v>
      </c>
      <c r="J68" s="47" t="s">
        <v>1842</v>
      </c>
      <c r="K68" s="47" t="s">
        <v>1842</v>
      </c>
      <c r="L68" s="63" t="s">
        <v>1831</v>
      </c>
      <c r="M68" s="63" t="s">
        <v>2376</v>
      </c>
      <c r="N68" s="43" t="s">
        <v>2414</v>
      </c>
      <c r="O68" s="65"/>
      <c r="P68" s="65"/>
    </row>
    <row r="69">
      <c r="A69" s="66" t="s">
        <v>385</v>
      </c>
      <c r="B69" s="66" t="s">
        <v>1732</v>
      </c>
      <c r="C69" s="61" t="s">
        <v>51</v>
      </c>
      <c r="D69" s="66" t="s">
        <v>59</v>
      </c>
      <c r="E69" s="62" t="s">
        <v>1748</v>
      </c>
      <c r="F69" s="52" t="s">
        <v>2286</v>
      </c>
      <c r="G69" s="43" t="s">
        <v>1831</v>
      </c>
      <c r="H69" s="102">
        <v>4.0</v>
      </c>
      <c r="I69" s="102">
        <v>4.0</v>
      </c>
      <c r="J69" s="47" t="s">
        <v>1842</v>
      </c>
      <c r="K69" s="47" t="s">
        <v>1842</v>
      </c>
      <c r="L69" s="63" t="s">
        <v>1831</v>
      </c>
      <c r="M69" s="63" t="s">
        <v>2376</v>
      </c>
      <c r="N69" s="43" t="s">
        <v>2415</v>
      </c>
      <c r="O69" s="65"/>
      <c r="P69" s="65"/>
    </row>
    <row r="70">
      <c r="A70" s="66" t="s">
        <v>113</v>
      </c>
      <c r="B70" s="66" t="s">
        <v>115</v>
      </c>
      <c r="C70" s="61" t="s">
        <v>51</v>
      </c>
      <c r="D70" s="66" t="s">
        <v>59</v>
      </c>
      <c r="E70" s="62" t="s">
        <v>1770</v>
      </c>
      <c r="F70" s="52" t="s">
        <v>2416</v>
      </c>
      <c r="G70" s="65"/>
      <c r="H70" s="63">
        <v>2.5</v>
      </c>
      <c r="I70" s="62">
        <v>3.5</v>
      </c>
      <c r="J70" s="47" t="s">
        <v>1833</v>
      </c>
      <c r="K70" s="47"/>
      <c r="L70" s="63" t="s">
        <v>2417</v>
      </c>
      <c r="M70" s="63" t="s">
        <v>2418</v>
      </c>
      <c r="N70" s="63" t="s">
        <v>2419</v>
      </c>
      <c r="O70" s="65"/>
      <c r="P70" s="65"/>
    </row>
    <row r="71">
      <c r="A71" s="66" t="s">
        <v>217</v>
      </c>
      <c r="B71" s="66" t="s">
        <v>1645</v>
      </c>
      <c r="C71" s="61" t="s">
        <v>51</v>
      </c>
      <c r="D71" s="66" t="s">
        <v>59</v>
      </c>
      <c r="E71" s="62" t="s">
        <v>1770</v>
      </c>
      <c r="F71" s="52" t="s">
        <v>2421</v>
      </c>
      <c r="G71" s="65"/>
      <c r="H71" s="63">
        <v>3.5</v>
      </c>
      <c r="I71" s="62">
        <v>3.5</v>
      </c>
      <c r="J71" s="47" t="s">
        <v>1842</v>
      </c>
      <c r="K71" s="47"/>
      <c r="L71" s="67"/>
      <c r="M71" s="63" t="s">
        <v>2418</v>
      </c>
      <c r="N71" s="63" t="s">
        <v>2422</v>
      </c>
      <c r="O71" s="65"/>
      <c r="P71" s="65"/>
    </row>
    <row r="72">
      <c r="A72" s="66" t="s">
        <v>961</v>
      </c>
      <c r="B72" s="66" t="s">
        <v>962</v>
      </c>
      <c r="C72" s="61" t="s">
        <v>603</v>
      </c>
      <c r="D72" s="66" t="s">
        <v>59</v>
      </c>
      <c r="E72" s="62" t="s">
        <v>1752</v>
      </c>
      <c r="F72" s="52" t="s">
        <v>2423</v>
      </c>
      <c r="G72" s="65"/>
      <c r="H72" s="63">
        <v>3.5</v>
      </c>
      <c r="I72" s="62">
        <v>4.0</v>
      </c>
      <c r="J72" s="47" t="s">
        <v>1842</v>
      </c>
      <c r="K72" s="47"/>
      <c r="L72" s="63" t="s">
        <v>1831</v>
      </c>
      <c r="M72" s="63" t="s">
        <v>2424</v>
      </c>
      <c r="N72" s="63" t="s">
        <v>2425</v>
      </c>
      <c r="O72" s="65"/>
      <c r="P72" s="65"/>
    </row>
    <row r="73">
      <c r="A73" s="66" t="s">
        <v>368</v>
      </c>
      <c r="B73" s="66" t="s">
        <v>371</v>
      </c>
      <c r="C73" s="61" t="s">
        <v>603</v>
      </c>
      <c r="D73" s="66" t="s">
        <v>59</v>
      </c>
      <c r="E73" s="62" t="s">
        <v>1752</v>
      </c>
      <c r="F73" s="52" t="s">
        <v>2426</v>
      </c>
      <c r="G73" s="65"/>
      <c r="H73" s="63">
        <v>4.0</v>
      </c>
      <c r="I73" s="62">
        <v>3.5</v>
      </c>
      <c r="J73" s="47" t="s">
        <v>1842</v>
      </c>
      <c r="K73" s="47"/>
      <c r="L73" s="63" t="s">
        <v>1831</v>
      </c>
      <c r="M73" s="63" t="s">
        <v>2427</v>
      </c>
      <c r="N73" s="63" t="s">
        <v>2428</v>
      </c>
      <c r="O73" s="65"/>
      <c r="P73" s="65"/>
    </row>
    <row r="74">
      <c r="A74" s="66" t="s">
        <v>1095</v>
      </c>
      <c r="B74" s="66" t="s">
        <v>1097</v>
      </c>
      <c r="C74" s="61" t="s">
        <v>603</v>
      </c>
      <c r="D74" s="66" t="s">
        <v>59</v>
      </c>
      <c r="E74" s="62" t="s">
        <v>1752</v>
      </c>
      <c r="F74" s="52" t="s">
        <v>2429</v>
      </c>
      <c r="G74" s="65"/>
      <c r="H74" s="63">
        <v>3.0</v>
      </c>
      <c r="I74" s="62">
        <v>3.0</v>
      </c>
      <c r="J74" s="47" t="s">
        <v>1842</v>
      </c>
      <c r="K74" s="47"/>
      <c r="L74" s="63" t="s">
        <v>1831</v>
      </c>
      <c r="M74" s="63" t="s">
        <v>2430</v>
      </c>
      <c r="N74" s="63" t="s">
        <v>2431</v>
      </c>
      <c r="O74" s="65"/>
      <c r="P74" s="65"/>
    </row>
    <row r="75">
      <c r="A75" s="66" t="s">
        <v>485</v>
      </c>
      <c r="B75" s="66" t="s">
        <v>486</v>
      </c>
      <c r="C75" s="61" t="s">
        <v>603</v>
      </c>
      <c r="D75" s="66" t="s">
        <v>59</v>
      </c>
      <c r="E75" s="62" t="s">
        <v>1752</v>
      </c>
      <c r="F75" s="52"/>
      <c r="G75" s="65"/>
      <c r="H75" s="63">
        <v>3.5</v>
      </c>
      <c r="I75" s="62">
        <v>3.5</v>
      </c>
      <c r="J75" s="47" t="s">
        <v>1842</v>
      </c>
      <c r="K75" s="47"/>
      <c r="L75" s="63" t="s">
        <v>1831</v>
      </c>
      <c r="M75" s="63" t="s">
        <v>2433</v>
      </c>
      <c r="N75" s="63" t="s">
        <v>2434</v>
      </c>
      <c r="O75" s="65"/>
      <c r="P75" s="65"/>
    </row>
    <row r="76">
      <c r="A76" s="66" t="s">
        <v>137</v>
      </c>
      <c r="B76" s="66" t="s">
        <v>138</v>
      </c>
      <c r="C76" s="61" t="s">
        <v>603</v>
      </c>
      <c r="D76" s="66" t="s">
        <v>59</v>
      </c>
      <c r="E76" s="62" t="s">
        <v>1756</v>
      </c>
      <c r="F76" s="52" t="s">
        <v>2435</v>
      </c>
      <c r="G76" s="62">
        <v>4.0</v>
      </c>
      <c r="H76" s="67"/>
      <c r="I76" s="62">
        <v>3.5</v>
      </c>
      <c r="J76" s="47" t="s">
        <v>1842</v>
      </c>
      <c r="K76" s="47"/>
      <c r="L76" s="63" t="s">
        <v>1831</v>
      </c>
      <c r="M76" s="63" t="s">
        <v>2436</v>
      </c>
      <c r="N76" s="63" t="s">
        <v>2437</v>
      </c>
      <c r="O76" s="65"/>
      <c r="P76" s="65"/>
    </row>
    <row r="77">
      <c r="A77" s="66" t="s">
        <v>1370</v>
      </c>
      <c r="B77" s="66" t="s">
        <v>1651</v>
      </c>
      <c r="C77" s="61" t="s">
        <v>51</v>
      </c>
      <c r="D77" s="66" t="s">
        <v>59</v>
      </c>
      <c r="E77" s="62" t="s">
        <v>1780</v>
      </c>
      <c r="F77" s="52" t="s">
        <v>1953</v>
      </c>
      <c r="G77" s="65"/>
      <c r="H77" s="63">
        <v>3.0</v>
      </c>
      <c r="I77" s="62">
        <v>3.0</v>
      </c>
      <c r="J77" s="47" t="s">
        <v>1842</v>
      </c>
      <c r="K77" s="47"/>
      <c r="L77" s="63" t="s">
        <v>2438</v>
      </c>
      <c r="M77" s="63" t="s">
        <v>2439</v>
      </c>
      <c r="N77" s="63" t="s">
        <v>2440</v>
      </c>
      <c r="O77" s="65"/>
      <c r="P77" s="65"/>
    </row>
    <row r="78">
      <c r="A78" s="66" t="s">
        <v>267</v>
      </c>
      <c r="B78" s="66" t="s">
        <v>265</v>
      </c>
      <c r="C78" s="61" t="s">
        <v>51</v>
      </c>
      <c r="D78" s="66" t="s">
        <v>59</v>
      </c>
      <c r="E78" s="62" t="s">
        <v>1780</v>
      </c>
      <c r="F78" s="52"/>
      <c r="G78" s="65"/>
      <c r="H78" s="63">
        <v>1.0</v>
      </c>
      <c r="I78" s="62">
        <v>2.5</v>
      </c>
      <c r="J78" s="47" t="s">
        <v>1833</v>
      </c>
      <c r="K78" s="47"/>
      <c r="L78" s="63" t="s">
        <v>2441</v>
      </c>
      <c r="M78" s="67"/>
      <c r="N78" s="63" t="s">
        <v>2443</v>
      </c>
      <c r="O78" s="65"/>
      <c r="P78" s="65"/>
    </row>
    <row r="79">
      <c r="A79" s="66" t="s">
        <v>782</v>
      </c>
      <c r="B79" s="66" t="s">
        <v>783</v>
      </c>
      <c r="C79" s="61" t="s">
        <v>51</v>
      </c>
      <c r="D79" s="66" t="s">
        <v>49</v>
      </c>
      <c r="E79" s="62" t="s">
        <v>1748</v>
      </c>
      <c r="F79" s="52" t="s">
        <v>2286</v>
      </c>
      <c r="G79" s="43" t="s">
        <v>1831</v>
      </c>
      <c r="H79" s="43">
        <v>2.0</v>
      </c>
      <c r="I79" s="43">
        <v>3.0</v>
      </c>
      <c r="J79" s="47" t="s">
        <v>1833</v>
      </c>
      <c r="K79" s="47"/>
      <c r="L79" s="43" t="s">
        <v>2445</v>
      </c>
      <c r="M79" s="43" t="s">
        <v>1831</v>
      </c>
      <c r="N79" s="43" t="s">
        <v>2446</v>
      </c>
      <c r="O79" s="65"/>
      <c r="P79" s="65"/>
    </row>
    <row r="80">
      <c r="A80" s="66" t="s">
        <v>852</v>
      </c>
      <c r="B80" s="66" t="s">
        <v>853</v>
      </c>
      <c r="C80" s="61" t="s">
        <v>51</v>
      </c>
      <c r="D80" s="66" t="s">
        <v>49</v>
      </c>
      <c r="E80" s="62" t="s">
        <v>1748</v>
      </c>
      <c r="F80" s="52" t="s">
        <v>2286</v>
      </c>
      <c r="G80" s="43" t="s">
        <v>1831</v>
      </c>
      <c r="H80" s="102">
        <v>2.0</v>
      </c>
      <c r="I80" s="102">
        <v>3.0</v>
      </c>
      <c r="J80" s="47" t="s">
        <v>1833</v>
      </c>
      <c r="K80" s="47"/>
      <c r="L80" s="43" t="s">
        <v>2447</v>
      </c>
      <c r="M80" s="63" t="s">
        <v>2376</v>
      </c>
      <c r="N80" s="43" t="s">
        <v>2448</v>
      </c>
      <c r="O80" s="65"/>
      <c r="P80" s="65"/>
    </row>
    <row r="81">
      <c r="A81" s="66" t="s">
        <v>1439</v>
      </c>
      <c r="B81" s="66" t="s">
        <v>1440</v>
      </c>
      <c r="C81" s="61" t="s">
        <v>51</v>
      </c>
      <c r="D81" s="66" t="s">
        <v>49</v>
      </c>
      <c r="E81" s="62" t="s">
        <v>1748</v>
      </c>
      <c r="F81" s="52" t="s">
        <v>2286</v>
      </c>
      <c r="G81" s="43" t="s">
        <v>1831</v>
      </c>
      <c r="H81" s="102">
        <v>4.0</v>
      </c>
      <c r="I81" s="102">
        <v>4.0</v>
      </c>
      <c r="J81" s="47" t="s">
        <v>1842</v>
      </c>
      <c r="K81" s="47" t="s">
        <v>1842</v>
      </c>
      <c r="L81" s="63" t="s">
        <v>1831</v>
      </c>
      <c r="M81" s="63" t="s">
        <v>2376</v>
      </c>
      <c r="N81" s="43" t="s">
        <v>2449</v>
      </c>
      <c r="O81" s="65"/>
      <c r="P81" s="65"/>
    </row>
    <row r="82">
      <c r="A82" s="66" t="s">
        <v>239</v>
      </c>
      <c r="B82" s="66" t="s">
        <v>238</v>
      </c>
      <c r="C82" s="61" t="s">
        <v>51</v>
      </c>
      <c r="D82" s="66" t="s">
        <v>49</v>
      </c>
      <c r="E82" s="62" t="s">
        <v>1748</v>
      </c>
      <c r="F82" s="52" t="s">
        <v>2286</v>
      </c>
      <c r="G82" s="43" t="s">
        <v>1831</v>
      </c>
      <c r="H82" s="102">
        <v>2.0</v>
      </c>
      <c r="I82" s="102">
        <v>4.0</v>
      </c>
      <c r="J82" s="47" t="s">
        <v>1833</v>
      </c>
      <c r="K82" s="47"/>
      <c r="L82" s="43" t="s">
        <v>2450</v>
      </c>
      <c r="M82" s="63" t="s">
        <v>2376</v>
      </c>
      <c r="N82" s="43" t="s">
        <v>2451</v>
      </c>
      <c r="O82" s="65"/>
      <c r="P82" s="65"/>
    </row>
    <row r="83">
      <c r="A83" s="66" t="s">
        <v>1341</v>
      </c>
      <c r="B83" s="66" t="s">
        <v>1671</v>
      </c>
      <c r="C83" s="61" t="s">
        <v>51</v>
      </c>
      <c r="D83" s="66" t="s">
        <v>49</v>
      </c>
      <c r="E83" s="62" t="s">
        <v>2208</v>
      </c>
      <c r="F83" s="52"/>
      <c r="G83" s="62" t="s">
        <v>47</v>
      </c>
      <c r="H83" s="63">
        <v>3.0</v>
      </c>
      <c r="I83" s="62">
        <v>2.0</v>
      </c>
      <c r="J83" s="47" t="s">
        <v>1842</v>
      </c>
      <c r="K83" s="47"/>
      <c r="L83" s="67"/>
      <c r="M83" s="63" t="s">
        <v>2439</v>
      </c>
      <c r="N83" s="63" t="s">
        <v>2452</v>
      </c>
      <c r="O83" s="65"/>
      <c r="P83" s="65"/>
    </row>
    <row r="84">
      <c r="A84" s="66" t="s">
        <v>1030</v>
      </c>
      <c r="B84" s="66" t="s">
        <v>1508</v>
      </c>
      <c r="C84" s="61" t="s">
        <v>51</v>
      </c>
      <c r="D84" s="66" t="s">
        <v>49</v>
      </c>
      <c r="E84" s="62" t="s">
        <v>2208</v>
      </c>
      <c r="F84" s="52"/>
      <c r="G84" s="62" t="s">
        <v>47</v>
      </c>
      <c r="H84" s="63">
        <v>3.5</v>
      </c>
      <c r="I84" s="62">
        <v>3.0</v>
      </c>
      <c r="J84" s="47" t="s">
        <v>1842</v>
      </c>
      <c r="K84" s="47"/>
      <c r="L84" s="67"/>
      <c r="M84" s="63" t="s">
        <v>2439</v>
      </c>
      <c r="N84" s="63" t="s">
        <v>2453</v>
      </c>
      <c r="O84" s="65"/>
      <c r="P84" s="65"/>
    </row>
    <row r="85">
      <c r="A85" s="66" t="s">
        <v>1164</v>
      </c>
      <c r="B85" s="66" t="s">
        <v>1511</v>
      </c>
      <c r="C85" s="61" t="s">
        <v>51</v>
      </c>
      <c r="D85" s="66" t="s">
        <v>49</v>
      </c>
      <c r="E85" s="62" t="s">
        <v>1748</v>
      </c>
      <c r="F85" s="52" t="s">
        <v>2286</v>
      </c>
      <c r="G85" s="43" t="s">
        <v>1831</v>
      </c>
      <c r="H85" s="63">
        <v>4.0</v>
      </c>
      <c r="I85" s="62">
        <v>4.0</v>
      </c>
      <c r="J85" s="47" t="s">
        <v>1842</v>
      </c>
      <c r="K85" s="47" t="s">
        <v>1842</v>
      </c>
      <c r="L85" s="63" t="s">
        <v>1831</v>
      </c>
      <c r="M85" s="63" t="s">
        <v>2439</v>
      </c>
      <c r="N85" s="110" t="s">
        <v>2455</v>
      </c>
      <c r="O85" s="65"/>
      <c r="P85" s="65"/>
    </row>
    <row r="86">
      <c r="A86" s="66" t="s">
        <v>32</v>
      </c>
      <c r="B86" s="66" t="s">
        <v>2456</v>
      </c>
      <c r="C86" s="61" t="s">
        <v>51</v>
      </c>
      <c r="D86" s="66" t="s">
        <v>59</v>
      </c>
      <c r="E86" s="62" t="s">
        <v>1777</v>
      </c>
      <c r="F86" s="52" t="s">
        <v>2457</v>
      </c>
      <c r="G86" s="62" t="s">
        <v>1831</v>
      </c>
      <c r="H86" s="63">
        <v>4.0</v>
      </c>
      <c r="I86" s="62">
        <v>3.0</v>
      </c>
      <c r="J86" s="47" t="s">
        <v>1833</v>
      </c>
      <c r="K86" s="47"/>
      <c r="L86" s="63" t="s">
        <v>2458</v>
      </c>
      <c r="M86" s="63" t="s">
        <v>2439</v>
      </c>
      <c r="N86" s="63" t="s">
        <v>2459</v>
      </c>
      <c r="O86" s="65"/>
      <c r="P86" s="65"/>
    </row>
    <row r="87">
      <c r="A87" s="66" t="s">
        <v>201</v>
      </c>
      <c r="B87" s="66" t="s">
        <v>202</v>
      </c>
      <c r="C87" s="61" t="s">
        <v>51</v>
      </c>
      <c r="D87" s="66" t="s">
        <v>59</v>
      </c>
      <c r="E87" s="62" t="s">
        <v>1777</v>
      </c>
      <c r="F87" s="52" t="s">
        <v>2460</v>
      </c>
      <c r="G87" s="62" t="s">
        <v>1831</v>
      </c>
      <c r="H87" s="63">
        <v>3.0</v>
      </c>
      <c r="I87" s="62">
        <v>3.0</v>
      </c>
      <c r="J87" s="47" t="s">
        <v>1833</v>
      </c>
      <c r="K87" s="47"/>
      <c r="L87" s="63" t="s">
        <v>2461</v>
      </c>
      <c r="M87" s="63" t="s">
        <v>2439</v>
      </c>
      <c r="N87" s="63" t="s">
        <v>2462</v>
      </c>
      <c r="O87" s="65"/>
      <c r="P87" s="65"/>
    </row>
    <row r="88">
      <c r="A88" s="66" t="s">
        <v>1170</v>
      </c>
      <c r="B88" s="66" t="s">
        <v>1171</v>
      </c>
      <c r="C88" s="61" t="s">
        <v>51</v>
      </c>
      <c r="D88" s="62" t="s">
        <v>59</v>
      </c>
      <c r="E88" s="62" t="s">
        <v>1777</v>
      </c>
      <c r="F88" s="52" t="s">
        <v>2463</v>
      </c>
      <c r="G88" s="62" t="s">
        <v>1831</v>
      </c>
      <c r="H88" s="63">
        <v>4.0</v>
      </c>
      <c r="I88" s="62">
        <v>4.0</v>
      </c>
      <c r="J88" s="47" t="s">
        <v>1842</v>
      </c>
      <c r="K88" s="47"/>
      <c r="L88" s="67"/>
      <c r="M88" s="63" t="s">
        <v>2439</v>
      </c>
      <c r="N88" s="63" t="s">
        <v>2465</v>
      </c>
      <c r="O88" s="65"/>
      <c r="P88" s="65"/>
    </row>
    <row r="89">
      <c r="A89" s="66" t="s">
        <v>38</v>
      </c>
      <c r="B89" s="66" t="s">
        <v>40</v>
      </c>
      <c r="C89" s="61" t="s">
        <v>51</v>
      </c>
      <c r="D89" s="62" t="s">
        <v>59</v>
      </c>
      <c r="E89" s="62" t="s">
        <v>1777</v>
      </c>
      <c r="F89" s="52" t="s">
        <v>2466</v>
      </c>
      <c r="G89" s="62" t="s">
        <v>1831</v>
      </c>
      <c r="H89" s="63">
        <v>5.0</v>
      </c>
      <c r="I89" s="62">
        <v>5.0</v>
      </c>
      <c r="J89" s="47" t="s">
        <v>1842</v>
      </c>
      <c r="K89" s="47"/>
      <c r="L89" s="63" t="s">
        <v>1831</v>
      </c>
      <c r="M89" s="63" t="s">
        <v>2439</v>
      </c>
      <c r="N89" s="63" t="s">
        <v>2467</v>
      </c>
      <c r="O89" s="65"/>
      <c r="P89" s="65"/>
    </row>
    <row r="90">
      <c r="A90" s="62" t="s">
        <v>132</v>
      </c>
      <c r="B90" s="62" t="s">
        <v>133</v>
      </c>
      <c r="C90" s="61" t="s">
        <v>51</v>
      </c>
      <c r="D90" s="62" t="s">
        <v>49</v>
      </c>
      <c r="E90" s="62" t="s">
        <v>1748</v>
      </c>
      <c r="F90" s="52" t="s">
        <v>2286</v>
      </c>
      <c r="G90" s="43" t="s">
        <v>1831</v>
      </c>
      <c r="H90" s="63">
        <v>4.0</v>
      </c>
      <c r="I90" s="62">
        <v>4.0</v>
      </c>
      <c r="J90" s="47" t="s">
        <v>1842</v>
      </c>
      <c r="K90" s="47" t="s">
        <v>1842</v>
      </c>
      <c r="L90" s="63" t="s">
        <v>1831</v>
      </c>
      <c r="M90" s="63" t="s">
        <v>2439</v>
      </c>
      <c r="N90" s="110" t="s">
        <v>2468</v>
      </c>
      <c r="O90" s="65"/>
      <c r="P90" s="65"/>
    </row>
    <row r="91">
      <c r="A91" s="66" t="s">
        <v>77</v>
      </c>
      <c r="B91" s="66" t="s">
        <v>1475</v>
      </c>
      <c r="C91" s="51" t="s">
        <v>51</v>
      </c>
      <c r="D91" s="65" t="s">
        <v>59</v>
      </c>
      <c r="E91" s="62" t="s">
        <v>1777</v>
      </c>
      <c r="F91" s="52" t="s">
        <v>2469</v>
      </c>
      <c r="G91" s="43" t="s">
        <v>1831</v>
      </c>
      <c r="H91" s="63">
        <v>5.0</v>
      </c>
      <c r="I91" s="62">
        <v>3.0</v>
      </c>
      <c r="J91" s="47" t="s">
        <v>1842</v>
      </c>
      <c r="K91" s="47"/>
      <c r="L91" s="63" t="s">
        <v>1831</v>
      </c>
      <c r="M91" s="63" t="s">
        <v>2439</v>
      </c>
      <c r="N91" s="63" t="s">
        <v>2470</v>
      </c>
      <c r="O91" s="65"/>
      <c r="P91" s="65"/>
    </row>
    <row r="92">
      <c r="A92" s="66" t="s">
        <v>41</v>
      </c>
      <c r="B92" s="66" t="s">
        <v>42</v>
      </c>
      <c r="C92" s="51" t="s">
        <v>51</v>
      </c>
      <c r="D92" s="65" t="s">
        <v>59</v>
      </c>
      <c r="E92" s="62" t="s">
        <v>1777</v>
      </c>
      <c r="F92" s="52" t="s">
        <v>2472</v>
      </c>
      <c r="G92" s="43" t="s">
        <v>1831</v>
      </c>
      <c r="H92" s="63">
        <v>3.0</v>
      </c>
      <c r="I92" s="62">
        <v>4.0</v>
      </c>
      <c r="J92" s="47" t="s">
        <v>1842</v>
      </c>
      <c r="K92" s="47"/>
      <c r="L92" s="67"/>
      <c r="M92" s="63" t="s">
        <v>2439</v>
      </c>
      <c r="N92" s="63" t="s">
        <v>2473</v>
      </c>
      <c r="O92" s="65"/>
      <c r="P92" s="65"/>
    </row>
    <row r="93">
      <c r="A93" s="66" t="s">
        <v>592</v>
      </c>
      <c r="B93" s="66" t="s">
        <v>1598</v>
      </c>
      <c r="C93" s="51" t="s">
        <v>51</v>
      </c>
      <c r="D93" s="65" t="s">
        <v>59</v>
      </c>
      <c r="E93" s="62" t="s">
        <v>2208</v>
      </c>
      <c r="F93" s="52"/>
      <c r="G93" s="43" t="s">
        <v>1831</v>
      </c>
      <c r="H93" s="63">
        <v>4.0</v>
      </c>
      <c r="I93" s="62">
        <v>4.0</v>
      </c>
      <c r="J93" s="47" t="s">
        <v>1842</v>
      </c>
      <c r="K93" s="47"/>
      <c r="L93" s="67"/>
      <c r="M93" s="67"/>
      <c r="N93" s="67"/>
      <c r="O93" s="65"/>
      <c r="P93" s="65"/>
    </row>
    <row r="94">
      <c r="A94" s="66" t="s">
        <v>835</v>
      </c>
      <c r="B94" s="66" t="s">
        <v>836</v>
      </c>
      <c r="C94" s="51" t="s">
        <v>51</v>
      </c>
      <c r="D94" s="65" t="s">
        <v>59</v>
      </c>
      <c r="E94" s="62" t="s">
        <v>1784</v>
      </c>
      <c r="F94" s="52" t="s">
        <v>2472</v>
      </c>
      <c r="G94" s="62" t="s">
        <v>47</v>
      </c>
      <c r="H94" s="63">
        <v>3.0</v>
      </c>
      <c r="I94" s="62">
        <v>3.0</v>
      </c>
      <c r="J94" s="47" t="s">
        <v>1842</v>
      </c>
      <c r="K94" s="47"/>
      <c r="L94" s="67"/>
      <c r="M94" s="63" t="s">
        <v>2439</v>
      </c>
      <c r="N94" s="63" t="s">
        <v>2474</v>
      </c>
      <c r="O94" s="65"/>
      <c r="P94" s="65"/>
    </row>
    <row r="95">
      <c r="A95" s="66" t="s">
        <v>975</v>
      </c>
      <c r="B95" s="66" t="s">
        <v>977</v>
      </c>
      <c r="C95" s="51" t="s">
        <v>51</v>
      </c>
      <c r="D95" s="65" t="s">
        <v>59</v>
      </c>
      <c r="E95" s="62" t="s">
        <v>1784</v>
      </c>
      <c r="F95" s="52" t="s">
        <v>2475</v>
      </c>
      <c r="G95" s="65"/>
      <c r="H95" s="63">
        <v>4.0</v>
      </c>
      <c r="I95" s="62">
        <v>4.0</v>
      </c>
      <c r="J95" s="47" t="s">
        <v>1842</v>
      </c>
      <c r="K95" s="47"/>
      <c r="L95" s="67"/>
      <c r="M95" s="63" t="s">
        <v>2439</v>
      </c>
      <c r="N95" s="63" t="s">
        <v>2476</v>
      </c>
      <c r="O95" s="65"/>
      <c r="P95" s="65"/>
    </row>
    <row r="96">
      <c r="A96" s="66" t="s">
        <v>527</v>
      </c>
      <c r="B96" s="66" t="s">
        <v>528</v>
      </c>
      <c r="C96" s="51" t="s">
        <v>51</v>
      </c>
      <c r="D96" s="65" t="s">
        <v>59</v>
      </c>
      <c r="E96" s="62" t="s">
        <v>1748</v>
      </c>
      <c r="F96" s="52" t="s">
        <v>2286</v>
      </c>
      <c r="G96" s="43" t="s">
        <v>1831</v>
      </c>
      <c r="H96" s="43">
        <v>2.0</v>
      </c>
      <c r="I96" s="43">
        <v>3.0</v>
      </c>
      <c r="J96" s="47" t="s">
        <v>1833</v>
      </c>
      <c r="K96" s="47"/>
      <c r="L96" s="43" t="s">
        <v>2477</v>
      </c>
      <c r="M96" s="43" t="s">
        <v>1831</v>
      </c>
      <c r="N96" s="43" t="s">
        <v>2478</v>
      </c>
      <c r="O96" s="65"/>
      <c r="P96" s="65"/>
    </row>
    <row r="97">
      <c r="A97" s="66" t="s">
        <v>26</v>
      </c>
      <c r="B97" s="66" t="s">
        <v>1559</v>
      </c>
      <c r="C97" s="51" t="s">
        <v>51</v>
      </c>
      <c r="D97" s="65" t="s">
        <v>59</v>
      </c>
      <c r="E97" s="62" t="s">
        <v>1748</v>
      </c>
      <c r="F97" s="52" t="s">
        <v>2286</v>
      </c>
      <c r="G97" s="43" t="s">
        <v>1831</v>
      </c>
      <c r="H97" s="43">
        <v>2.0</v>
      </c>
      <c r="I97" s="43">
        <v>3.0</v>
      </c>
      <c r="J97" s="47" t="s">
        <v>1833</v>
      </c>
      <c r="K97" s="47"/>
      <c r="L97" s="43" t="s">
        <v>2479</v>
      </c>
      <c r="M97" s="43" t="s">
        <v>1831</v>
      </c>
      <c r="N97" s="43" t="s">
        <v>2480</v>
      </c>
      <c r="O97" s="65"/>
      <c r="P97" s="65"/>
    </row>
    <row r="98">
      <c r="A98" s="66" t="s">
        <v>150</v>
      </c>
      <c r="B98" s="66" t="s">
        <v>1010</v>
      </c>
      <c r="C98" s="51" t="s">
        <v>51</v>
      </c>
      <c r="D98" s="65" t="s">
        <v>59</v>
      </c>
      <c r="E98" s="62" t="s">
        <v>1748</v>
      </c>
      <c r="F98" s="52" t="s">
        <v>2286</v>
      </c>
      <c r="G98" s="43" t="s">
        <v>1831</v>
      </c>
      <c r="H98" s="43">
        <v>2.0</v>
      </c>
      <c r="I98" s="43">
        <v>3.0</v>
      </c>
      <c r="J98" s="47" t="s">
        <v>1833</v>
      </c>
      <c r="K98" s="47"/>
      <c r="L98" s="43" t="s">
        <v>2481</v>
      </c>
      <c r="M98" s="43" t="s">
        <v>1831</v>
      </c>
      <c r="N98" s="43" t="s">
        <v>2482</v>
      </c>
      <c r="O98" s="65"/>
      <c r="P98" s="65"/>
    </row>
    <row r="99">
      <c r="A99" s="66" t="s">
        <v>236</v>
      </c>
      <c r="B99" s="66" t="s">
        <v>237</v>
      </c>
      <c r="C99" s="51" t="s">
        <v>51</v>
      </c>
      <c r="D99" s="65" t="s">
        <v>59</v>
      </c>
      <c r="E99" s="62" t="s">
        <v>1748</v>
      </c>
      <c r="F99" s="52" t="s">
        <v>2286</v>
      </c>
      <c r="G99" s="43" t="s">
        <v>1831</v>
      </c>
      <c r="H99" s="63">
        <v>4.0</v>
      </c>
      <c r="I99" s="62">
        <v>4.0</v>
      </c>
      <c r="J99" s="47" t="s">
        <v>1842</v>
      </c>
      <c r="K99" s="47" t="s">
        <v>1842</v>
      </c>
      <c r="L99" s="63" t="s">
        <v>1831</v>
      </c>
      <c r="M99" s="63" t="s">
        <v>2439</v>
      </c>
      <c r="N99" s="110" t="s">
        <v>2484</v>
      </c>
      <c r="O99" s="65"/>
      <c r="P99" s="65"/>
    </row>
    <row r="100">
      <c r="A100" s="66" t="s">
        <v>646</v>
      </c>
      <c r="B100" s="66" t="s">
        <v>1585</v>
      </c>
      <c r="C100" s="51" t="s">
        <v>51</v>
      </c>
      <c r="D100" s="65" t="s">
        <v>59</v>
      </c>
      <c r="E100" s="62" t="s">
        <v>1770</v>
      </c>
      <c r="F100" s="52" t="s">
        <v>2485</v>
      </c>
      <c r="G100" s="62" t="s">
        <v>47</v>
      </c>
      <c r="H100" s="63">
        <v>5.0</v>
      </c>
      <c r="I100" s="62">
        <v>5.0</v>
      </c>
      <c r="J100" s="47" t="s">
        <v>1842</v>
      </c>
      <c r="K100" s="47"/>
      <c r="L100" s="63" t="s">
        <v>47</v>
      </c>
      <c r="M100" s="63" t="s">
        <v>2487</v>
      </c>
      <c r="N100" s="63" t="s">
        <v>2488</v>
      </c>
      <c r="O100" s="65"/>
      <c r="P100" s="65"/>
    </row>
    <row r="101">
      <c r="A101" s="66" t="s">
        <v>211</v>
      </c>
      <c r="B101" s="66" t="s">
        <v>1565</v>
      </c>
      <c r="C101" s="51" t="s">
        <v>51</v>
      </c>
      <c r="D101" s="65" t="s">
        <v>59</v>
      </c>
      <c r="E101" s="62" t="s">
        <v>1770</v>
      </c>
      <c r="F101" s="52" t="s">
        <v>2489</v>
      </c>
      <c r="G101" s="62" t="s">
        <v>47</v>
      </c>
      <c r="H101" s="63">
        <v>2.0</v>
      </c>
      <c r="I101" s="62">
        <v>2.5</v>
      </c>
      <c r="J101" s="47" t="s">
        <v>1833</v>
      </c>
      <c r="K101" s="47"/>
      <c r="L101" s="63" t="s">
        <v>2490</v>
      </c>
      <c r="M101" s="63" t="s">
        <v>2491</v>
      </c>
      <c r="N101" s="63" t="s">
        <v>2492</v>
      </c>
      <c r="O101" s="65"/>
      <c r="P101" s="65"/>
    </row>
    <row r="102">
      <c r="A102" s="66" t="s">
        <v>532</v>
      </c>
      <c r="B102" s="66" t="s">
        <v>529</v>
      </c>
      <c r="C102" s="51" t="s">
        <v>51</v>
      </c>
      <c r="D102" s="65" t="s">
        <v>59</v>
      </c>
      <c r="E102" s="62" t="s">
        <v>2208</v>
      </c>
      <c r="F102" s="52" t="s">
        <v>2493</v>
      </c>
      <c r="G102" s="65"/>
      <c r="H102" s="63">
        <v>2.5</v>
      </c>
      <c r="I102" s="62">
        <v>3.5</v>
      </c>
      <c r="J102" s="47" t="s">
        <v>1833</v>
      </c>
      <c r="K102" s="47"/>
      <c r="L102" s="67"/>
      <c r="M102" s="63" t="s">
        <v>2494</v>
      </c>
      <c r="N102" s="67"/>
      <c r="O102" s="65"/>
      <c r="P102" s="62" t="s">
        <v>2495</v>
      </c>
    </row>
    <row r="103">
      <c r="A103" s="66" t="s">
        <v>39</v>
      </c>
      <c r="B103" s="66" t="s">
        <v>37</v>
      </c>
      <c r="C103" s="51" t="s">
        <v>51</v>
      </c>
      <c r="D103" s="65" t="s">
        <v>59</v>
      </c>
      <c r="E103" s="62" t="s">
        <v>1748</v>
      </c>
      <c r="F103" s="52" t="s">
        <v>2286</v>
      </c>
      <c r="G103" s="62" t="s">
        <v>47</v>
      </c>
      <c r="H103" s="63">
        <v>2.0</v>
      </c>
      <c r="I103" s="63">
        <v>4.0</v>
      </c>
      <c r="J103" s="47" t="s">
        <v>1833</v>
      </c>
      <c r="K103" s="47"/>
      <c r="L103" s="110" t="s">
        <v>2496</v>
      </c>
      <c r="M103" s="63" t="s">
        <v>47</v>
      </c>
      <c r="N103" s="63" t="s">
        <v>2497</v>
      </c>
      <c r="O103" s="65"/>
      <c r="P103" s="65"/>
    </row>
    <row r="104">
      <c r="A104" s="62" t="s">
        <v>32</v>
      </c>
      <c r="B104" s="62" t="s">
        <v>2456</v>
      </c>
      <c r="C104" s="51" t="s">
        <v>51</v>
      </c>
      <c r="D104" s="65" t="s">
        <v>59</v>
      </c>
      <c r="E104" s="62" t="s">
        <v>1748</v>
      </c>
      <c r="F104" s="52" t="s">
        <v>2286</v>
      </c>
      <c r="G104" s="62" t="s">
        <v>47</v>
      </c>
      <c r="H104" s="63">
        <v>3.0</v>
      </c>
      <c r="I104" s="63">
        <v>3.0</v>
      </c>
      <c r="J104" s="47" t="s">
        <v>1842</v>
      </c>
      <c r="K104" s="47"/>
      <c r="L104" s="63" t="s">
        <v>47</v>
      </c>
      <c r="M104" s="63" t="s">
        <v>2439</v>
      </c>
      <c r="N104" s="63" t="s">
        <v>2498</v>
      </c>
      <c r="O104" s="65"/>
      <c r="P104" s="65"/>
    </row>
    <row r="105">
      <c r="A105" s="66" t="s">
        <v>174</v>
      </c>
      <c r="B105" s="66" t="s">
        <v>175</v>
      </c>
      <c r="C105" s="51" t="s">
        <v>51</v>
      </c>
      <c r="D105" s="65" t="s">
        <v>59</v>
      </c>
      <c r="E105" s="62" t="s">
        <v>1748</v>
      </c>
      <c r="F105" s="52" t="s">
        <v>2286</v>
      </c>
      <c r="G105" s="62" t="s">
        <v>47</v>
      </c>
      <c r="H105" s="63">
        <v>2.0</v>
      </c>
      <c r="I105" s="63">
        <v>4.0</v>
      </c>
      <c r="J105" s="47" t="s">
        <v>1833</v>
      </c>
      <c r="K105" s="47"/>
      <c r="L105" s="110" t="s">
        <v>2499</v>
      </c>
      <c r="M105" s="63" t="s">
        <v>47</v>
      </c>
      <c r="N105" s="63" t="s">
        <v>2500</v>
      </c>
      <c r="O105" s="65"/>
      <c r="P105" s="65"/>
    </row>
    <row r="106">
      <c r="A106" s="66" t="s">
        <v>92</v>
      </c>
      <c r="B106" s="66" t="s">
        <v>94</v>
      </c>
      <c r="C106" s="51" t="s">
        <v>603</v>
      </c>
      <c r="D106" s="65" t="s">
        <v>59</v>
      </c>
      <c r="E106" s="62" t="s">
        <v>2501</v>
      </c>
      <c r="F106" s="52" t="s">
        <v>2502</v>
      </c>
      <c r="G106" s="62">
        <v>4.0</v>
      </c>
      <c r="H106" s="63" t="s">
        <v>47</v>
      </c>
      <c r="I106" s="62">
        <v>4.0</v>
      </c>
      <c r="J106" s="47" t="s">
        <v>1842</v>
      </c>
      <c r="K106" s="47"/>
      <c r="L106" s="67"/>
      <c r="M106" s="63" t="s">
        <v>2503</v>
      </c>
      <c r="N106" s="63" t="s">
        <v>2504</v>
      </c>
      <c r="O106" s="65"/>
      <c r="P106" s="65"/>
    </row>
    <row r="107">
      <c r="A107" s="66" t="s">
        <v>542</v>
      </c>
      <c r="B107" s="66" t="s">
        <v>544</v>
      </c>
      <c r="C107" s="51" t="s">
        <v>51</v>
      </c>
      <c r="D107" s="65" t="s">
        <v>59</v>
      </c>
      <c r="E107" s="62" t="s">
        <v>1748</v>
      </c>
      <c r="F107" s="52" t="s">
        <v>2286</v>
      </c>
      <c r="G107" s="62" t="s">
        <v>47</v>
      </c>
      <c r="H107" s="63">
        <v>4.0</v>
      </c>
      <c r="I107" s="63">
        <v>5.0</v>
      </c>
      <c r="J107" s="47" t="s">
        <v>1842</v>
      </c>
      <c r="K107" s="47" t="s">
        <v>1842</v>
      </c>
      <c r="L107" s="63" t="s">
        <v>47</v>
      </c>
      <c r="M107" s="63" t="s">
        <v>2439</v>
      </c>
      <c r="N107" s="63" t="s">
        <v>2505</v>
      </c>
      <c r="O107" s="122"/>
      <c r="P107" s="122"/>
      <c r="Q107" s="123"/>
    </row>
    <row r="108" ht="63.0" customHeight="1">
      <c r="A108" s="66" t="s">
        <v>283</v>
      </c>
      <c r="B108" s="66" t="s">
        <v>1663</v>
      </c>
      <c r="C108" s="51" t="s">
        <v>51</v>
      </c>
      <c r="D108" s="65" t="s">
        <v>59</v>
      </c>
      <c r="E108" s="66" t="s">
        <v>1748</v>
      </c>
      <c r="F108" s="52" t="s">
        <v>2286</v>
      </c>
      <c r="G108" s="62" t="s">
        <v>47</v>
      </c>
      <c r="H108" s="63">
        <v>2.0</v>
      </c>
      <c r="I108" s="63">
        <v>4.0</v>
      </c>
      <c r="J108" s="47" t="s">
        <v>1833</v>
      </c>
      <c r="K108" s="47"/>
      <c r="L108" s="63" t="s">
        <v>2506</v>
      </c>
      <c r="M108" s="63" t="s">
        <v>47</v>
      </c>
      <c r="N108" s="63" t="s">
        <v>2507</v>
      </c>
      <c r="O108" s="65"/>
      <c r="P108" s="65"/>
    </row>
    <row r="109">
      <c r="A109" s="66" t="s">
        <v>454</v>
      </c>
      <c r="B109" s="66" t="s">
        <v>455</v>
      </c>
      <c r="C109" s="61" t="s">
        <v>51</v>
      </c>
      <c r="D109" s="65" t="s">
        <v>59</v>
      </c>
      <c r="E109" s="66" t="s">
        <v>1748</v>
      </c>
      <c r="F109" s="52" t="s">
        <v>2286</v>
      </c>
      <c r="G109" s="62" t="s">
        <v>47</v>
      </c>
      <c r="H109" s="63">
        <v>4.0</v>
      </c>
      <c r="I109" s="63">
        <v>5.0</v>
      </c>
      <c r="J109" s="47" t="s">
        <v>1842</v>
      </c>
      <c r="K109" s="47" t="s">
        <v>1842</v>
      </c>
      <c r="L109" s="63" t="s">
        <v>47</v>
      </c>
      <c r="M109" s="63" t="s">
        <v>2439</v>
      </c>
      <c r="N109" s="63" t="s">
        <v>2509</v>
      </c>
      <c r="O109" s="122"/>
      <c r="P109" s="122"/>
      <c r="Q109" s="123"/>
    </row>
    <row r="110">
      <c r="A110" s="66" t="s">
        <v>370</v>
      </c>
      <c r="B110" s="66" t="s">
        <v>367</v>
      </c>
      <c r="C110" s="51" t="s">
        <v>51</v>
      </c>
      <c r="D110" s="65" t="s">
        <v>59</v>
      </c>
      <c r="E110" s="66" t="s">
        <v>1748</v>
      </c>
      <c r="F110" s="52" t="s">
        <v>2286</v>
      </c>
      <c r="G110" s="62" t="s">
        <v>47</v>
      </c>
      <c r="H110" s="63">
        <v>2.0</v>
      </c>
      <c r="I110" s="63">
        <v>3.0</v>
      </c>
      <c r="J110" s="47" t="s">
        <v>1833</v>
      </c>
      <c r="K110" s="47"/>
      <c r="L110" s="63" t="s">
        <v>2510</v>
      </c>
      <c r="M110" s="63" t="s">
        <v>47</v>
      </c>
      <c r="N110" s="63" t="s">
        <v>2511</v>
      </c>
      <c r="O110" s="122"/>
      <c r="P110" s="122"/>
      <c r="Q110" s="123"/>
    </row>
    <row r="111">
      <c r="A111" s="66" t="s">
        <v>21</v>
      </c>
      <c r="B111" s="66" t="s">
        <v>1536</v>
      </c>
      <c r="C111" s="61" t="s">
        <v>51</v>
      </c>
      <c r="D111" s="65" t="s">
        <v>59</v>
      </c>
      <c r="E111" s="66" t="s">
        <v>1784</v>
      </c>
      <c r="F111" s="43" t="s">
        <v>2286</v>
      </c>
      <c r="G111" s="66" t="s">
        <v>47</v>
      </c>
      <c r="H111" s="52">
        <v>4.0</v>
      </c>
      <c r="I111" s="52">
        <v>5.0</v>
      </c>
      <c r="J111" s="47" t="s">
        <v>1842</v>
      </c>
      <c r="K111" s="47"/>
      <c r="L111" s="122"/>
      <c r="M111" s="52" t="s">
        <v>2512</v>
      </c>
      <c r="N111" s="52" t="s">
        <v>2513</v>
      </c>
      <c r="O111" s="122"/>
      <c r="P111" s="122"/>
      <c r="Q111" s="123"/>
    </row>
    <row r="112">
      <c r="A112" s="66" t="s">
        <v>524</v>
      </c>
      <c r="B112" s="66" t="s">
        <v>1306</v>
      </c>
      <c r="C112" s="61" t="s">
        <v>603</v>
      </c>
      <c r="D112" s="65" t="s">
        <v>59</v>
      </c>
      <c r="E112" s="66" t="s">
        <v>2501</v>
      </c>
      <c r="F112" s="47" t="s">
        <v>2514</v>
      </c>
      <c r="G112" s="66">
        <v>3.0</v>
      </c>
      <c r="H112" s="52" t="s">
        <v>47</v>
      </c>
      <c r="I112" s="52">
        <v>2.0</v>
      </c>
      <c r="J112" s="47" t="s">
        <v>1833</v>
      </c>
      <c r="K112" s="47"/>
      <c r="L112" s="52" t="s">
        <v>2515</v>
      </c>
      <c r="M112" s="122"/>
      <c r="N112" s="122"/>
      <c r="O112" s="122"/>
      <c r="P112" s="122"/>
      <c r="Q112" s="123"/>
    </row>
    <row r="113">
      <c r="A113" s="66" t="s">
        <v>80</v>
      </c>
      <c r="B113" s="66" t="s">
        <v>81</v>
      </c>
      <c r="C113" s="61" t="s">
        <v>51</v>
      </c>
      <c r="D113" s="65" t="s">
        <v>59</v>
      </c>
      <c r="E113" s="66" t="s">
        <v>1784</v>
      </c>
      <c r="F113" s="43" t="s">
        <v>2286</v>
      </c>
      <c r="G113" s="66" t="s">
        <v>47</v>
      </c>
      <c r="H113" s="52">
        <v>3.5</v>
      </c>
      <c r="I113" s="52">
        <v>5.0</v>
      </c>
      <c r="J113" s="47" t="s">
        <v>1842</v>
      </c>
      <c r="K113" s="47"/>
      <c r="L113" s="122"/>
      <c r="M113" s="52" t="s">
        <v>2512</v>
      </c>
      <c r="N113" s="52" t="s">
        <v>2516</v>
      </c>
      <c r="O113" s="122"/>
      <c r="P113" s="122"/>
      <c r="Q113" s="123"/>
    </row>
    <row r="114">
      <c r="A114" s="66" t="s">
        <v>253</v>
      </c>
      <c r="B114" s="66" t="s">
        <v>254</v>
      </c>
      <c r="C114" s="61" t="s">
        <v>603</v>
      </c>
      <c r="D114" s="65" t="s">
        <v>59</v>
      </c>
      <c r="E114" s="66" t="s">
        <v>2501</v>
      </c>
      <c r="F114" s="47" t="s">
        <v>2517</v>
      </c>
      <c r="G114" s="66">
        <v>3.0</v>
      </c>
      <c r="H114" s="52" t="s">
        <v>47</v>
      </c>
      <c r="I114" s="52">
        <v>5.0</v>
      </c>
      <c r="J114" s="47" t="s">
        <v>1833</v>
      </c>
      <c r="K114" s="47"/>
      <c r="L114" s="63" t="s">
        <v>2518</v>
      </c>
      <c r="M114" s="122"/>
      <c r="N114" s="52"/>
      <c r="O114" s="122"/>
      <c r="P114" s="122"/>
      <c r="Q114" s="123"/>
    </row>
    <row r="115">
      <c r="A115" s="66" t="s">
        <v>595</v>
      </c>
      <c r="B115" s="66" t="s">
        <v>2519</v>
      </c>
      <c r="C115" s="51" t="s">
        <v>51</v>
      </c>
      <c r="D115" s="65" t="s">
        <v>59</v>
      </c>
      <c r="E115" s="66" t="s">
        <v>1748</v>
      </c>
      <c r="F115" s="43" t="s">
        <v>2286</v>
      </c>
      <c r="G115" s="62" t="s">
        <v>47</v>
      </c>
      <c r="H115" s="63">
        <v>2.0</v>
      </c>
      <c r="I115" s="63">
        <v>4.0</v>
      </c>
      <c r="J115" s="47" t="s">
        <v>1833</v>
      </c>
      <c r="K115" s="47"/>
      <c r="L115" s="63" t="s">
        <v>2520</v>
      </c>
      <c r="M115" s="63" t="s">
        <v>47</v>
      </c>
      <c r="N115" s="63" t="s">
        <v>2521</v>
      </c>
      <c r="O115" s="122"/>
      <c r="P115" s="122"/>
      <c r="Q115" s="123"/>
    </row>
    <row r="116">
      <c r="A116" s="125" t="s">
        <v>653</v>
      </c>
      <c r="B116" s="125" t="s">
        <v>650</v>
      </c>
      <c r="C116" s="126" t="s">
        <v>603</v>
      </c>
      <c r="D116" s="65" t="s">
        <v>59</v>
      </c>
      <c r="E116" s="125" t="s">
        <v>1756</v>
      </c>
      <c r="F116" s="113" t="s">
        <v>2522</v>
      </c>
      <c r="G116" s="125">
        <v>1.0</v>
      </c>
      <c r="H116" s="127"/>
      <c r="I116" s="128">
        <v>2.0</v>
      </c>
      <c r="J116" s="113" t="s">
        <v>1833</v>
      </c>
      <c r="K116" s="47"/>
      <c r="L116" s="128" t="s">
        <v>2523</v>
      </c>
      <c r="M116" s="128" t="s">
        <v>47</v>
      </c>
      <c r="N116" s="128" t="s">
        <v>2524</v>
      </c>
      <c r="O116" s="127"/>
      <c r="P116" s="127"/>
      <c r="Q116" s="129"/>
      <c r="R116" s="130"/>
      <c r="S116" s="130"/>
      <c r="T116" s="130"/>
      <c r="U116" s="130"/>
      <c r="V116" s="130"/>
      <c r="W116" s="130"/>
      <c r="X116" s="130"/>
      <c r="Y116" s="130"/>
      <c r="Z116" s="130"/>
      <c r="AA116" s="130"/>
      <c r="AB116" s="130"/>
    </row>
    <row r="117">
      <c r="A117" s="66" t="s">
        <v>1246</v>
      </c>
      <c r="B117" s="66" t="s">
        <v>1681</v>
      </c>
      <c r="C117" s="61" t="s">
        <v>603</v>
      </c>
      <c r="D117" s="65" t="s">
        <v>59</v>
      </c>
      <c r="E117" s="66" t="s">
        <v>1756</v>
      </c>
      <c r="F117" s="47" t="s">
        <v>2525</v>
      </c>
      <c r="G117" s="66">
        <v>4.0</v>
      </c>
      <c r="H117" s="122"/>
      <c r="I117" s="52">
        <v>4.0</v>
      </c>
      <c r="J117" s="47" t="s">
        <v>1842</v>
      </c>
      <c r="K117" s="47"/>
      <c r="L117" s="122"/>
      <c r="M117" s="52" t="s">
        <v>2527</v>
      </c>
      <c r="N117" s="52" t="s">
        <v>2528</v>
      </c>
      <c r="O117" s="122"/>
      <c r="P117" s="122"/>
      <c r="Q117" s="123"/>
    </row>
    <row r="118">
      <c r="A118" s="66" t="s">
        <v>120</v>
      </c>
      <c r="B118" s="66" t="s">
        <v>1586</v>
      </c>
      <c r="C118" s="61" t="s">
        <v>603</v>
      </c>
      <c r="D118" s="65" t="s">
        <v>59</v>
      </c>
      <c r="E118" s="66" t="s">
        <v>1758</v>
      </c>
      <c r="F118" s="47" t="s">
        <v>2300</v>
      </c>
      <c r="G118" s="66">
        <v>3.0</v>
      </c>
      <c r="H118" s="122"/>
      <c r="I118" s="52">
        <v>4.0</v>
      </c>
      <c r="J118" s="47" t="s">
        <v>1842</v>
      </c>
      <c r="K118" s="47"/>
      <c r="L118" s="52" t="s">
        <v>2530</v>
      </c>
      <c r="M118" s="52" t="s">
        <v>2531</v>
      </c>
      <c r="N118" s="52" t="s">
        <v>2532</v>
      </c>
      <c r="O118" s="122"/>
      <c r="P118" s="122"/>
      <c r="Q118" s="123"/>
    </row>
    <row r="119">
      <c r="A119" s="66" t="s">
        <v>240</v>
      </c>
      <c r="B119" s="66" t="s">
        <v>1093</v>
      </c>
      <c r="C119" s="61" t="s">
        <v>603</v>
      </c>
      <c r="D119" s="65" t="s">
        <v>59</v>
      </c>
      <c r="E119" s="66" t="s">
        <v>1758</v>
      </c>
      <c r="F119" s="80"/>
      <c r="G119" s="131"/>
      <c r="H119" s="122"/>
      <c r="I119" s="122"/>
      <c r="J119" s="47" t="s">
        <v>1833</v>
      </c>
      <c r="K119" s="47"/>
      <c r="L119" s="52" t="s">
        <v>2533</v>
      </c>
      <c r="M119" s="122"/>
      <c r="N119" s="122"/>
      <c r="O119" s="122"/>
      <c r="P119" s="122"/>
      <c r="Q119" s="123"/>
    </row>
    <row r="120">
      <c r="A120" s="66" t="s">
        <v>284</v>
      </c>
      <c r="B120" s="47" t="s">
        <v>1260</v>
      </c>
      <c r="C120" s="61" t="s">
        <v>51</v>
      </c>
      <c r="D120" s="65" t="s">
        <v>59</v>
      </c>
      <c r="E120" s="66" t="s">
        <v>1748</v>
      </c>
      <c r="F120" s="43" t="s">
        <v>2286</v>
      </c>
      <c r="G120" s="62" t="s">
        <v>47</v>
      </c>
      <c r="H120" s="63">
        <v>2.0</v>
      </c>
      <c r="I120" s="63">
        <v>3.0</v>
      </c>
      <c r="J120" s="47" t="s">
        <v>1833</v>
      </c>
      <c r="K120" s="47"/>
      <c r="L120" s="63" t="s">
        <v>2535</v>
      </c>
      <c r="M120" s="63" t="s">
        <v>47</v>
      </c>
      <c r="N120" s="63" t="s">
        <v>2536</v>
      </c>
      <c r="O120" s="122"/>
      <c r="P120" s="122"/>
      <c r="Q120" s="123"/>
    </row>
    <row r="121">
      <c r="A121" s="66" t="s">
        <v>201</v>
      </c>
      <c r="B121" s="47" t="s">
        <v>202</v>
      </c>
      <c r="C121" s="51" t="s">
        <v>51</v>
      </c>
      <c r="D121" s="65" t="s">
        <v>59</v>
      </c>
      <c r="E121" s="66" t="s">
        <v>1748</v>
      </c>
      <c r="F121" s="43" t="s">
        <v>2286</v>
      </c>
      <c r="G121" s="62" t="s">
        <v>47</v>
      </c>
      <c r="H121" s="63">
        <v>3.0</v>
      </c>
      <c r="I121" s="63">
        <v>3.0</v>
      </c>
      <c r="J121" s="47" t="s">
        <v>1842</v>
      </c>
      <c r="K121" s="47" t="s">
        <v>1842</v>
      </c>
      <c r="L121" s="63" t="s">
        <v>47</v>
      </c>
      <c r="M121" s="52" t="s">
        <v>2540</v>
      </c>
      <c r="N121" s="63" t="s">
        <v>2541</v>
      </c>
      <c r="O121" s="122"/>
      <c r="P121" s="122"/>
      <c r="Q121" s="123"/>
    </row>
    <row r="122">
      <c r="A122" s="66" t="s">
        <v>1172</v>
      </c>
      <c r="B122" s="47" t="s">
        <v>1173</v>
      </c>
      <c r="C122" s="51" t="s">
        <v>51</v>
      </c>
      <c r="D122" s="65" t="s">
        <v>49</v>
      </c>
      <c r="E122" s="66" t="s">
        <v>1748</v>
      </c>
      <c r="F122" s="43" t="s">
        <v>2286</v>
      </c>
      <c r="G122" s="62" t="s">
        <v>47</v>
      </c>
      <c r="H122" s="52">
        <v>3.0</v>
      </c>
      <c r="I122" s="52">
        <v>4.0</v>
      </c>
      <c r="J122" s="47" t="s">
        <v>1842</v>
      </c>
      <c r="K122" s="47" t="s">
        <v>1842</v>
      </c>
      <c r="L122" s="52" t="s">
        <v>47</v>
      </c>
      <c r="M122" s="52" t="s">
        <v>2542</v>
      </c>
      <c r="N122" s="52" t="s">
        <v>2543</v>
      </c>
      <c r="O122" s="122"/>
      <c r="P122" s="122"/>
      <c r="Q122" s="123"/>
    </row>
    <row r="123">
      <c r="A123" s="66" t="s">
        <v>551</v>
      </c>
      <c r="B123" s="47" t="s">
        <v>917</v>
      </c>
      <c r="C123" s="51" t="s">
        <v>51</v>
      </c>
      <c r="D123" s="65" t="s">
        <v>59</v>
      </c>
      <c r="E123" s="66" t="s">
        <v>1748</v>
      </c>
      <c r="F123" s="43" t="s">
        <v>2286</v>
      </c>
      <c r="G123" s="62" t="s">
        <v>47</v>
      </c>
      <c r="H123" s="52">
        <v>4.0</v>
      </c>
      <c r="I123" s="52">
        <v>3.0</v>
      </c>
      <c r="J123" s="47" t="s">
        <v>1842</v>
      </c>
      <c r="K123" s="47"/>
      <c r="L123" s="52" t="s">
        <v>47</v>
      </c>
      <c r="M123" s="52" t="s">
        <v>2540</v>
      </c>
      <c r="N123" s="63" t="s">
        <v>2544</v>
      </c>
      <c r="O123" s="122"/>
      <c r="P123" s="122"/>
      <c r="Q123" s="123"/>
    </row>
    <row r="124">
      <c r="A124" s="66" t="s">
        <v>745</v>
      </c>
      <c r="B124" s="43" t="s">
        <v>747</v>
      </c>
      <c r="C124" s="51" t="s">
        <v>603</v>
      </c>
      <c r="D124" s="65" t="s">
        <v>59</v>
      </c>
      <c r="E124" s="62" t="s">
        <v>1754</v>
      </c>
      <c r="F124" s="43" t="s">
        <v>2546</v>
      </c>
      <c r="G124" s="52">
        <v>3.0</v>
      </c>
      <c r="H124" s="62" t="s">
        <v>47</v>
      </c>
      <c r="I124" s="52">
        <v>4.0</v>
      </c>
      <c r="J124" s="47" t="s">
        <v>1842</v>
      </c>
      <c r="K124" s="47"/>
      <c r="L124" s="122"/>
      <c r="M124" s="63" t="s">
        <v>2503</v>
      </c>
      <c r="N124" s="52" t="s">
        <v>2548</v>
      </c>
      <c r="O124" s="122"/>
      <c r="P124" s="122"/>
      <c r="Q124" s="123"/>
    </row>
    <row r="125">
      <c r="A125" s="66" t="s">
        <v>442</v>
      </c>
      <c r="B125" s="43" t="s">
        <v>443</v>
      </c>
      <c r="C125" s="51" t="s">
        <v>603</v>
      </c>
      <c r="D125" s="65" t="s">
        <v>59</v>
      </c>
      <c r="E125" s="62" t="s">
        <v>1754</v>
      </c>
      <c r="F125" s="43" t="s">
        <v>2549</v>
      </c>
      <c r="G125" s="52">
        <v>4.0</v>
      </c>
      <c r="H125" s="62" t="s">
        <v>47</v>
      </c>
      <c r="I125" s="52">
        <v>3.0</v>
      </c>
      <c r="J125" s="47" t="s">
        <v>1842</v>
      </c>
      <c r="K125" s="47"/>
      <c r="L125" s="122"/>
      <c r="M125" s="63" t="s">
        <v>2503</v>
      </c>
      <c r="N125" s="52" t="s">
        <v>2553</v>
      </c>
      <c r="O125" s="122"/>
      <c r="P125" s="122"/>
      <c r="Q125" s="123"/>
    </row>
    <row r="126">
      <c r="A126" s="66" t="s">
        <v>182</v>
      </c>
      <c r="B126" s="47" t="s">
        <v>177</v>
      </c>
      <c r="C126" s="61" t="s">
        <v>51</v>
      </c>
      <c r="D126" s="65" t="s">
        <v>59</v>
      </c>
      <c r="E126" s="66" t="s">
        <v>1748</v>
      </c>
      <c r="F126" s="43" t="s">
        <v>2286</v>
      </c>
      <c r="G126" s="62" t="s">
        <v>47</v>
      </c>
      <c r="H126" s="52">
        <v>2.0</v>
      </c>
      <c r="I126" s="52">
        <v>3.0</v>
      </c>
      <c r="J126" s="47" t="s">
        <v>1833</v>
      </c>
      <c r="K126" s="47"/>
      <c r="L126" s="63" t="s">
        <v>2554</v>
      </c>
      <c r="M126" s="52" t="s">
        <v>47</v>
      </c>
      <c r="N126" s="63" t="s">
        <v>2555</v>
      </c>
      <c r="O126" s="122"/>
      <c r="P126" s="122"/>
      <c r="Q126" s="123"/>
    </row>
    <row r="127">
      <c r="A127" s="66" t="s">
        <v>792</v>
      </c>
      <c r="B127" s="47" t="s">
        <v>794</v>
      </c>
      <c r="C127" s="51" t="s">
        <v>51</v>
      </c>
      <c r="D127" s="65" t="s">
        <v>59</v>
      </c>
      <c r="E127" s="66" t="s">
        <v>1748</v>
      </c>
      <c r="F127" s="43" t="s">
        <v>2286</v>
      </c>
      <c r="G127" s="62" t="s">
        <v>47</v>
      </c>
      <c r="H127" s="52">
        <v>3.0</v>
      </c>
      <c r="I127" s="52">
        <v>3.0</v>
      </c>
      <c r="J127" s="47" t="s">
        <v>1842</v>
      </c>
      <c r="K127" s="47"/>
      <c r="L127" s="52" t="s">
        <v>47</v>
      </c>
      <c r="M127" s="52" t="s">
        <v>2540</v>
      </c>
      <c r="N127" s="63" t="s">
        <v>2556</v>
      </c>
      <c r="O127" s="122"/>
      <c r="P127" s="122"/>
      <c r="Q127" s="123"/>
    </row>
    <row r="128">
      <c r="A128" s="66" t="s">
        <v>365</v>
      </c>
      <c r="B128" s="47" t="s">
        <v>366</v>
      </c>
      <c r="C128" s="61" t="s">
        <v>51</v>
      </c>
      <c r="D128" s="65" t="s">
        <v>59</v>
      </c>
      <c r="E128" s="66" t="s">
        <v>1748</v>
      </c>
      <c r="F128" s="43" t="s">
        <v>2286</v>
      </c>
      <c r="G128" s="62" t="s">
        <v>47</v>
      </c>
      <c r="H128" s="52">
        <v>2.0</v>
      </c>
      <c r="I128" s="52">
        <v>3.0</v>
      </c>
      <c r="J128" s="47" t="s">
        <v>1833</v>
      </c>
      <c r="K128" s="47"/>
      <c r="L128" s="52" t="s">
        <v>2557</v>
      </c>
      <c r="M128" s="52" t="s">
        <v>47</v>
      </c>
      <c r="N128" s="63" t="s">
        <v>2558</v>
      </c>
      <c r="O128" s="122"/>
      <c r="P128" s="122"/>
      <c r="Q128" s="123"/>
    </row>
    <row r="129">
      <c r="A129" s="66" t="s">
        <v>150</v>
      </c>
      <c r="B129" s="47" t="s">
        <v>1010</v>
      </c>
      <c r="C129" s="51" t="s">
        <v>51</v>
      </c>
      <c r="D129" s="65" t="s">
        <v>59</v>
      </c>
      <c r="E129" s="66" t="s">
        <v>1748</v>
      </c>
      <c r="F129" s="43" t="s">
        <v>2286</v>
      </c>
      <c r="G129" s="62" t="s">
        <v>47</v>
      </c>
      <c r="H129" s="52">
        <v>3.0</v>
      </c>
      <c r="I129" s="52">
        <v>3.0</v>
      </c>
      <c r="J129" s="47" t="s">
        <v>1842</v>
      </c>
      <c r="K129" s="47"/>
      <c r="L129" s="52" t="s">
        <v>47</v>
      </c>
      <c r="M129" s="52" t="s">
        <v>2540</v>
      </c>
      <c r="N129" s="63" t="s">
        <v>2559</v>
      </c>
      <c r="O129" s="122"/>
      <c r="P129" s="122"/>
      <c r="Q129" s="123"/>
    </row>
    <row r="130">
      <c r="A130" s="94" t="s">
        <v>240</v>
      </c>
      <c r="B130" s="94" t="s">
        <v>1093</v>
      </c>
      <c r="C130" s="51" t="s">
        <v>603</v>
      </c>
      <c r="D130" s="65" t="s">
        <v>59</v>
      </c>
      <c r="E130" s="66" t="s">
        <v>1752</v>
      </c>
      <c r="F130" s="47" t="s">
        <v>2560</v>
      </c>
      <c r="G130" s="66">
        <v>4.0</v>
      </c>
      <c r="H130" s="52" t="s">
        <v>47</v>
      </c>
      <c r="I130" s="52">
        <v>3.5</v>
      </c>
      <c r="J130" s="47" t="s">
        <v>1842</v>
      </c>
      <c r="K130" s="47"/>
      <c r="L130" s="52" t="s">
        <v>47</v>
      </c>
      <c r="M130" s="52" t="s">
        <v>2561</v>
      </c>
      <c r="N130" s="52" t="s">
        <v>2562</v>
      </c>
      <c r="O130" s="122"/>
      <c r="P130" s="122"/>
      <c r="Q130" s="123"/>
    </row>
    <row r="131">
      <c r="A131" s="93" t="s">
        <v>524</v>
      </c>
      <c r="B131" s="93" t="s">
        <v>1306</v>
      </c>
      <c r="C131" s="51" t="s">
        <v>603</v>
      </c>
      <c r="D131" s="65" t="s">
        <v>59</v>
      </c>
      <c r="E131" s="66" t="s">
        <v>1754</v>
      </c>
      <c r="F131" s="47" t="s">
        <v>2563</v>
      </c>
      <c r="G131" s="66">
        <v>3.0</v>
      </c>
      <c r="H131" s="122"/>
      <c r="I131" s="52">
        <v>2.5</v>
      </c>
      <c r="J131" s="47" t="s">
        <v>1842</v>
      </c>
      <c r="K131" s="47"/>
      <c r="L131" s="52" t="s">
        <v>2564</v>
      </c>
      <c r="M131" s="52" t="s">
        <v>2561</v>
      </c>
      <c r="N131" s="52" t="s">
        <v>2565</v>
      </c>
      <c r="O131" s="122"/>
      <c r="P131" s="122"/>
      <c r="Q131" s="123"/>
    </row>
    <row r="132">
      <c r="A132" s="93" t="s">
        <v>99</v>
      </c>
      <c r="B132" s="93" t="s">
        <v>100</v>
      </c>
      <c r="C132" s="51" t="s">
        <v>51</v>
      </c>
      <c r="D132" s="65" t="s">
        <v>59</v>
      </c>
      <c r="E132" s="66" t="s">
        <v>1784</v>
      </c>
      <c r="F132" s="80"/>
      <c r="G132" s="131"/>
      <c r="H132" s="122"/>
      <c r="I132" s="52" t="s">
        <v>2567</v>
      </c>
      <c r="J132" s="62" t="s">
        <v>2156</v>
      </c>
      <c r="K132" s="47"/>
      <c r="L132" s="122"/>
      <c r="M132" s="122"/>
      <c r="N132" s="122"/>
      <c r="O132" s="122"/>
      <c r="P132" s="122"/>
      <c r="Q132" s="123"/>
    </row>
    <row r="133">
      <c r="A133" s="93" t="s">
        <v>149</v>
      </c>
      <c r="B133" s="93" t="s">
        <v>146</v>
      </c>
      <c r="C133" s="51" t="s">
        <v>51</v>
      </c>
      <c r="D133" s="65" t="s">
        <v>59</v>
      </c>
      <c r="E133" s="66" t="s">
        <v>1784</v>
      </c>
      <c r="F133" s="80"/>
      <c r="G133" s="131"/>
      <c r="H133" s="122"/>
      <c r="I133" s="122"/>
      <c r="J133" s="62" t="s">
        <v>2156</v>
      </c>
      <c r="K133" s="47"/>
      <c r="L133" s="122"/>
      <c r="M133" s="122"/>
      <c r="N133" s="122"/>
      <c r="O133" s="122"/>
      <c r="P133" s="122"/>
      <c r="Q133" s="123"/>
    </row>
    <row r="134">
      <c r="A134" s="93" t="s">
        <v>128</v>
      </c>
      <c r="B134" s="141" t="s">
        <v>126</v>
      </c>
      <c r="C134" s="51" t="s">
        <v>51</v>
      </c>
      <c r="D134" s="65" t="s">
        <v>59</v>
      </c>
      <c r="E134" s="66" t="s">
        <v>1784</v>
      </c>
      <c r="F134" s="47" t="s">
        <v>2286</v>
      </c>
      <c r="G134" s="66" t="s">
        <v>47</v>
      </c>
      <c r="H134" s="52">
        <v>4.0</v>
      </c>
      <c r="I134" s="52">
        <v>5.0</v>
      </c>
      <c r="J134" s="47" t="s">
        <v>1842</v>
      </c>
      <c r="K134" s="47"/>
      <c r="L134" s="122"/>
      <c r="M134" s="52" t="s">
        <v>2512</v>
      </c>
      <c r="N134" s="62" t="s">
        <v>2569</v>
      </c>
      <c r="O134" s="122"/>
      <c r="P134" s="122"/>
      <c r="Q134" s="123"/>
    </row>
    <row r="135">
      <c r="A135" s="93" t="s">
        <v>425</v>
      </c>
      <c r="B135" s="93" t="s">
        <v>422</v>
      </c>
      <c r="C135" s="51" t="s">
        <v>51</v>
      </c>
      <c r="D135" s="65" t="s">
        <v>49</v>
      </c>
      <c r="E135" s="66" t="s">
        <v>1748</v>
      </c>
      <c r="F135" s="47" t="s">
        <v>2286</v>
      </c>
      <c r="G135" s="66" t="s">
        <v>47</v>
      </c>
      <c r="H135" s="52">
        <v>2.0</v>
      </c>
      <c r="I135" s="52">
        <v>5.0</v>
      </c>
      <c r="J135" s="47" t="s">
        <v>1833</v>
      </c>
      <c r="K135" s="47"/>
      <c r="L135" s="52" t="s">
        <v>2570</v>
      </c>
      <c r="M135" s="52" t="s">
        <v>47</v>
      </c>
      <c r="N135" s="63" t="s">
        <v>2571</v>
      </c>
      <c r="O135" s="122"/>
      <c r="P135" s="122"/>
      <c r="Q135" s="123"/>
    </row>
    <row r="136" ht="50.25" customHeight="1">
      <c r="A136" s="93" t="s">
        <v>473</v>
      </c>
      <c r="B136" s="93" t="s">
        <v>516</v>
      </c>
      <c r="C136" s="61" t="s">
        <v>51</v>
      </c>
      <c r="D136" s="65" t="s">
        <v>59</v>
      </c>
      <c r="E136" s="66" t="s">
        <v>1748</v>
      </c>
      <c r="F136" s="47" t="s">
        <v>2286</v>
      </c>
      <c r="G136" s="66" t="s">
        <v>47</v>
      </c>
      <c r="H136" s="52">
        <v>3.0</v>
      </c>
      <c r="I136" s="52">
        <v>4.0</v>
      </c>
      <c r="J136" s="47" t="s">
        <v>1842</v>
      </c>
      <c r="K136" s="47"/>
      <c r="L136" s="52" t="s">
        <v>47</v>
      </c>
      <c r="M136" s="52" t="s">
        <v>2540</v>
      </c>
      <c r="N136" s="63" t="s">
        <v>2573</v>
      </c>
      <c r="O136" s="122"/>
      <c r="P136" s="122"/>
      <c r="Q136" s="123"/>
    </row>
    <row r="137">
      <c r="A137" s="93" t="s">
        <v>174</v>
      </c>
      <c r="B137" s="93" t="s">
        <v>291</v>
      </c>
      <c r="C137" s="61" t="s">
        <v>51</v>
      </c>
      <c r="D137" s="65" t="s">
        <v>59</v>
      </c>
      <c r="E137" s="66" t="s">
        <v>1748</v>
      </c>
      <c r="F137" s="47" t="s">
        <v>2286</v>
      </c>
      <c r="G137" s="66" t="s">
        <v>47</v>
      </c>
      <c r="H137" s="52">
        <v>4.0</v>
      </c>
      <c r="I137" s="52">
        <v>4.0</v>
      </c>
      <c r="J137" s="47" t="s">
        <v>1842</v>
      </c>
      <c r="K137" s="47" t="s">
        <v>1842</v>
      </c>
      <c r="L137" s="52" t="s">
        <v>47</v>
      </c>
      <c r="M137" s="52" t="s">
        <v>2540</v>
      </c>
      <c r="N137" s="63" t="s">
        <v>2574</v>
      </c>
      <c r="O137" s="122"/>
      <c r="P137" s="122"/>
      <c r="Q137" s="123"/>
    </row>
    <row r="138" ht="31.5" customHeight="1">
      <c r="A138" s="93" t="s">
        <v>66</v>
      </c>
      <c r="B138" s="93" t="s">
        <v>63</v>
      </c>
      <c r="C138" s="61" t="s">
        <v>51</v>
      </c>
      <c r="D138" s="65" t="s">
        <v>59</v>
      </c>
      <c r="E138" s="66" t="s">
        <v>2208</v>
      </c>
      <c r="F138" s="47" t="s">
        <v>2575</v>
      </c>
      <c r="G138" s="66" t="s">
        <v>47</v>
      </c>
      <c r="H138" s="52">
        <v>2.5</v>
      </c>
      <c r="I138" s="52">
        <v>3.5</v>
      </c>
      <c r="J138" s="47" t="s">
        <v>1833</v>
      </c>
      <c r="K138" s="47"/>
      <c r="L138" s="52" t="s">
        <v>2576</v>
      </c>
      <c r="M138" s="122"/>
      <c r="N138" s="52" t="s">
        <v>2577</v>
      </c>
      <c r="O138" s="122"/>
      <c r="P138" s="52" t="s">
        <v>2577</v>
      </c>
      <c r="Q138" s="123"/>
    </row>
    <row r="139">
      <c r="A139" s="93" t="s">
        <v>76</v>
      </c>
      <c r="B139" s="93" t="s">
        <v>74</v>
      </c>
      <c r="C139" s="61" t="s">
        <v>51</v>
      </c>
      <c r="D139" s="65" t="s">
        <v>59</v>
      </c>
      <c r="E139" s="66" t="s">
        <v>1770</v>
      </c>
      <c r="F139" s="65"/>
      <c r="G139" s="131"/>
      <c r="H139" s="122"/>
      <c r="I139" s="122"/>
      <c r="J139" s="62" t="s">
        <v>2156</v>
      </c>
      <c r="K139" s="47"/>
      <c r="L139" s="122"/>
      <c r="M139" s="122"/>
      <c r="N139" s="144"/>
      <c r="O139" s="122"/>
      <c r="P139" s="122"/>
      <c r="Q139" s="123"/>
    </row>
    <row r="140">
      <c r="A140" s="93" t="s">
        <v>34</v>
      </c>
      <c r="B140" s="93" t="s">
        <v>98</v>
      </c>
      <c r="C140" s="61" t="s">
        <v>51</v>
      </c>
      <c r="D140" s="65" t="s">
        <v>59</v>
      </c>
      <c r="E140" s="66" t="s">
        <v>2208</v>
      </c>
      <c r="F140" s="47" t="s">
        <v>2575</v>
      </c>
      <c r="G140" s="131"/>
      <c r="H140" s="52">
        <v>2.5</v>
      </c>
      <c r="I140" s="52">
        <v>2.0</v>
      </c>
      <c r="J140" s="47" t="s">
        <v>1833</v>
      </c>
      <c r="K140" s="47"/>
      <c r="L140" s="52" t="s">
        <v>2579</v>
      </c>
      <c r="M140" s="122"/>
      <c r="N140" s="144"/>
      <c r="O140" s="122"/>
      <c r="P140" s="122"/>
      <c r="Q140" s="123"/>
    </row>
    <row r="141">
      <c r="A141" s="93" t="s">
        <v>26</v>
      </c>
      <c r="B141" s="93" t="s">
        <v>27</v>
      </c>
      <c r="C141" s="61" t="s">
        <v>51</v>
      </c>
      <c r="D141" s="65" t="s">
        <v>59</v>
      </c>
      <c r="E141" s="66" t="s">
        <v>1770</v>
      </c>
      <c r="F141" s="47" t="s">
        <v>2580</v>
      </c>
      <c r="G141" s="66" t="s">
        <v>47</v>
      </c>
      <c r="H141" s="52">
        <v>4.0</v>
      </c>
      <c r="I141" s="52">
        <v>5.0</v>
      </c>
      <c r="J141" s="47" t="s">
        <v>1842</v>
      </c>
      <c r="K141" s="47"/>
      <c r="L141" s="122"/>
      <c r="M141" s="52" t="s">
        <v>2512</v>
      </c>
      <c r="N141" s="52" t="s">
        <v>2581</v>
      </c>
      <c r="O141" s="122"/>
      <c r="P141" s="122"/>
      <c r="Q141" s="123"/>
    </row>
    <row r="142">
      <c r="A142" s="93" t="s">
        <v>108</v>
      </c>
      <c r="B142" s="93" t="s">
        <v>104</v>
      </c>
      <c r="C142" s="61" t="s">
        <v>51</v>
      </c>
      <c r="D142" s="65" t="s">
        <v>59</v>
      </c>
      <c r="E142" s="66" t="s">
        <v>1770</v>
      </c>
      <c r="F142" s="47" t="s">
        <v>2582</v>
      </c>
      <c r="G142" s="66" t="s">
        <v>47</v>
      </c>
      <c r="H142" s="52">
        <v>2.5</v>
      </c>
      <c r="I142" s="52" t="s">
        <v>2583</v>
      </c>
      <c r="J142" s="47" t="s">
        <v>1833</v>
      </c>
      <c r="K142" s="47"/>
      <c r="L142" s="122"/>
      <c r="M142" s="52" t="s">
        <v>2512</v>
      </c>
      <c r="N142" s="52" t="s">
        <v>2584</v>
      </c>
      <c r="O142" s="122"/>
      <c r="P142" s="122"/>
      <c r="Q142" s="123"/>
    </row>
    <row r="143">
      <c r="A143" s="93" t="s">
        <v>229</v>
      </c>
      <c r="B143" s="93" t="s">
        <v>227</v>
      </c>
      <c r="C143" s="61" t="s">
        <v>51</v>
      </c>
      <c r="D143" s="65" t="s">
        <v>59</v>
      </c>
      <c r="E143" s="66" t="s">
        <v>1770</v>
      </c>
      <c r="F143" s="47" t="s">
        <v>2586</v>
      </c>
      <c r="G143" s="66" t="s">
        <v>47</v>
      </c>
      <c r="H143" s="52">
        <v>4.0</v>
      </c>
      <c r="I143" s="52">
        <v>4.5</v>
      </c>
      <c r="J143" s="47" t="s">
        <v>1842</v>
      </c>
      <c r="K143" s="47"/>
      <c r="L143" s="122"/>
      <c r="M143" s="52" t="s">
        <v>2512</v>
      </c>
      <c r="N143" s="52" t="s">
        <v>2587</v>
      </c>
      <c r="O143" s="122"/>
      <c r="P143" s="122"/>
      <c r="Q143" s="123"/>
    </row>
    <row r="144">
      <c r="A144" s="93" t="s">
        <v>476</v>
      </c>
      <c r="B144" s="93" t="s">
        <v>472</v>
      </c>
      <c r="C144" s="61" t="s">
        <v>51</v>
      </c>
      <c r="D144" s="65" t="s">
        <v>59</v>
      </c>
      <c r="E144" s="66" t="s">
        <v>1748</v>
      </c>
      <c r="F144" s="43" t="s">
        <v>2286</v>
      </c>
      <c r="G144" s="62" t="s">
        <v>47</v>
      </c>
      <c r="H144" s="52">
        <v>2.0</v>
      </c>
      <c r="I144" s="52">
        <v>4.0</v>
      </c>
      <c r="J144" s="47" t="s">
        <v>1833</v>
      </c>
      <c r="K144" s="47"/>
      <c r="L144" s="63" t="s">
        <v>2588</v>
      </c>
      <c r="M144" s="52" t="s">
        <v>47</v>
      </c>
      <c r="N144" s="63" t="s">
        <v>2589</v>
      </c>
      <c r="O144" s="122"/>
      <c r="P144" s="122"/>
      <c r="Q144" s="123"/>
    </row>
    <row r="145">
      <c r="A145" s="93" t="s">
        <v>113</v>
      </c>
      <c r="B145" s="93" t="s">
        <v>115</v>
      </c>
      <c r="C145" s="61" t="s">
        <v>51</v>
      </c>
      <c r="D145" s="65" t="s">
        <v>59</v>
      </c>
      <c r="E145" s="66" t="s">
        <v>1748</v>
      </c>
      <c r="F145" s="43" t="s">
        <v>2286</v>
      </c>
      <c r="G145" s="62" t="s">
        <v>47</v>
      </c>
      <c r="H145" s="52">
        <v>3.5</v>
      </c>
      <c r="I145" s="52">
        <v>4.0</v>
      </c>
      <c r="J145" s="47" t="s">
        <v>1842</v>
      </c>
      <c r="K145" s="47"/>
      <c r="L145" s="63" t="s">
        <v>47</v>
      </c>
      <c r="M145" s="52" t="s">
        <v>2540</v>
      </c>
      <c r="N145" s="63" t="s">
        <v>2590</v>
      </c>
      <c r="O145" s="122"/>
      <c r="P145" s="122"/>
      <c r="Q145" s="123"/>
    </row>
    <row r="146">
      <c r="A146" s="93" t="s">
        <v>246</v>
      </c>
      <c r="B146" s="93" t="s">
        <v>381</v>
      </c>
      <c r="C146" s="61" t="s">
        <v>51</v>
      </c>
      <c r="D146" s="65" t="s">
        <v>59</v>
      </c>
      <c r="E146" s="66" t="s">
        <v>1748</v>
      </c>
      <c r="F146" s="80"/>
      <c r="G146" s="131"/>
      <c r="H146" s="122"/>
      <c r="I146" s="122"/>
      <c r="J146" s="62" t="s">
        <v>2156</v>
      </c>
      <c r="K146" s="47"/>
      <c r="L146" s="122"/>
      <c r="M146" s="122"/>
      <c r="N146" s="122"/>
      <c r="O146" s="122"/>
      <c r="P146" s="122"/>
      <c r="Q146" s="123"/>
    </row>
    <row r="147">
      <c r="A147" s="93" t="s">
        <v>355</v>
      </c>
      <c r="B147" s="93" t="s">
        <v>352</v>
      </c>
      <c r="C147" s="61" t="s">
        <v>51</v>
      </c>
      <c r="D147" s="65" t="s">
        <v>59</v>
      </c>
      <c r="E147" s="66" t="s">
        <v>1748</v>
      </c>
      <c r="F147" s="43" t="s">
        <v>2286</v>
      </c>
      <c r="G147" s="62" t="s">
        <v>47</v>
      </c>
      <c r="H147" s="52">
        <v>3.5</v>
      </c>
      <c r="I147" s="52">
        <v>3.5</v>
      </c>
      <c r="J147" s="47" t="s">
        <v>1842</v>
      </c>
      <c r="K147" s="47"/>
      <c r="L147" s="63" t="s">
        <v>47</v>
      </c>
      <c r="M147" s="52" t="s">
        <v>2540</v>
      </c>
      <c r="N147" s="63" t="s">
        <v>2592</v>
      </c>
      <c r="O147" s="122"/>
      <c r="P147" s="122"/>
      <c r="Q147" s="123"/>
    </row>
    <row r="148">
      <c r="A148" s="62" t="s">
        <v>362</v>
      </c>
      <c r="B148" s="62" t="s">
        <v>704</v>
      </c>
      <c r="C148" s="61" t="s">
        <v>603</v>
      </c>
      <c r="D148" s="65" t="s">
        <v>59</v>
      </c>
      <c r="E148" s="66" t="s">
        <v>1761</v>
      </c>
      <c r="F148" s="47" t="s">
        <v>2593</v>
      </c>
      <c r="G148" s="66">
        <v>2.0</v>
      </c>
      <c r="H148" s="52" t="s">
        <v>1831</v>
      </c>
      <c r="I148" s="52">
        <v>2.5</v>
      </c>
      <c r="J148" s="47" t="s">
        <v>1833</v>
      </c>
      <c r="K148" s="47"/>
      <c r="L148" s="52" t="s">
        <v>2594</v>
      </c>
      <c r="M148" s="122"/>
      <c r="N148" s="52" t="s">
        <v>2595</v>
      </c>
      <c r="O148" s="122"/>
      <c r="P148" s="122"/>
      <c r="Q148" s="123"/>
    </row>
    <row r="149">
      <c r="A149" s="62" t="s">
        <v>546</v>
      </c>
      <c r="B149" s="62" t="s">
        <v>746</v>
      </c>
      <c r="C149" s="61" t="s">
        <v>603</v>
      </c>
      <c r="D149" s="65" t="s">
        <v>49</v>
      </c>
      <c r="E149" s="66" t="s">
        <v>1761</v>
      </c>
      <c r="F149" s="47" t="s">
        <v>2593</v>
      </c>
      <c r="G149" s="66">
        <v>4.0</v>
      </c>
      <c r="H149" s="52" t="s">
        <v>1831</v>
      </c>
      <c r="I149" s="52">
        <v>3.5</v>
      </c>
      <c r="J149" s="47" t="s">
        <v>1842</v>
      </c>
      <c r="K149" s="47"/>
      <c r="L149" s="52" t="s">
        <v>1831</v>
      </c>
      <c r="M149" s="122"/>
      <c r="N149" s="52" t="s">
        <v>2596</v>
      </c>
      <c r="O149" s="122"/>
      <c r="P149" s="122"/>
      <c r="Q149" s="123"/>
    </row>
    <row r="150">
      <c r="A150" s="62" t="s">
        <v>421</v>
      </c>
      <c r="B150" s="62" t="s">
        <v>778</v>
      </c>
      <c r="C150" s="61" t="s">
        <v>603</v>
      </c>
      <c r="D150" s="65" t="s">
        <v>59</v>
      </c>
      <c r="E150" s="66" t="s">
        <v>1754</v>
      </c>
      <c r="F150" s="47" t="s">
        <v>2597</v>
      </c>
      <c r="G150" s="66">
        <v>2.0</v>
      </c>
      <c r="H150" s="122"/>
      <c r="I150" s="52">
        <v>2.5</v>
      </c>
      <c r="J150" s="47" t="s">
        <v>1833</v>
      </c>
      <c r="K150" s="47" t="s">
        <v>1833</v>
      </c>
      <c r="L150" s="52" t="s">
        <v>2598</v>
      </c>
      <c r="M150" s="52" t="s">
        <v>2561</v>
      </c>
      <c r="N150" s="52" t="s">
        <v>2599</v>
      </c>
      <c r="O150" s="122"/>
      <c r="P150" s="122"/>
      <c r="Q150" s="123"/>
    </row>
    <row r="151">
      <c r="A151" s="66" t="s">
        <v>276</v>
      </c>
      <c r="B151" s="132" t="s">
        <v>278</v>
      </c>
      <c r="C151" s="61" t="s">
        <v>603</v>
      </c>
      <c r="D151" s="65" t="s">
        <v>59</v>
      </c>
      <c r="E151" s="66" t="s">
        <v>1754</v>
      </c>
      <c r="F151" s="47" t="s">
        <v>2600</v>
      </c>
      <c r="G151" s="66">
        <v>4.0</v>
      </c>
      <c r="H151" s="122"/>
      <c r="I151" s="52">
        <v>2.5</v>
      </c>
      <c r="J151" s="47" t="s">
        <v>1842</v>
      </c>
      <c r="K151" s="47" t="s">
        <v>1833</v>
      </c>
      <c r="L151" s="122"/>
      <c r="M151" s="52" t="s">
        <v>2561</v>
      </c>
      <c r="N151" s="52" t="s">
        <v>2601</v>
      </c>
      <c r="O151" s="122"/>
      <c r="P151" s="122"/>
      <c r="Q151" s="123"/>
    </row>
    <row r="152">
      <c r="A152" s="62" t="s">
        <v>1181</v>
      </c>
      <c r="B152" s="62" t="s">
        <v>1474</v>
      </c>
      <c r="C152" s="51" t="s">
        <v>51</v>
      </c>
      <c r="D152" s="65" t="s">
        <v>49</v>
      </c>
      <c r="E152" s="62" t="s">
        <v>1748</v>
      </c>
      <c r="F152" s="43" t="s">
        <v>2286</v>
      </c>
      <c r="G152" s="62" t="s">
        <v>47</v>
      </c>
      <c r="H152" s="52">
        <v>3.5</v>
      </c>
      <c r="I152" s="52">
        <v>4.0</v>
      </c>
      <c r="J152" s="47" t="s">
        <v>1842</v>
      </c>
      <c r="K152" s="47"/>
      <c r="L152" s="63" t="s">
        <v>47</v>
      </c>
      <c r="M152" s="52" t="s">
        <v>2602</v>
      </c>
      <c r="N152" s="63" t="s">
        <v>2603</v>
      </c>
      <c r="O152" s="65"/>
      <c r="P152" s="65"/>
    </row>
    <row r="153">
      <c r="A153" s="62" t="s">
        <v>156</v>
      </c>
      <c r="B153" s="62" t="s">
        <v>1554</v>
      </c>
      <c r="C153" s="51" t="s">
        <v>51</v>
      </c>
      <c r="D153" s="65" t="s">
        <v>59</v>
      </c>
      <c r="E153" s="62" t="s">
        <v>1748</v>
      </c>
      <c r="F153" s="43" t="s">
        <v>2286</v>
      </c>
      <c r="G153" s="62" t="s">
        <v>47</v>
      </c>
      <c r="H153" s="52">
        <v>2.0</v>
      </c>
      <c r="I153" s="52">
        <v>3.0</v>
      </c>
      <c r="J153" s="47" t="s">
        <v>1833</v>
      </c>
      <c r="K153" s="47"/>
      <c r="L153" s="63" t="s">
        <v>2605</v>
      </c>
      <c r="M153" s="52" t="s">
        <v>47</v>
      </c>
      <c r="N153" s="63" t="s">
        <v>2606</v>
      </c>
      <c r="O153" s="65"/>
      <c r="P153" s="65"/>
    </row>
    <row r="154">
      <c r="A154" s="62" t="s">
        <v>299</v>
      </c>
      <c r="B154" s="62" t="s">
        <v>1541</v>
      </c>
      <c r="C154" s="51" t="s">
        <v>51</v>
      </c>
      <c r="D154" s="65" t="s">
        <v>59</v>
      </c>
      <c r="E154" s="62" t="s">
        <v>1748</v>
      </c>
      <c r="F154" s="43" t="s">
        <v>2286</v>
      </c>
      <c r="G154" s="62" t="s">
        <v>47</v>
      </c>
      <c r="H154" s="52">
        <v>4.0</v>
      </c>
      <c r="I154" s="52">
        <v>4.0</v>
      </c>
      <c r="J154" s="47" t="s">
        <v>1842</v>
      </c>
      <c r="K154" s="47" t="s">
        <v>1842</v>
      </c>
      <c r="L154" s="52" t="s">
        <v>47</v>
      </c>
      <c r="M154" s="52" t="s">
        <v>2540</v>
      </c>
      <c r="N154" s="63" t="s">
        <v>2607</v>
      </c>
      <c r="O154" s="65"/>
      <c r="P154" s="65"/>
    </row>
    <row r="155">
      <c r="A155" s="62" t="s">
        <v>105</v>
      </c>
      <c r="B155" s="62" t="s">
        <v>107</v>
      </c>
      <c r="C155" s="51" t="s">
        <v>51</v>
      </c>
      <c r="D155" s="65" t="s">
        <v>59</v>
      </c>
      <c r="E155" s="62" t="s">
        <v>1748</v>
      </c>
      <c r="F155" s="43" t="s">
        <v>2286</v>
      </c>
      <c r="G155" s="62" t="s">
        <v>47</v>
      </c>
      <c r="H155" s="52">
        <v>5.0</v>
      </c>
      <c r="I155" s="52">
        <v>5.0</v>
      </c>
      <c r="J155" s="47" t="s">
        <v>1842</v>
      </c>
      <c r="K155" s="47" t="s">
        <v>1842</v>
      </c>
      <c r="L155" s="52" t="s">
        <v>47</v>
      </c>
      <c r="M155" s="52" t="s">
        <v>2540</v>
      </c>
      <c r="N155" s="63" t="s">
        <v>2608</v>
      </c>
      <c r="O155" s="65"/>
      <c r="P155" s="65"/>
    </row>
    <row r="156">
      <c r="A156" s="62" t="s">
        <v>1074</v>
      </c>
      <c r="B156" s="62" t="s">
        <v>1075</v>
      </c>
      <c r="C156" s="51" t="s">
        <v>51</v>
      </c>
      <c r="D156" s="65" t="s">
        <v>59</v>
      </c>
      <c r="E156" s="62" t="s">
        <v>1748</v>
      </c>
      <c r="F156" s="43" t="s">
        <v>2286</v>
      </c>
      <c r="G156" s="62" t="s">
        <v>47</v>
      </c>
      <c r="H156" s="52">
        <v>4.0</v>
      </c>
      <c r="I156" s="52">
        <v>4.0</v>
      </c>
      <c r="J156" s="47" t="s">
        <v>1842</v>
      </c>
      <c r="K156" s="47" t="s">
        <v>1842</v>
      </c>
      <c r="L156" s="52" t="s">
        <v>47</v>
      </c>
      <c r="M156" s="52" t="s">
        <v>2540</v>
      </c>
      <c r="N156" s="63" t="s">
        <v>2609</v>
      </c>
      <c r="O156" s="65"/>
      <c r="P156" s="65"/>
    </row>
    <row r="157">
      <c r="A157" s="62" t="s">
        <v>68</v>
      </c>
      <c r="B157" s="62" t="s">
        <v>62</v>
      </c>
      <c r="C157" s="51" t="s">
        <v>51</v>
      </c>
      <c r="D157" s="65" t="s">
        <v>59</v>
      </c>
      <c r="E157" s="62" t="s">
        <v>1748</v>
      </c>
      <c r="F157" s="43" t="s">
        <v>2286</v>
      </c>
      <c r="G157" s="62" t="s">
        <v>47</v>
      </c>
      <c r="H157" s="52">
        <v>2.0</v>
      </c>
      <c r="I157" s="52">
        <v>3.0</v>
      </c>
      <c r="J157" s="47" t="s">
        <v>1833</v>
      </c>
      <c r="K157" s="47" t="s">
        <v>1833</v>
      </c>
      <c r="L157" s="63" t="s">
        <v>2610</v>
      </c>
      <c r="M157" s="52" t="s">
        <v>47</v>
      </c>
      <c r="N157" s="63" t="s">
        <v>2611</v>
      </c>
      <c r="O157" s="65"/>
      <c r="P157" s="65"/>
    </row>
    <row r="158">
      <c r="A158" s="134" t="s">
        <v>1156</v>
      </c>
      <c r="B158" s="62" t="s">
        <v>2612</v>
      </c>
      <c r="C158" s="51" t="s">
        <v>51</v>
      </c>
      <c r="D158" s="65" t="s">
        <v>49</v>
      </c>
      <c r="E158" s="62" t="s">
        <v>1748</v>
      </c>
      <c r="F158" s="43" t="s">
        <v>2286</v>
      </c>
      <c r="G158" s="62" t="s">
        <v>47</v>
      </c>
      <c r="H158" s="52">
        <v>3.5</v>
      </c>
      <c r="I158" s="52">
        <v>4.0</v>
      </c>
      <c r="J158" s="47" t="s">
        <v>1842</v>
      </c>
      <c r="K158" s="47"/>
      <c r="L158" s="63" t="s">
        <v>47</v>
      </c>
      <c r="M158" s="52" t="s">
        <v>2614</v>
      </c>
      <c r="N158" s="63" t="s">
        <v>2615</v>
      </c>
      <c r="O158" s="65"/>
      <c r="P158" s="65"/>
    </row>
    <row r="159">
      <c r="A159" s="62" t="s">
        <v>414</v>
      </c>
      <c r="B159" s="62" t="s">
        <v>1595</v>
      </c>
      <c r="C159" s="51" t="s">
        <v>51</v>
      </c>
      <c r="D159" s="65" t="s">
        <v>59</v>
      </c>
      <c r="E159" s="62" t="s">
        <v>1784</v>
      </c>
      <c r="F159" s="43" t="s">
        <v>2617</v>
      </c>
      <c r="G159" s="66" t="s">
        <v>47</v>
      </c>
      <c r="H159" s="52">
        <v>4.5</v>
      </c>
      <c r="I159" s="52">
        <v>5.0</v>
      </c>
      <c r="J159" s="47" t="s">
        <v>1842</v>
      </c>
      <c r="K159" s="80"/>
      <c r="L159" s="122"/>
      <c r="M159" s="52" t="s">
        <v>2618</v>
      </c>
      <c r="N159" s="52" t="s">
        <v>2619</v>
      </c>
      <c r="O159" s="65"/>
      <c r="P159" s="65"/>
    </row>
    <row r="160">
      <c r="A160" s="62" t="s">
        <v>656</v>
      </c>
      <c r="B160" s="62" t="s">
        <v>657</v>
      </c>
      <c r="C160" s="51" t="s">
        <v>51</v>
      </c>
      <c r="D160" s="65" t="s">
        <v>59</v>
      </c>
      <c r="E160" s="62" t="s">
        <v>1784</v>
      </c>
      <c r="F160" s="47" t="s">
        <v>2286</v>
      </c>
      <c r="G160" s="66" t="s">
        <v>47</v>
      </c>
      <c r="H160" s="52">
        <v>4.0</v>
      </c>
      <c r="I160" s="52">
        <v>5.0</v>
      </c>
      <c r="J160" s="47" t="s">
        <v>1842</v>
      </c>
      <c r="K160" s="80"/>
      <c r="L160" s="122"/>
      <c r="M160" s="52" t="s">
        <v>2540</v>
      </c>
      <c r="N160" s="52" t="s">
        <v>2620</v>
      </c>
      <c r="O160" s="65"/>
      <c r="P160" s="65"/>
    </row>
    <row r="161">
      <c r="A161" s="62" t="s">
        <v>89</v>
      </c>
      <c r="B161" s="62" t="s">
        <v>90</v>
      </c>
      <c r="C161" s="51" t="s">
        <v>51</v>
      </c>
      <c r="D161" s="65" t="s">
        <v>59</v>
      </c>
      <c r="E161" s="62" t="s">
        <v>1782</v>
      </c>
      <c r="F161" s="47" t="s">
        <v>2286</v>
      </c>
      <c r="G161" s="66" t="s">
        <v>47</v>
      </c>
      <c r="H161" s="52">
        <v>2.0</v>
      </c>
      <c r="I161" s="52">
        <v>3.5</v>
      </c>
      <c r="J161" s="47" t="s">
        <v>1833</v>
      </c>
      <c r="K161" s="47" t="s">
        <v>1833</v>
      </c>
      <c r="L161" s="122"/>
      <c r="M161" s="52" t="s">
        <v>2540</v>
      </c>
      <c r="N161" s="122"/>
      <c r="O161" s="65"/>
      <c r="P161" s="65"/>
    </row>
    <row r="162">
      <c r="A162" s="62" t="s">
        <v>149</v>
      </c>
      <c r="B162" s="62" t="s">
        <v>146</v>
      </c>
      <c r="C162" s="51" t="s">
        <v>51</v>
      </c>
      <c r="D162" s="65" t="s">
        <v>59</v>
      </c>
      <c r="E162" s="62" t="s">
        <v>1782</v>
      </c>
      <c r="F162" s="47" t="s">
        <v>2286</v>
      </c>
      <c r="G162" s="66" t="s">
        <v>47</v>
      </c>
      <c r="H162" s="52">
        <v>2.0</v>
      </c>
      <c r="I162" s="52">
        <v>3.0</v>
      </c>
      <c r="J162" s="47" t="s">
        <v>1833</v>
      </c>
      <c r="K162" s="47" t="s">
        <v>1833</v>
      </c>
      <c r="L162" s="122"/>
      <c r="M162" s="52" t="s">
        <v>2540</v>
      </c>
      <c r="N162" s="122"/>
      <c r="O162" s="65"/>
      <c r="P162" s="65"/>
    </row>
    <row r="163">
      <c r="A163" s="62" t="s">
        <v>183</v>
      </c>
      <c r="B163" s="62" t="s">
        <v>2623</v>
      </c>
      <c r="C163" s="51" t="s">
        <v>603</v>
      </c>
      <c r="D163" s="62" t="s">
        <v>59</v>
      </c>
      <c r="E163" s="62" t="s">
        <v>1752</v>
      </c>
      <c r="F163" s="47" t="s">
        <v>2624</v>
      </c>
      <c r="G163" s="62">
        <v>3.5</v>
      </c>
      <c r="H163" s="63" t="s">
        <v>47</v>
      </c>
      <c r="I163" s="62">
        <v>4.0</v>
      </c>
      <c r="J163" s="62" t="s">
        <v>1842</v>
      </c>
      <c r="K163" s="63" t="s">
        <v>1833</v>
      </c>
      <c r="L163" s="63" t="s">
        <v>47</v>
      </c>
      <c r="M163" s="63" t="s">
        <v>2303</v>
      </c>
      <c r="N163" s="63" t="s">
        <v>2625</v>
      </c>
      <c r="O163" s="65"/>
      <c r="P163" s="65"/>
    </row>
    <row r="164">
      <c r="A164" s="94" t="s">
        <v>653</v>
      </c>
      <c r="B164" s="94" t="s">
        <v>650</v>
      </c>
      <c r="C164" s="51" t="s">
        <v>603</v>
      </c>
      <c r="D164" s="65" t="s">
        <v>59</v>
      </c>
      <c r="E164" s="62" t="s">
        <v>1752</v>
      </c>
      <c r="F164" s="63" t="s">
        <v>2626</v>
      </c>
      <c r="G164" s="62">
        <v>3.0</v>
      </c>
      <c r="H164" s="67"/>
      <c r="I164" s="62">
        <v>3.0</v>
      </c>
      <c r="J164" s="62" t="s">
        <v>1833</v>
      </c>
      <c r="K164" s="63" t="s">
        <v>1833</v>
      </c>
      <c r="L164" s="63" t="s">
        <v>2627</v>
      </c>
      <c r="M164" s="67"/>
      <c r="N164" s="63" t="s">
        <v>2627</v>
      </c>
      <c r="O164" s="65"/>
      <c r="P164" s="65"/>
    </row>
    <row r="165">
      <c r="A165" s="62" t="s">
        <v>793</v>
      </c>
      <c r="B165" s="62" t="s">
        <v>2628</v>
      </c>
      <c r="C165" s="51" t="s">
        <v>51</v>
      </c>
      <c r="D165" s="62" t="s">
        <v>59</v>
      </c>
      <c r="E165" s="62" t="s">
        <v>1784</v>
      </c>
      <c r="F165" s="67"/>
      <c r="G165" s="62" t="s">
        <v>47</v>
      </c>
      <c r="H165" s="102">
        <v>1.0</v>
      </c>
      <c r="I165" s="62">
        <v>2.0</v>
      </c>
      <c r="J165" s="62" t="s">
        <v>1833</v>
      </c>
      <c r="K165" s="63" t="s">
        <v>1833</v>
      </c>
      <c r="L165" s="63" t="s">
        <v>2629</v>
      </c>
      <c r="M165" s="67"/>
      <c r="N165" s="63" t="s">
        <v>2630</v>
      </c>
      <c r="O165" s="65"/>
      <c r="P165" s="65"/>
    </row>
    <row r="166">
      <c r="A166" s="62" t="s">
        <v>87</v>
      </c>
      <c r="B166" s="62" t="s">
        <v>1460</v>
      </c>
      <c r="C166" s="51" t="s">
        <v>51</v>
      </c>
      <c r="D166" s="65" t="s">
        <v>59</v>
      </c>
      <c r="E166" s="62" t="s">
        <v>1748</v>
      </c>
      <c r="F166" s="63" t="s">
        <v>2626</v>
      </c>
      <c r="G166" s="62" t="s">
        <v>47</v>
      </c>
      <c r="H166" s="102">
        <v>3.0</v>
      </c>
      <c r="I166" s="62">
        <v>3.0</v>
      </c>
      <c r="J166" s="62" t="s">
        <v>1842</v>
      </c>
      <c r="K166" s="63" t="s">
        <v>1833</v>
      </c>
      <c r="L166" s="62" t="s">
        <v>47</v>
      </c>
      <c r="M166" s="52" t="s">
        <v>2540</v>
      </c>
      <c r="N166" s="63" t="s">
        <v>2631</v>
      </c>
      <c r="O166" s="65"/>
      <c r="P166" s="65"/>
    </row>
    <row r="167">
      <c r="A167" s="62" t="s">
        <v>211</v>
      </c>
      <c r="B167" s="62" t="s">
        <v>1419</v>
      </c>
      <c r="C167" s="51" t="s">
        <v>51</v>
      </c>
      <c r="D167" s="65" t="s">
        <v>59</v>
      </c>
      <c r="E167" s="62" t="s">
        <v>1748</v>
      </c>
      <c r="F167" s="63" t="s">
        <v>2626</v>
      </c>
      <c r="G167" s="62" t="s">
        <v>47</v>
      </c>
      <c r="H167" s="102">
        <v>3.0</v>
      </c>
      <c r="I167" s="62">
        <v>3.0</v>
      </c>
      <c r="J167" s="62" t="s">
        <v>1842</v>
      </c>
      <c r="K167" s="63" t="s">
        <v>1833</v>
      </c>
      <c r="L167" s="62" t="s">
        <v>47</v>
      </c>
      <c r="M167" s="52" t="s">
        <v>2540</v>
      </c>
      <c r="N167" s="63" t="s">
        <v>2632</v>
      </c>
      <c r="O167" s="65"/>
      <c r="P167" s="65"/>
    </row>
    <row r="168">
      <c r="A168" s="62" t="s">
        <v>99</v>
      </c>
      <c r="B168" s="62" t="s">
        <v>1004</v>
      </c>
      <c r="C168" s="51" t="s">
        <v>51</v>
      </c>
      <c r="D168" s="65" t="s">
        <v>59</v>
      </c>
      <c r="E168" s="62" t="s">
        <v>1748</v>
      </c>
      <c r="F168" s="63" t="s">
        <v>2626</v>
      </c>
      <c r="G168" s="62" t="s">
        <v>47</v>
      </c>
      <c r="H168" s="102">
        <v>3.0</v>
      </c>
      <c r="I168" s="62">
        <v>4.0</v>
      </c>
      <c r="J168" s="62" t="s">
        <v>1842</v>
      </c>
      <c r="K168" s="63" t="s">
        <v>1833</v>
      </c>
      <c r="L168" s="62" t="s">
        <v>47</v>
      </c>
      <c r="M168" s="52" t="s">
        <v>2540</v>
      </c>
      <c r="N168" s="63" t="s">
        <v>2633</v>
      </c>
      <c r="O168" s="65"/>
      <c r="P168" s="65"/>
    </row>
    <row r="169">
      <c r="A169" s="62" t="s">
        <v>1294</v>
      </c>
      <c r="B169" s="62" t="s">
        <v>1353</v>
      </c>
      <c r="C169" s="51" t="s">
        <v>51</v>
      </c>
      <c r="D169" s="65" t="s">
        <v>49</v>
      </c>
      <c r="E169" s="62" t="s">
        <v>1748</v>
      </c>
      <c r="F169" s="63" t="s">
        <v>2626</v>
      </c>
      <c r="G169" s="62" t="s">
        <v>47</v>
      </c>
      <c r="H169" s="102">
        <v>3.0</v>
      </c>
      <c r="I169" s="62">
        <v>4.0</v>
      </c>
      <c r="J169" s="62" t="s">
        <v>1842</v>
      </c>
      <c r="K169" s="63" t="s">
        <v>1833</v>
      </c>
      <c r="L169" s="62" t="s">
        <v>47</v>
      </c>
      <c r="M169" s="52" t="s">
        <v>2640</v>
      </c>
      <c r="N169" s="63" t="s">
        <v>2635</v>
      </c>
      <c r="O169" s="65"/>
      <c r="P169" s="65"/>
    </row>
    <row r="170">
      <c r="A170" s="62" t="s">
        <v>1266</v>
      </c>
      <c r="B170" s="62" t="s">
        <v>1391</v>
      </c>
      <c r="C170" s="51" t="s">
        <v>51</v>
      </c>
      <c r="D170" s="65" t="s">
        <v>49</v>
      </c>
      <c r="E170" s="62" t="s">
        <v>1748</v>
      </c>
      <c r="F170" s="63" t="s">
        <v>2626</v>
      </c>
      <c r="G170" s="62" t="s">
        <v>47</v>
      </c>
      <c r="H170" s="102">
        <v>2.0</v>
      </c>
      <c r="I170" s="62">
        <v>3.5</v>
      </c>
      <c r="J170" s="62" t="s">
        <v>1833</v>
      </c>
      <c r="K170" s="63" t="s">
        <v>1833</v>
      </c>
      <c r="L170" s="63" t="s">
        <v>2643</v>
      </c>
      <c r="M170" s="62" t="s">
        <v>47</v>
      </c>
      <c r="N170" s="63" t="s">
        <v>2636</v>
      </c>
      <c r="O170" s="65"/>
      <c r="P170" s="65"/>
    </row>
    <row r="171">
      <c r="A171" s="62" t="s">
        <v>855</v>
      </c>
      <c r="B171" s="62" t="s">
        <v>856</v>
      </c>
      <c r="C171" s="51" t="s">
        <v>51</v>
      </c>
      <c r="D171" s="65" t="s">
        <v>59</v>
      </c>
      <c r="E171" s="62" t="s">
        <v>1748</v>
      </c>
      <c r="F171" s="63" t="s">
        <v>2626</v>
      </c>
      <c r="G171" s="62" t="s">
        <v>47</v>
      </c>
      <c r="H171" s="102">
        <v>4.0</v>
      </c>
      <c r="I171" s="62">
        <v>4.5</v>
      </c>
      <c r="J171" s="62" t="s">
        <v>1842</v>
      </c>
      <c r="K171" s="63" t="s">
        <v>1842</v>
      </c>
      <c r="L171" s="62" t="s">
        <v>47</v>
      </c>
      <c r="M171" s="52" t="s">
        <v>2540</v>
      </c>
      <c r="N171" s="63" t="s">
        <v>2637</v>
      </c>
      <c r="O171" s="65"/>
      <c r="P171" s="65"/>
    </row>
    <row r="172">
      <c r="A172" s="62" t="s">
        <v>564</v>
      </c>
      <c r="B172" s="62" t="s">
        <v>1179</v>
      </c>
      <c r="C172" s="51" t="s">
        <v>51</v>
      </c>
      <c r="D172" s="65" t="s">
        <v>59</v>
      </c>
      <c r="E172" s="62" t="s">
        <v>1748</v>
      </c>
      <c r="F172" s="63" t="s">
        <v>2626</v>
      </c>
      <c r="G172" s="62" t="s">
        <v>47</v>
      </c>
      <c r="H172" s="102">
        <v>3.5</v>
      </c>
      <c r="I172" s="62">
        <v>3.5</v>
      </c>
      <c r="J172" s="62" t="s">
        <v>1842</v>
      </c>
      <c r="K172" s="63" t="s">
        <v>1833</v>
      </c>
      <c r="L172" s="62" t="s">
        <v>47</v>
      </c>
      <c r="M172" s="52" t="s">
        <v>2540</v>
      </c>
      <c r="N172" s="63" t="s">
        <v>2638</v>
      </c>
      <c r="O172" s="65"/>
      <c r="P172" s="65"/>
    </row>
    <row r="173">
      <c r="A173" s="62" t="s">
        <v>143</v>
      </c>
      <c r="B173" s="62" t="s">
        <v>144</v>
      </c>
      <c r="C173" s="51" t="s">
        <v>51</v>
      </c>
      <c r="D173" s="65" t="s">
        <v>49</v>
      </c>
      <c r="E173" s="62" t="s">
        <v>1748</v>
      </c>
      <c r="F173" s="63" t="s">
        <v>2626</v>
      </c>
      <c r="G173" s="62" t="s">
        <v>47</v>
      </c>
      <c r="H173" s="102">
        <v>3.0</v>
      </c>
      <c r="I173" s="62">
        <v>3.0</v>
      </c>
      <c r="J173" s="62" t="s">
        <v>1842</v>
      </c>
      <c r="K173" s="63" t="s">
        <v>1833</v>
      </c>
      <c r="L173" s="62" t="s">
        <v>47</v>
      </c>
      <c r="M173" s="52" t="s">
        <v>2540</v>
      </c>
      <c r="N173" s="63" t="s">
        <v>2639</v>
      </c>
      <c r="O173" s="65"/>
      <c r="P173" s="65"/>
    </row>
    <row r="174">
      <c r="A174" s="62" t="s">
        <v>512</v>
      </c>
      <c r="B174" s="62" t="s">
        <v>517</v>
      </c>
      <c r="C174" s="51" t="s">
        <v>51</v>
      </c>
      <c r="D174" s="65" t="s">
        <v>59</v>
      </c>
      <c r="E174" s="62" t="s">
        <v>1782</v>
      </c>
      <c r="F174" s="47" t="s">
        <v>2286</v>
      </c>
      <c r="G174" s="62" t="s">
        <v>47</v>
      </c>
      <c r="H174" s="63">
        <v>2.0</v>
      </c>
      <c r="I174" s="62">
        <v>3.5</v>
      </c>
      <c r="J174" s="62" t="s">
        <v>1833</v>
      </c>
      <c r="K174" s="63" t="s">
        <v>1833</v>
      </c>
      <c r="L174" s="63" t="s">
        <v>2659</v>
      </c>
      <c r="M174" s="63" t="s">
        <v>2540</v>
      </c>
      <c r="N174" s="67"/>
      <c r="O174" s="65"/>
      <c r="P174" s="65"/>
    </row>
    <row r="175">
      <c r="A175" s="62" t="s">
        <v>683</v>
      </c>
      <c r="B175" s="62" t="s">
        <v>685</v>
      </c>
      <c r="C175" s="51" t="s">
        <v>51</v>
      </c>
      <c r="D175" s="65" t="s">
        <v>59</v>
      </c>
      <c r="E175" s="62" t="s">
        <v>1782</v>
      </c>
      <c r="F175" s="63" t="s">
        <v>2664</v>
      </c>
      <c r="G175" s="62" t="s">
        <v>47</v>
      </c>
      <c r="H175" s="63">
        <v>4.5</v>
      </c>
      <c r="I175" s="62">
        <v>4.5</v>
      </c>
      <c r="J175" s="62" t="s">
        <v>1842</v>
      </c>
      <c r="K175" s="63" t="s">
        <v>1842</v>
      </c>
      <c r="L175" s="62" t="s">
        <v>47</v>
      </c>
      <c r="M175" s="63" t="s">
        <v>2540</v>
      </c>
      <c r="N175" s="67"/>
      <c r="O175" s="65"/>
      <c r="P175" s="65"/>
    </row>
    <row r="176">
      <c r="A176" s="62" t="s">
        <v>611</v>
      </c>
      <c r="B176" s="62" t="s">
        <v>609</v>
      </c>
      <c r="C176" s="51" t="s">
        <v>603</v>
      </c>
      <c r="D176" s="62" t="s">
        <v>59</v>
      </c>
      <c r="E176" s="62" t="s">
        <v>1752</v>
      </c>
      <c r="F176" s="63" t="s">
        <v>2671</v>
      </c>
      <c r="G176" s="62">
        <v>3.0</v>
      </c>
      <c r="H176" s="63" t="s">
        <v>47</v>
      </c>
      <c r="I176" s="62">
        <v>3.5</v>
      </c>
      <c r="J176" s="62" t="s">
        <v>1833</v>
      </c>
      <c r="K176" s="63" t="s">
        <v>1833</v>
      </c>
      <c r="L176" s="63" t="s">
        <v>2641</v>
      </c>
      <c r="M176" s="63" t="s">
        <v>2303</v>
      </c>
      <c r="N176" s="63" t="s">
        <v>2641</v>
      </c>
      <c r="O176" s="65"/>
      <c r="P176" s="65"/>
    </row>
    <row r="177">
      <c r="A177" s="62" t="s">
        <v>451</v>
      </c>
      <c r="B177" s="62" t="s">
        <v>453</v>
      </c>
      <c r="C177" s="51" t="s">
        <v>603</v>
      </c>
      <c r="D177" s="62" t="s">
        <v>59</v>
      </c>
      <c r="E177" s="62" t="s">
        <v>1752</v>
      </c>
      <c r="F177" s="63" t="s">
        <v>2673</v>
      </c>
      <c r="G177" s="62">
        <v>4.0</v>
      </c>
      <c r="H177" s="63" t="s">
        <v>47</v>
      </c>
      <c r="I177" s="62">
        <v>4.5</v>
      </c>
      <c r="J177" s="62" t="s">
        <v>1842</v>
      </c>
      <c r="K177" s="63" t="s">
        <v>1833</v>
      </c>
      <c r="L177" s="63" t="s">
        <v>47</v>
      </c>
      <c r="M177" s="52" t="s">
        <v>2561</v>
      </c>
      <c r="N177" s="63" t="s">
        <v>2642</v>
      </c>
      <c r="O177" s="65"/>
      <c r="P177" s="65"/>
    </row>
    <row r="178">
      <c r="A178" s="62" t="s">
        <v>253</v>
      </c>
      <c r="B178" s="62" t="s">
        <v>254</v>
      </c>
      <c r="C178" s="51" t="s">
        <v>603</v>
      </c>
      <c r="D178" s="62" t="s">
        <v>59</v>
      </c>
      <c r="E178" s="62" t="s">
        <v>1761</v>
      </c>
      <c r="F178" s="63" t="s">
        <v>2676</v>
      </c>
      <c r="G178" s="62">
        <v>3.0</v>
      </c>
      <c r="H178" s="67"/>
      <c r="I178" s="62">
        <v>4.0</v>
      </c>
      <c r="J178" s="62" t="s">
        <v>1842</v>
      </c>
      <c r="K178" s="67"/>
      <c r="L178" s="67"/>
      <c r="M178" s="63" t="s">
        <v>2677</v>
      </c>
      <c r="N178" s="63" t="s">
        <v>2678</v>
      </c>
      <c r="O178" s="65"/>
      <c r="P178" s="65"/>
    </row>
    <row r="179">
      <c r="A179" s="62" t="s">
        <v>18</v>
      </c>
      <c r="B179" s="62" t="s">
        <v>19</v>
      </c>
      <c r="C179" s="51" t="s">
        <v>51</v>
      </c>
      <c r="D179" s="62" t="s">
        <v>59</v>
      </c>
      <c r="E179" s="62" t="s">
        <v>1748</v>
      </c>
      <c r="F179" s="63" t="s">
        <v>2626</v>
      </c>
      <c r="G179" s="62" t="s">
        <v>47</v>
      </c>
      <c r="H179" s="102">
        <v>2.0</v>
      </c>
      <c r="I179" s="62">
        <v>3.0</v>
      </c>
      <c r="J179" s="62" t="s">
        <v>1833</v>
      </c>
      <c r="K179" s="63" t="s">
        <v>1833</v>
      </c>
      <c r="L179" s="63" t="s">
        <v>2680</v>
      </c>
      <c r="M179" s="62" t="s">
        <v>47</v>
      </c>
      <c r="N179" s="63" t="s">
        <v>2646</v>
      </c>
      <c r="O179" s="65"/>
      <c r="P179" s="65"/>
    </row>
    <row r="180">
      <c r="A180" s="62" t="s">
        <v>60</v>
      </c>
      <c r="B180" s="62" t="s">
        <v>61</v>
      </c>
      <c r="C180" s="51" t="s">
        <v>51</v>
      </c>
      <c r="D180" s="62" t="s">
        <v>49</v>
      </c>
      <c r="E180" s="62" t="s">
        <v>1748</v>
      </c>
      <c r="F180" s="63" t="s">
        <v>2626</v>
      </c>
      <c r="G180" s="62" t="s">
        <v>47</v>
      </c>
      <c r="H180" s="102">
        <v>3.5</v>
      </c>
      <c r="I180" s="62">
        <v>3.5</v>
      </c>
      <c r="J180" s="62" t="s">
        <v>1842</v>
      </c>
      <c r="K180" s="63" t="s">
        <v>1833</v>
      </c>
      <c r="L180" s="62" t="s">
        <v>47</v>
      </c>
      <c r="M180" s="62" t="s">
        <v>2540</v>
      </c>
      <c r="N180" s="63" t="s">
        <v>2647</v>
      </c>
      <c r="O180" s="65"/>
      <c r="P180" s="65"/>
    </row>
    <row r="181">
      <c r="A181" s="62" t="s">
        <v>142</v>
      </c>
      <c r="B181" s="62" t="s">
        <v>1282</v>
      </c>
      <c r="C181" s="51" t="s">
        <v>51</v>
      </c>
      <c r="D181" s="62" t="s">
        <v>59</v>
      </c>
      <c r="E181" s="62" t="s">
        <v>1748</v>
      </c>
      <c r="F181" s="63" t="s">
        <v>2626</v>
      </c>
      <c r="G181" s="62" t="s">
        <v>47</v>
      </c>
      <c r="H181" s="102">
        <v>2.0</v>
      </c>
      <c r="I181" s="62">
        <v>4.0</v>
      </c>
      <c r="J181" s="62" t="s">
        <v>1833</v>
      </c>
      <c r="K181" s="63" t="s">
        <v>1833</v>
      </c>
      <c r="L181" s="63" t="s">
        <v>2680</v>
      </c>
      <c r="M181" s="62" t="s">
        <v>47</v>
      </c>
      <c r="N181" s="63" t="s">
        <v>2648</v>
      </c>
      <c r="O181" s="65"/>
      <c r="P181" s="65"/>
    </row>
    <row r="182">
      <c r="A182" s="62" t="s">
        <v>969</v>
      </c>
      <c r="B182" s="62" t="s">
        <v>966</v>
      </c>
      <c r="C182" s="51" t="s">
        <v>51</v>
      </c>
      <c r="D182" s="62" t="s">
        <v>59</v>
      </c>
      <c r="E182" s="62" t="s">
        <v>1748</v>
      </c>
      <c r="F182" s="63" t="s">
        <v>2685</v>
      </c>
      <c r="G182" s="62" t="s">
        <v>47</v>
      </c>
      <c r="H182" s="102">
        <v>4.5</v>
      </c>
      <c r="I182" s="62">
        <v>5.0</v>
      </c>
      <c r="J182" s="62" t="s">
        <v>1842</v>
      </c>
      <c r="K182" s="63" t="s">
        <v>1842</v>
      </c>
      <c r="L182" s="62" t="s">
        <v>47</v>
      </c>
      <c r="M182" s="62" t="s">
        <v>2540</v>
      </c>
      <c r="N182" s="63" t="s">
        <v>2649</v>
      </c>
      <c r="O182" s="65"/>
      <c r="P182" s="65"/>
    </row>
    <row r="183">
      <c r="A183" s="62" t="s">
        <v>373</v>
      </c>
      <c r="B183" s="62" t="s">
        <v>1253</v>
      </c>
      <c r="C183" s="51" t="s">
        <v>51</v>
      </c>
      <c r="D183" s="62" t="s">
        <v>49</v>
      </c>
      <c r="E183" s="62" t="s">
        <v>1748</v>
      </c>
      <c r="F183" s="63" t="s">
        <v>2687</v>
      </c>
      <c r="G183" s="62" t="s">
        <v>47</v>
      </c>
      <c r="H183" s="102">
        <v>4.5</v>
      </c>
      <c r="I183" s="62">
        <v>5.0</v>
      </c>
      <c r="J183" s="62" t="s">
        <v>1842</v>
      </c>
      <c r="K183" s="63" t="s">
        <v>1842</v>
      </c>
      <c r="L183" s="62" t="s">
        <v>47</v>
      </c>
      <c r="M183" s="62" t="s">
        <v>2690</v>
      </c>
      <c r="N183" s="63" t="s">
        <v>2650</v>
      </c>
      <c r="O183" s="65"/>
      <c r="P183" s="65"/>
    </row>
    <row r="184">
      <c r="A184" s="62" t="s">
        <v>893</v>
      </c>
      <c r="B184" s="62" t="s">
        <v>1138</v>
      </c>
      <c r="C184" s="51" t="s">
        <v>51</v>
      </c>
      <c r="D184" s="62" t="s">
        <v>49</v>
      </c>
      <c r="E184" s="62" t="s">
        <v>1748</v>
      </c>
      <c r="F184" s="63" t="s">
        <v>2691</v>
      </c>
      <c r="G184" s="62" t="s">
        <v>47</v>
      </c>
      <c r="H184" s="102">
        <v>4.5</v>
      </c>
      <c r="I184" s="62">
        <v>5.0</v>
      </c>
      <c r="J184" s="62" t="s">
        <v>1842</v>
      </c>
      <c r="K184" s="63" t="s">
        <v>1842</v>
      </c>
      <c r="L184" s="62" t="s">
        <v>47</v>
      </c>
      <c r="M184" s="62" t="s">
        <v>2690</v>
      </c>
      <c r="N184" s="63" t="s">
        <v>2651</v>
      </c>
      <c r="O184" s="65"/>
      <c r="P184" s="65"/>
    </row>
    <row r="185">
      <c r="A185" s="62" t="s">
        <v>212</v>
      </c>
      <c r="B185" s="62" t="s">
        <v>210</v>
      </c>
      <c r="C185" s="51" t="s">
        <v>51</v>
      </c>
      <c r="D185" s="62" t="s">
        <v>59</v>
      </c>
      <c r="E185" s="62" t="s">
        <v>1748</v>
      </c>
      <c r="F185" s="63" t="s">
        <v>2694</v>
      </c>
      <c r="G185" s="62" t="s">
        <v>47</v>
      </c>
      <c r="H185" s="102">
        <v>2.0</v>
      </c>
      <c r="I185" s="62">
        <v>3.0</v>
      </c>
      <c r="J185" s="62" t="s">
        <v>1833</v>
      </c>
      <c r="K185" s="63" t="s">
        <v>1833</v>
      </c>
      <c r="L185" s="63" t="s">
        <v>2680</v>
      </c>
      <c r="M185" s="62" t="s">
        <v>47</v>
      </c>
      <c r="N185" s="63" t="s">
        <v>2652</v>
      </c>
      <c r="O185" s="65"/>
      <c r="P185" s="65"/>
    </row>
    <row r="186">
      <c r="A186" s="62" t="s">
        <v>1087</v>
      </c>
      <c r="B186" s="62" t="s">
        <v>1084</v>
      </c>
      <c r="C186" s="62" t="s">
        <v>51</v>
      </c>
      <c r="D186" s="62" t="s">
        <v>59</v>
      </c>
      <c r="E186" s="62" t="s">
        <v>1748</v>
      </c>
      <c r="F186" s="63" t="s">
        <v>2694</v>
      </c>
      <c r="G186" s="62" t="s">
        <v>47</v>
      </c>
      <c r="H186" s="148">
        <v>3.5</v>
      </c>
      <c r="I186" s="149">
        <v>4.0</v>
      </c>
      <c r="J186" s="62" t="s">
        <v>1842</v>
      </c>
      <c r="K186" s="63" t="s">
        <v>1833</v>
      </c>
      <c r="L186" s="63" t="s">
        <v>47</v>
      </c>
      <c r="M186" s="63" t="s">
        <v>2697</v>
      </c>
      <c r="N186" s="63" t="s">
        <v>2653</v>
      </c>
      <c r="O186" s="65"/>
      <c r="P186" s="65"/>
    </row>
    <row r="187">
      <c r="A187" s="62" t="s">
        <v>907</v>
      </c>
      <c r="B187" s="62" t="s">
        <v>905</v>
      </c>
      <c r="C187" s="51" t="s">
        <v>51</v>
      </c>
      <c r="D187" s="62" t="s">
        <v>49</v>
      </c>
      <c r="E187" s="62" t="s">
        <v>1770</v>
      </c>
      <c r="F187" s="63" t="s">
        <v>2700</v>
      </c>
      <c r="G187" s="62" t="s">
        <v>47</v>
      </c>
      <c r="H187" s="63">
        <v>4.0</v>
      </c>
      <c r="I187" s="62">
        <v>4.5</v>
      </c>
      <c r="J187" s="62" t="s">
        <v>1842</v>
      </c>
      <c r="K187" s="63" t="s">
        <v>1842</v>
      </c>
      <c r="L187" s="67"/>
      <c r="M187" s="62" t="s">
        <v>2690</v>
      </c>
      <c r="N187" s="63" t="s">
        <v>2654</v>
      </c>
      <c r="O187" s="65"/>
      <c r="P187" s="65"/>
    </row>
    <row r="188">
      <c r="A188" s="62" t="s">
        <v>468</v>
      </c>
      <c r="B188" s="62" t="s">
        <v>1607</v>
      </c>
      <c r="C188" s="51" t="s">
        <v>51</v>
      </c>
      <c r="D188" s="62" t="s">
        <v>59</v>
      </c>
      <c r="E188" s="62" t="s">
        <v>1770</v>
      </c>
      <c r="F188" s="67"/>
      <c r="G188" s="65"/>
      <c r="H188" s="67"/>
      <c r="I188" s="65"/>
      <c r="J188" s="62" t="s">
        <v>2156</v>
      </c>
      <c r="K188" s="67"/>
      <c r="L188" s="67"/>
      <c r="M188" s="67"/>
      <c r="N188" s="67"/>
      <c r="O188" s="65"/>
      <c r="P188" s="65"/>
    </row>
    <row r="189">
      <c r="A189" s="62" t="s">
        <v>57</v>
      </c>
      <c r="B189" s="62" t="s">
        <v>58</v>
      </c>
      <c r="C189" s="51" t="s">
        <v>51</v>
      </c>
      <c r="D189" s="62" t="s">
        <v>59</v>
      </c>
      <c r="E189" s="62" t="s">
        <v>2208</v>
      </c>
      <c r="F189" s="67"/>
      <c r="G189" s="65"/>
      <c r="H189" s="63">
        <v>3.0</v>
      </c>
      <c r="I189" s="62">
        <v>3.0</v>
      </c>
      <c r="J189" s="62" t="s">
        <v>1842</v>
      </c>
      <c r="K189" s="67"/>
      <c r="L189" s="67"/>
      <c r="M189" s="63" t="s">
        <v>2708</v>
      </c>
      <c r="N189" s="63" t="s">
        <v>2655</v>
      </c>
      <c r="O189" s="65"/>
      <c r="P189" s="65"/>
    </row>
    <row r="190">
      <c r="A190" s="62" t="s">
        <v>560</v>
      </c>
      <c r="B190" s="62" t="s">
        <v>557</v>
      </c>
      <c r="C190" s="51" t="s">
        <v>51</v>
      </c>
      <c r="D190" s="62" t="s">
        <v>59</v>
      </c>
      <c r="E190" s="62" t="s">
        <v>1770</v>
      </c>
      <c r="F190" s="63" t="s">
        <v>2173</v>
      </c>
      <c r="G190" s="62" t="s">
        <v>47</v>
      </c>
      <c r="H190" s="63">
        <v>3.0</v>
      </c>
      <c r="I190" s="62">
        <v>4.0</v>
      </c>
      <c r="J190" s="62" t="s">
        <v>1833</v>
      </c>
      <c r="K190" s="67"/>
      <c r="L190" s="67"/>
      <c r="M190" s="63" t="s">
        <v>2712</v>
      </c>
      <c r="N190" s="63" t="s">
        <v>2656</v>
      </c>
      <c r="O190" s="65"/>
      <c r="P190" s="65"/>
    </row>
    <row r="191">
      <c r="A191" s="62" t="s">
        <v>1100</v>
      </c>
      <c r="B191" s="62" t="s">
        <v>1101</v>
      </c>
      <c r="C191" s="51" t="s">
        <v>51</v>
      </c>
      <c r="D191" s="62" t="s">
        <v>59</v>
      </c>
      <c r="E191" s="62" t="s">
        <v>1770</v>
      </c>
      <c r="F191" s="67"/>
      <c r="G191" s="65"/>
      <c r="H191" s="67"/>
      <c r="I191" s="65"/>
      <c r="J191" s="62" t="s">
        <v>2156</v>
      </c>
      <c r="K191" s="67"/>
      <c r="L191" s="67"/>
      <c r="M191" s="67"/>
      <c r="N191" s="67"/>
      <c r="O191" s="65"/>
      <c r="P191" s="65"/>
    </row>
    <row r="192">
      <c r="A192" s="62" t="s">
        <v>226</v>
      </c>
      <c r="B192" s="62" t="s">
        <v>228</v>
      </c>
      <c r="C192" s="51" t="s">
        <v>51</v>
      </c>
      <c r="D192" s="62" t="s">
        <v>59</v>
      </c>
      <c r="E192" s="62" t="s">
        <v>2208</v>
      </c>
      <c r="F192" s="67"/>
      <c r="G192" s="65"/>
      <c r="H192" s="63">
        <v>4.0</v>
      </c>
      <c r="I192" s="62">
        <v>4.5</v>
      </c>
      <c r="J192" s="62" t="s">
        <v>1842</v>
      </c>
      <c r="K192" s="67"/>
      <c r="L192" s="67"/>
      <c r="M192" s="63" t="s">
        <v>2717</v>
      </c>
      <c r="N192" s="63" t="s">
        <v>2657</v>
      </c>
      <c r="O192" s="65"/>
      <c r="P192" s="65"/>
    </row>
    <row r="193">
      <c r="A193" s="62" t="s">
        <v>289</v>
      </c>
      <c r="B193" s="62" t="s">
        <v>290</v>
      </c>
      <c r="C193" s="51" t="s">
        <v>51</v>
      </c>
      <c r="D193" s="62" t="s">
        <v>49</v>
      </c>
      <c r="E193" s="62" t="s">
        <v>1775</v>
      </c>
      <c r="F193" s="63" t="s">
        <v>2721</v>
      </c>
      <c r="G193" s="62" t="s">
        <v>47</v>
      </c>
      <c r="H193" s="63">
        <v>3.5</v>
      </c>
      <c r="I193" s="62">
        <v>4.0</v>
      </c>
      <c r="J193" s="62" t="s">
        <v>1833</v>
      </c>
      <c r="K193" s="63" t="s">
        <v>1833</v>
      </c>
      <c r="L193" s="63" t="s">
        <v>2722</v>
      </c>
      <c r="M193" s="63" t="s">
        <v>2724</v>
      </c>
      <c r="N193" s="63" t="s">
        <v>2658</v>
      </c>
      <c r="O193" s="65"/>
      <c r="P193" s="65"/>
    </row>
    <row r="194">
      <c r="A194" s="62" t="s">
        <v>774</v>
      </c>
      <c r="B194" s="62" t="s">
        <v>775</v>
      </c>
      <c r="C194" s="62" t="s">
        <v>51</v>
      </c>
      <c r="D194" s="62" t="s">
        <v>59</v>
      </c>
      <c r="E194" s="62" t="s">
        <v>1772</v>
      </c>
      <c r="F194" s="63" t="s">
        <v>2721</v>
      </c>
      <c r="G194" s="62" t="s">
        <v>47</v>
      </c>
      <c r="H194" s="63">
        <v>3.0</v>
      </c>
      <c r="I194" s="62">
        <v>4.5</v>
      </c>
      <c r="J194" s="62" t="s">
        <v>1842</v>
      </c>
      <c r="K194" s="67"/>
      <c r="L194" s="67"/>
      <c r="M194" s="63" t="s">
        <v>2724</v>
      </c>
      <c r="N194" s="63" t="s">
        <v>2660</v>
      </c>
      <c r="O194" s="65"/>
      <c r="P194" s="65"/>
    </row>
    <row r="195">
      <c r="A195" s="62" t="s">
        <v>337</v>
      </c>
      <c r="B195" s="62" t="s">
        <v>334</v>
      </c>
      <c r="C195" s="62" t="s">
        <v>51</v>
      </c>
      <c r="D195" s="62" t="s">
        <v>49</v>
      </c>
      <c r="E195" s="62" t="s">
        <v>1772</v>
      </c>
      <c r="F195" s="63" t="s">
        <v>2726</v>
      </c>
      <c r="G195" s="62" t="s">
        <v>47</v>
      </c>
      <c r="H195" s="63">
        <v>2.0</v>
      </c>
      <c r="I195" s="62">
        <v>4.5</v>
      </c>
      <c r="J195" s="62" t="s">
        <v>1833</v>
      </c>
      <c r="K195" s="67"/>
      <c r="L195" s="63" t="s">
        <v>2661</v>
      </c>
      <c r="M195" s="63" t="s">
        <v>2724</v>
      </c>
      <c r="N195" s="63" t="s">
        <v>2661</v>
      </c>
      <c r="O195" s="65"/>
      <c r="P195" s="65"/>
    </row>
    <row r="196">
      <c r="A196" s="62" t="s">
        <v>620</v>
      </c>
      <c r="B196" s="62" t="s">
        <v>623</v>
      </c>
      <c r="C196" s="51" t="s">
        <v>603</v>
      </c>
      <c r="D196" s="62" t="s">
        <v>59</v>
      </c>
      <c r="E196" s="62" t="s">
        <v>1754</v>
      </c>
      <c r="F196" s="63" t="s">
        <v>2728</v>
      </c>
      <c r="G196" s="62">
        <v>3.5</v>
      </c>
      <c r="H196" s="67"/>
      <c r="I196" s="62">
        <v>4.5</v>
      </c>
      <c r="J196" s="62" t="s">
        <v>1842</v>
      </c>
      <c r="K196" s="63" t="s">
        <v>1833</v>
      </c>
      <c r="L196" s="63" t="s">
        <v>2732</v>
      </c>
      <c r="M196" s="52" t="s">
        <v>2561</v>
      </c>
      <c r="N196" s="63" t="s">
        <v>2662</v>
      </c>
      <c r="O196" s="65"/>
      <c r="P196" s="65"/>
    </row>
    <row r="197">
      <c r="A197" s="62" t="s">
        <v>340</v>
      </c>
      <c r="B197" s="62" t="s">
        <v>341</v>
      </c>
      <c r="C197" s="51" t="s">
        <v>603</v>
      </c>
      <c r="D197" s="62" t="s">
        <v>59</v>
      </c>
      <c r="E197" s="62" t="s">
        <v>1754</v>
      </c>
      <c r="F197" s="63" t="s">
        <v>2737</v>
      </c>
      <c r="G197" s="62">
        <v>3.5</v>
      </c>
      <c r="H197" s="67"/>
      <c r="I197" s="62">
        <v>4.0</v>
      </c>
      <c r="J197" s="62" t="s">
        <v>1842</v>
      </c>
      <c r="K197" s="63" t="s">
        <v>1833</v>
      </c>
      <c r="L197" s="63" t="s">
        <v>2732</v>
      </c>
      <c r="M197" s="52" t="s">
        <v>2561</v>
      </c>
      <c r="N197" s="63" t="s">
        <v>2663</v>
      </c>
      <c r="O197" s="65"/>
      <c r="P197" s="65"/>
    </row>
    <row r="198">
      <c r="A198" s="62" t="s">
        <v>949</v>
      </c>
      <c r="B198" s="62" t="s">
        <v>952</v>
      </c>
      <c r="C198" s="51" t="s">
        <v>603</v>
      </c>
      <c r="D198" s="62" t="s">
        <v>59</v>
      </c>
      <c r="E198" s="62" t="s">
        <v>1754</v>
      </c>
      <c r="F198" s="67"/>
      <c r="G198" s="149">
        <v>0.0</v>
      </c>
      <c r="H198" s="148">
        <v>0.0</v>
      </c>
      <c r="I198" s="149">
        <v>0.0</v>
      </c>
      <c r="J198" s="62" t="s">
        <v>2156</v>
      </c>
      <c r="K198" s="67"/>
      <c r="L198" s="67"/>
      <c r="M198" s="67"/>
      <c r="N198" s="63" t="s">
        <v>2665</v>
      </c>
      <c r="O198" s="65"/>
      <c r="P198" s="65"/>
    </row>
    <row r="199">
      <c r="A199" s="62" t="s">
        <v>1189</v>
      </c>
      <c r="B199" s="62" t="s">
        <v>1190</v>
      </c>
      <c r="C199" s="51" t="s">
        <v>603</v>
      </c>
      <c r="D199" s="62" t="s">
        <v>59</v>
      </c>
      <c r="E199" s="62" t="s">
        <v>1754</v>
      </c>
      <c r="F199" s="67"/>
      <c r="G199" s="149">
        <v>2.0</v>
      </c>
      <c r="H199" s="148">
        <v>0.0</v>
      </c>
      <c r="I199" s="149">
        <v>2.5</v>
      </c>
      <c r="J199" s="62" t="s">
        <v>1833</v>
      </c>
      <c r="K199" s="67"/>
      <c r="L199" s="63" t="s">
        <v>2754</v>
      </c>
      <c r="M199" s="63" t="s">
        <v>2755</v>
      </c>
      <c r="N199" s="63" t="s">
        <v>2666</v>
      </c>
      <c r="O199" s="65"/>
      <c r="P199" s="65"/>
    </row>
    <row r="200">
      <c r="A200" s="62" t="s">
        <v>343</v>
      </c>
      <c r="B200" s="62" t="s">
        <v>344</v>
      </c>
      <c r="C200" s="51" t="s">
        <v>603</v>
      </c>
      <c r="D200" s="62" t="s">
        <v>59</v>
      </c>
      <c r="E200" s="62" t="s">
        <v>1766</v>
      </c>
      <c r="F200" s="67"/>
      <c r="G200" s="62">
        <v>3.5</v>
      </c>
      <c r="H200" s="63">
        <v>0.0</v>
      </c>
      <c r="I200" s="62">
        <v>2.5</v>
      </c>
      <c r="J200" s="62" t="s">
        <v>1833</v>
      </c>
      <c r="K200" s="63" t="s">
        <v>1833</v>
      </c>
      <c r="L200" s="63" t="s">
        <v>2762</v>
      </c>
      <c r="M200" s="52" t="s">
        <v>2561</v>
      </c>
      <c r="N200" s="63" t="s">
        <v>2669</v>
      </c>
      <c r="O200" s="65"/>
      <c r="P200" s="65"/>
    </row>
    <row r="201">
      <c r="A201" s="62" t="s">
        <v>508</v>
      </c>
      <c r="B201" s="62" t="s">
        <v>2765</v>
      </c>
      <c r="C201" s="51" t="s">
        <v>603</v>
      </c>
      <c r="D201" s="62" t="s">
        <v>59</v>
      </c>
      <c r="E201" s="62" t="s">
        <v>1766</v>
      </c>
      <c r="F201" s="67"/>
      <c r="G201" s="62">
        <v>2.5</v>
      </c>
      <c r="H201" s="63">
        <v>0.0</v>
      </c>
      <c r="I201" s="62">
        <v>3.0</v>
      </c>
      <c r="J201" s="62" t="s">
        <v>1833</v>
      </c>
      <c r="K201" s="63" t="s">
        <v>1833</v>
      </c>
      <c r="L201" s="63" t="s">
        <v>2770</v>
      </c>
      <c r="M201" s="52" t="s">
        <v>2561</v>
      </c>
      <c r="N201" s="63" t="s">
        <v>2670</v>
      </c>
      <c r="O201" s="65"/>
      <c r="P201" s="65"/>
    </row>
    <row r="202">
      <c r="A202" s="68" t="s">
        <v>65</v>
      </c>
      <c r="B202" s="68" t="s">
        <v>67</v>
      </c>
      <c r="C202" s="68" t="s">
        <v>51</v>
      </c>
      <c r="D202" s="68" t="s">
        <v>59</v>
      </c>
      <c r="E202" s="65" t="s">
        <v>1748</v>
      </c>
      <c r="F202" s="67"/>
      <c r="G202" s="65"/>
      <c r="H202" s="67"/>
      <c r="I202" s="65"/>
      <c r="J202" s="62" t="s">
        <v>2156</v>
      </c>
      <c r="K202" s="67"/>
      <c r="L202" s="67"/>
      <c r="M202" s="67"/>
      <c r="N202" s="67"/>
      <c r="O202" s="65"/>
      <c r="P202" s="65"/>
    </row>
    <row r="203">
      <c r="A203" s="68" t="s">
        <v>567</v>
      </c>
      <c r="B203" s="68" t="s">
        <v>563</v>
      </c>
      <c r="C203" s="68" t="s">
        <v>51</v>
      </c>
      <c r="D203" s="68" t="s">
        <v>59</v>
      </c>
      <c r="E203" s="65" t="s">
        <v>1748</v>
      </c>
      <c r="F203" s="67"/>
      <c r="G203" s="65"/>
      <c r="H203" s="67"/>
      <c r="I203" s="65"/>
      <c r="J203" s="62" t="s">
        <v>2156</v>
      </c>
      <c r="K203" s="67"/>
      <c r="L203" s="67"/>
      <c r="M203" s="67"/>
      <c r="N203" s="67"/>
      <c r="O203" s="65"/>
      <c r="P203" s="65"/>
    </row>
    <row r="204">
      <c r="A204" s="68" t="s">
        <v>782</v>
      </c>
      <c r="B204" s="68" t="s">
        <v>783</v>
      </c>
      <c r="C204" s="68" t="s">
        <v>51</v>
      </c>
      <c r="D204" s="68" t="s">
        <v>49</v>
      </c>
      <c r="E204" s="65" t="s">
        <v>1748</v>
      </c>
      <c r="F204" s="67"/>
      <c r="G204" s="65"/>
      <c r="H204" s="67"/>
      <c r="I204" s="65"/>
      <c r="J204" s="62" t="s">
        <v>2156</v>
      </c>
      <c r="K204" s="67"/>
      <c r="L204" s="67"/>
      <c r="M204" s="67"/>
      <c r="N204" s="67"/>
      <c r="O204" s="65"/>
      <c r="P204" s="65"/>
    </row>
    <row r="205">
      <c r="A205" s="68" t="s">
        <v>852</v>
      </c>
      <c r="B205" s="68" t="s">
        <v>853</v>
      </c>
      <c r="C205" s="68" t="s">
        <v>51</v>
      </c>
      <c r="D205" s="68" t="s">
        <v>49</v>
      </c>
      <c r="E205" s="65" t="s">
        <v>1748</v>
      </c>
      <c r="F205" s="67"/>
      <c r="G205" s="65"/>
      <c r="H205" s="67"/>
      <c r="I205" s="65"/>
      <c r="J205" s="62" t="s">
        <v>2156</v>
      </c>
      <c r="K205" s="67"/>
      <c r="L205" s="67"/>
      <c r="M205" s="67"/>
      <c r="N205" s="67"/>
      <c r="O205" s="65"/>
      <c r="P205" s="65"/>
    </row>
    <row r="206">
      <c r="A206" s="68" t="s">
        <v>239</v>
      </c>
      <c r="B206" s="62" t="s">
        <v>238</v>
      </c>
      <c r="C206" s="68" t="s">
        <v>51</v>
      </c>
      <c r="D206" s="68" t="s">
        <v>49</v>
      </c>
      <c r="E206" s="65" t="s">
        <v>1748</v>
      </c>
      <c r="F206" s="63" t="s">
        <v>2687</v>
      </c>
      <c r="G206" s="62" t="s">
        <v>47</v>
      </c>
      <c r="H206" s="102">
        <v>3.5</v>
      </c>
      <c r="I206" s="62">
        <v>5.0</v>
      </c>
      <c r="J206" s="62" t="s">
        <v>1842</v>
      </c>
      <c r="K206" s="63" t="s">
        <v>1842</v>
      </c>
      <c r="L206" s="62" t="s">
        <v>47</v>
      </c>
      <c r="M206" s="62" t="s">
        <v>2376</v>
      </c>
      <c r="N206" s="52" t="s">
        <v>2672</v>
      </c>
      <c r="O206" s="65"/>
      <c r="P206" s="65"/>
    </row>
    <row r="207">
      <c r="A207" s="68" t="s">
        <v>527</v>
      </c>
      <c r="B207" s="68" t="s">
        <v>528</v>
      </c>
      <c r="C207" s="68" t="s">
        <v>51</v>
      </c>
      <c r="D207" s="65" t="s">
        <v>59</v>
      </c>
      <c r="E207" s="65" t="s">
        <v>1748</v>
      </c>
      <c r="F207" s="67"/>
      <c r="G207" s="65"/>
      <c r="H207" s="67"/>
      <c r="I207" s="65"/>
      <c r="J207" s="62" t="s">
        <v>2156</v>
      </c>
      <c r="K207" s="67"/>
      <c r="L207" s="67"/>
      <c r="M207" s="67"/>
      <c r="N207" s="67"/>
      <c r="O207" s="65"/>
      <c r="P207" s="65"/>
    </row>
    <row r="208">
      <c r="A208" s="68" t="s">
        <v>283</v>
      </c>
      <c r="B208" s="68" t="s">
        <v>1663</v>
      </c>
      <c r="C208" s="68" t="s">
        <v>51</v>
      </c>
      <c r="D208" s="68" t="s">
        <v>59</v>
      </c>
      <c r="E208" s="68" t="s">
        <v>1748</v>
      </c>
      <c r="F208" s="144"/>
      <c r="G208" s="68"/>
      <c r="H208" s="144"/>
      <c r="I208" s="68"/>
      <c r="J208" s="62" t="s">
        <v>2156</v>
      </c>
      <c r="K208" s="144"/>
      <c r="L208" s="144"/>
      <c r="M208" s="144"/>
      <c r="N208" s="144"/>
      <c r="O208" s="65"/>
      <c r="P208" s="65"/>
    </row>
    <row r="209">
      <c r="A209" s="68" t="s">
        <v>370</v>
      </c>
      <c r="B209" s="68" t="s">
        <v>367</v>
      </c>
      <c r="C209" s="68" t="s">
        <v>51</v>
      </c>
      <c r="D209" s="68" t="s">
        <v>59</v>
      </c>
      <c r="E209" s="68" t="s">
        <v>1748</v>
      </c>
      <c r="F209" s="144"/>
      <c r="G209" s="68"/>
      <c r="H209" s="144"/>
      <c r="I209" s="68"/>
      <c r="J209" s="62" t="s">
        <v>2156</v>
      </c>
      <c r="K209" s="144"/>
      <c r="L209" s="144"/>
      <c r="M209" s="144"/>
      <c r="N209" s="144"/>
      <c r="O209" s="65"/>
      <c r="P209" s="65"/>
    </row>
    <row r="210">
      <c r="A210" s="68" t="s">
        <v>595</v>
      </c>
      <c r="B210" s="68" t="s">
        <v>2519</v>
      </c>
      <c r="C210" s="68" t="s">
        <v>51</v>
      </c>
      <c r="D210" s="68" t="s">
        <v>59</v>
      </c>
      <c r="E210" s="68" t="s">
        <v>1748</v>
      </c>
      <c r="F210" s="63" t="s">
        <v>2721</v>
      </c>
      <c r="G210" s="62" t="s">
        <v>47</v>
      </c>
      <c r="H210" s="63">
        <v>4.0</v>
      </c>
      <c r="I210" s="62">
        <v>3.5</v>
      </c>
      <c r="J210" s="62" t="s">
        <v>1842</v>
      </c>
      <c r="K210" s="63" t="s">
        <v>1833</v>
      </c>
      <c r="L210" s="63" t="s">
        <v>1831</v>
      </c>
      <c r="M210" s="63" t="s">
        <v>2789</v>
      </c>
      <c r="N210" s="63" t="s">
        <v>2675</v>
      </c>
      <c r="O210" s="65"/>
      <c r="P210" s="65"/>
    </row>
    <row r="211">
      <c r="A211" s="68" t="s">
        <v>284</v>
      </c>
      <c r="B211" s="68" t="s">
        <v>1260</v>
      </c>
      <c r="C211" s="68" t="s">
        <v>51</v>
      </c>
      <c r="D211" s="68" t="s">
        <v>59</v>
      </c>
      <c r="E211" s="68" t="s">
        <v>1748</v>
      </c>
      <c r="F211" s="144"/>
      <c r="G211" s="68"/>
      <c r="H211" s="144"/>
      <c r="I211" s="68"/>
      <c r="J211" s="62" t="s">
        <v>2156</v>
      </c>
      <c r="K211" s="144"/>
      <c r="L211" s="144"/>
      <c r="M211" s="144"/>
      <c r="N211" s="144"/>
      <c r="O211" s="65"/>
      <c r="P211" s="65"/>
    </row>
    <row r="212">
      <c r="A212" s="68" t="s">
        <v>182</v>
      </c>
      <c r="B212" s="68" t="s">
        <v>177</v>
      </c>
      <c r="C212" s="68" t="s">
        <v>51</v>
      </c>
      <c r="D212" s="68" t="s">
        <v>59</v>
      </c>
      <c r="E212" s="68" t="s">
        <v>1748</v>
      </c>
      <c r="F212" s="144"/>
      <c r="G212" s="68"/>
      <c r="H212" s="144"/>
      <c r="I212" s="68"/>
      <c r="J212" s="62" t="s">
        <v>2156</v>
      </c>
      <c r="K212" s="144"/>
      <c r="L212" s="144"/>
      <c r="M212" s="144"/>
      <c r="N212" s="144"/>
      <c r="O212" s="65"/>
      <c r="P212" s="65"/>
    </row>
    <row r="213">
      <c r="A213" s="68" t="s">
        <v>365</v>
      </c>
      <c r="B213" s="68" t="s">
        <v>366</v>
      </c>
      <c r="C213" s="68" t="s">
        <v>51</v>
      </c>
      <c r="D213" s="68" t="s">
        <v>59</v>
      </c>
      <c r="E213" s="68" t="s">
        <v>1748</v>
      </c>
      <c r="F213" s="144"/>
      <c r="G213" s="68"/>
      <c r="H213" s="144"/>
      <c r="I213" s="68"/>
      <c r="J213" s="62" t="s">
        <v>2156</v>
      </c>
      <c r="K213" s="144"/>
      <c r="L213" s="144"/>
      <c r="M213" s="144"/>
      <c r="N213" s="144"/>
      <c r="O213" s="65"/>
      <c r="P213" s="65"/>
    </row>
    <row r="214">
      <c r="A214" s="68" t="s">
        <v>425</v>
      </c>
      <c r="B214" s="68" t="s">
        <v>422</v>
      </c>
      <c r="C214" s="68" t="s">
        <v>51</v>
      </c>
      <c r="D214" s="68" t="s">
        <v>49</v>
      </c>
      <c r="E214" s="68" t="s">
        <v>1748</v>
      </c>
      <c r="F214" s="63" t="s">
        <v>2721</v>
      </c>
      <c r="G214" s="62" t="s">
        <v>47</v>
      </c>
      <c r="H214" s="63">
        <v>4.0</v>
      </c>
      <c r="I214" s="62">
        <v>4.0</v>
      </c>
      <c r="J214" s="62" t="s">
        <v>1842</v>
      </c>
      <c r="K214" s="63" t="s">
        <v>1833</v>
      </c>
      <c r="L214" s="63" t="s">
        <v>1831</v>
      </c>
      <c r="M214" s="63" t="s">
        <v>2789</v>
      </c>
      <c r="N214" s="52" t="s">
        <v>2679</v>
      </c>
      <c r="O214" s="65"/>
      <c r="P214" s="65"/>
    </row>
    <row r="215">
      <c r="A215" s="68" t="s">
        <v>476</v>
      </c>
      <c r="B215" s="68" t="s">
        <v>472</v>
      </c>
      <c r="C215" s="68" t="s">
        <v>51</v>
      </c>
      <c r="D215" s="68" t="s">
        <v>59</v>
      </c>
      <c r="E215" s="68" t="s">
        <v>1748</v>
      </c>
      <c r="F215" s="144"/>
      <c r="G215" s="68"/>
      <c r="H215" s="144"/>
      <c r="I215" s="68"/>
      <c r="J215" s="62" t="s">
        <v>2156</v>
      </c>
      <c r="K215" s="144"/>
      <c r="L215" s="144"/>
      <c r="M215" s="144"/>
      <c r="N215" s="144"/>
      <c r="O215" s="65"/>
      <c r="P215" s="65"/>
    </row>
    <row r="216">
      <c r="A216" s="65" t="s">
        <v>156</v>
      </c>
      <c r="B216" s="65" t="s">
        <v>1554</v>
      </c>
      <c r="C216" s="65" t="s">
        <v>51</v>
      </c>
      <c r="D216" s="65" t="s">
        <v>59</v>
      </c>
      <c r="E216" s="65" t="s">
        <v>1748</v>
      </c>
      <c r="F216" s="67"/>
      <c r="G216" s="65"/>
      <c r="H216" s="67"/>
      <c r="I216" s="65"/>
      <c r="J216" s="62" t="s">
        <v>2156</v>
      </c>
      <c r="K216" s="67"/>
      <c r="L216" s="67"/>
      <c r="M216" s="67"/>
      <c r="N216" s="67"/>
      <c r="O216" s="65"/>
      <c r="P216" s="65"/>
    </row>
    <row r="217">
      <c r="A217" s="65" t="s">
        <v>68</v>
      </c>
      <c r="B217" s="65" t="s">
        <v>62</v>
      </c>
      <c r="C217" s="65" t="s">
        <v>51</v>
      </c>
      <c r="D217" s="65" t="s">
        <v>59</v>
      </c>
      <c r="E217" s="65" t="s">
        <v>1748</v>
      </c>
      <c r="F217" s="63" t="s">
        <v>2721</v>
      </c>
      <c r="G217" s="62" t="s">
        <v>47</v>
      </c>
      <c r="H217" s="63">
        <v>2.0</v>
      </c>
      <c r="I217" s="62">
        <v>3.5</v>
      </c>
      <c r="J217" s="62" t="s">
        <v>1833</v>
      </c>
      <c r="K217" s="63" t="s">
        <v>1833</v>
      </c>
      <c r="L217" s="63" t="s">
        <v>1831</v>
      </c>
      <c r="M217" s="63" t="s">
        <v>2789</v>
      </c>
      <c r="N217" s="52" t="s">
        <v>2681</v>
      </c>
      <c r="O217" s="65"/>
      <c r="P217" s="65"/>
    </row>
    <row r="218">
      <c r="A218" s="65" t="s">
        <v>1266</v>
      </c>
      <c r="B218" s="65" t="s">
        <v>1391</v>
      </c>
      <c r="C218" s="65" t="s">
        <v>51</v>
      </c>
      <c r="D218" s="65" t="s">
        <v>49</v>
      </c>
      <c r="E218" s="65" t="s">
        <v>1748</v>
      </c>
      <c r="F218" s="67"/>
      <c r="G218" s="65"/>
      <c r="H218" s="67"/>
      <c r="I218" s="65"/>
      <c r="J218" s="62" t="s">
        <v>2156</v>
      </c>
      <c r="K218" s="67"/>
      <c r="L218" s="67"/>
      <c r="M218" s="67"/>
      <c r="N218" s="67"/>
      <c r="O218" s="65"/>
      <c r="P218" s="65"/>
    </row>
    <row r="219">
      <c r="A219" s="65" t="s">
        <v>18</v>
      </c>
      <c r="B219" s="65" t="s">
        <v>19</v>
      </c>
      <c r="C219" s="65" t="s">
        <v>51</v>
      </c>
      <c r="D219" s="65" t="s">
        <v>59</v>
      </c>
      <c r="E219" s="65" t="s">
        <v>1748</v>
      </c>
      <c r="F219" s="67"/>
      <c r="G219" s="65"/>
      <c r="H219" s="67"/>
      <c r="I219" s="65"/>
      <c r="J219" s="62" t="s">
        <v>2156</v>
      </c>
      <c r="K219" s="67"/>
      <c r="L219" s="67"/>
      <c r="M219" s="67"/>
      <c r="N219" s="67"/>
      <c r="O219" s="65"/>
      <c r="P219" s="65"/>
    </row>
    <row r="220">
      <c r="A220" s="65" t="s">
        <v>142</v>
      </c>
      <c r="B220" s="65" t="s">
        <v>1282</v>
      </c>
      <c r="C220" s="65" t="s">
        <v>51</v>
      </c>
      <c r="D220" s="65" t="s">
        <v>59</v>
      </c>
      <c r="E220" s="65" t="s">
        <v>1748</v>
      </c>
      <c r="F220" s="67"/>
      <c r="G220" s="65"/>
      <c r="H220" s="67"/>
      <c r="I220" s="65"/>
      <c r="J220" s="62" t="s">
        <v>2156</v>
      </c>
      <c r="K220" s="67"/>
      <c r="L220" s="67"/>
      <c r="M220" s="67"/>
      <c r="N220" s="67"/>
      <c r="O220" s="65"/>
      <c r="P220" s="65"/>
    </row>
    <row r="221">
      <c r="A221" s="65" t="s">
        <v>212</v>
      </c>
      <c r="B221" s="65" t="s">
        <v>210</v>
      </c>
      <c r="C221" s="65" t="s">
        <v>51</v>
      </c>
      <c r="D221" s="65" t="s">
        <v>59</v>
      </c>
      <c r="E221" s="65" t="s">
        <v>1748</v>
      </c>
      <c r="F221" s="63" t="s">
        <v>2721</v>
      </c>
      <c r="G221" s="62" t="s">
        <v>47</v>
      </c>
      <c r="H221" s="63">
        <v>4.0</v>
      </c>
      <c r="I221" s="62">
        <v>4.0</v>
      </c>
      <c r="J221" s="62" t="s">
        <v>1842</v>
      </c>
      <c r="K221" s="63" t="s">
        <v>1833</v>
      </c>
      <c r="L221" s="63" t="s">
        <v>1831</v>
      </c>
      <c r="M221" s="63" t="s">
        <v>2789</v>
      </c>
      <c r="N221" s="52" t="s">
        <v>2683</v>
      </c>
      <c r="O221" s="65"/>
      <c r="P221" s="65"/>
    </row>
    <row r="222">
      <c r="A222" s="62" t="s">
        <v>322</v>
      </c>
      <c r="B222" s="62" t="s">
        <v>2790</v>
      </c>
      <c r="C222" s="65" t="s">
        <v>51</v>
      </c>
      <c r="D222" s="65" t="s">
        <v>59</v>
      </c>
      <c r="E222" s="65" t="s">
        <v>1748</v>
      </c>
      <c r="F222" s="67"/>
      <c r="G222" s="65"/>
      <c r="H222" s="67"/>
      <c r="I222" s="65"/>
      <c r="J222" s="62" t="s">
        <v>2156</v>
      </c>
      <c r="K222" s="67"/>
      <c r="L222" s="67"/>
      <c r="M222" s="67"/>
      <c r="N222" s="67"/>
      <c r="O222" s="65"/>
      <c r="P222" s="65"/>
    </row>
    <row r="223">
      <c r="A223" s="62" t="s">
        <v>65</v>
      </c>
      <c r="B223" s="62" t="s">
        <v>67</v>
      </c>
      <c r="C223" s="62" t="s">
        <v>51</v>
      </c>
      <c r="D223" s="62" t="s">
        <v>59</v>
      </c>
      <c r="E223" s="62" t="s">
        <v>1772</v>
      </c>
      <c r="F223" s="63" t="s">
        <v>2721</v>
      </c>
      <c r="G223" s="65"/>
      <c r="H223" s="63">
        <v>3.0</v>
      </c>
      <c r="I223" s="62">
        <v>4.0</v>
      </c>
      <c r="J223" s="62" t="s">
        <v>1842</v>
      </c>
      <c r="K223" s="67"/>
      <c r="L223" s="67"/>
      <c r="M223" s="67"/>
      <c r="N223" s="63" t="s">
        <v>2684</v>
      </c>
      <c r="O223" s="65"/>
      <c r="P223" s="65"/>
    </row>
    <row r="224">
      <c r="A224" s="62" t="s">
        <v>425</v>
      </c>
      <c r="B224" s="62" t="s">
        <v>422</v>
      </c>
      <c r="C224" s="62" t="s">
        <v>51</v>
      </c>
      <c r="D224" s="62" t="s">
        <v>49</v>
      </c>
      <c r="E224" s="62" t="s">
        <v>1748</v>
      </c>
      <c r="F224" s="67"/>
      <c r="G224" s="65"/>
      <c r="H224" s="67"/>
      <c r="I224" s="65"/>
      <c r="J224" s="62" t="s">
        <v>2156</v>
      </c>
      <c r="K224" s="67"/>
      <c r="L224" s="67"/>
      <c r="M224" s="67"/>
      <c r="N224" s="67"/>
      <c r="O224" s="65"/>
      <c r="P224" s="65"/>
    </row>
    <row r="225">
      <c r="A225" s="62" t="s">
        <v>68</v>
      </c>
      <c r="B225" s="62" t="s">
        <v>62</v>
      </c>
      <c r="C225" s="62" t="s">
        <v>51</v>
      </c>
      <c r="D225" s="62" t="s">
        <v>59</v>
      </c>
      <c r="E225" s="62" t="s">
        <v>1748</v>
      </c>
      <c r="F225" s="67"/>
      <c r="G225" s="65"/>
      <c r="H225" s="67"/>
      <c r="I225" s="65"/>
      <c r="J225" s="62" t="s">
        <v>2156</v>
      </c>
      <c r="K225" s="67"/>
      <c r="L225" s="67"/>
      <c r="M225" s="67"/>
      <c r="N225" s="67"/>
      <c r="O225" s="65"/>
      <c r="P225" s="65"/>
    </row>
    <row r="226">
      <c r="A226" s="62" t="s">
        <v>468</v>
      </c>
      <c r="B226" s="62" t="s">
        <v>465</v>
      </c>
      <c r="C226" s="62" t="s">
        <v>51</v>
      </c>
      <c r="D226" s="62" t="s">
        <v>59</v>
      </c>
      <c r="E226" s="62" t="s">
        <v>1770</v>
      </c>
      <c r="F226" s="67"/>
      <c r="G226" s="65"/>
      <c r="H226" s="67"/>
      <c r="I226" s="65"/>
      <c r="J226" s="62" t="s">
        <v>2156</v>
      </c>
      <c r="K226" s="67"/>
      <c r="L226" s="67"/>
      <c r="M226" s="67"/>
      <c r="N226" s="67"/>
      <c r="O226" s="65"/>
      <c r="P226" s="65"/>
    </row>
    <row r="227">
      <c r="A227" s="62" t="s">
        <v>497</v>
      </c>
      <c r="B227" s="62" t="s">
        <v>495</v>
      </c>
      <c r="C227" s="62" t="s">
        <v>51</v>
      </c>
      <c r="D227" s="62" t="s">
        <v>49</v>
      </c>
      <c r="E227" s="62" t="s">
        <v>1775</v>
      </c>
      <c r="F227" s="63" t="s">
        <v>2791</v>
      </c>
      <c r="G227" s="62" t="s">
        <v>47</v>
      </c>
      <c r="H227" s="63">
        <v>4.0</v>
      </c>
      <c r="I227" s="62">
        <v>4.0</v>
      </c>
      <c r="J227" s="62" t="s">
        <v>1842</v>
      </c>
      <c r="K227" s="63" t="s">
        <v>1833</v>
      </c>
      <c r="L227" s="63" t="s">
        <v>47</v>
      </c>
      <c r="M227" s="63" t="s">
        <v>2792</v>
      </c>
      <c r="N227" s="63" t="s">
        <v>2686</v>
      </c>
      <c r="O227" s="65"/>
      <c r="P227" s="65"/>
    </row>
    <row r="228">
      <c r="A228" s="62" t="s">
        <v>532</v>
      </c>
      <c r="B228" s="62" t="s">
        <v>529</v>
      </c>
      <c r="C228" s="62" t="s">
        <v>51</v>
      </c>
      <c r="D228" s="62" t="s">
        <v>59</v>
      </c>
      <c r="E228" s="62" t="s">
        <v>1748</v>
      </c>
      <c r="F228" s="63" t="s">
        <v>2721</v>
      </c>
      <c r="G228" s="62" t="s">
        <v>47</v>
      </c>
      <c r="H228" s="63">
        <v>3.5</v>
      </c>
      <c r="I228" s="62">
        <v>4.0</v>
      </c>
      <c r="J228" s="62" t="s">
        <v>1842</v>
      </c>
      <c r="K228" s="63" t="s">
        <v>1833</v>
      </c>
      <c r="L228" s="63" t="s">
        <v>1831</v>
      </c>
      <c r="M228" s="63" t="s">
        <v>2789</v>
      </c>
      <c r="N228" s="63" t="s">
        <v>2688</v>
      </c>
      <c r="O228" s="65"/>
      <c r="P228" s="65"/>
    </row>
    <row r="229">
      <c r="A229" s="62" t="s">
        <v>18</v>
      </c>
      <c r="B229" s="62" t="s">
        <v>19</v>
      </c>
      <c r="C229" s="62" t="s">
        <v>51</v>
      </c>
      <c r="D229" s="62" t="s">
        <v>59</v>
      </c>
      <c r="E229" s="62" t="s">
        <v>1748</v>
      </c>
      <c r="F229" s="63" t="s">
        <v>2721</v>
      </c>
      <c r="G229" s="62" t="s">
        <v>47</v>
      </c>
      <c r="H229" s="63">
        <v>2.0</v>
      </c>
      <c r="I229" s="62">
        <v>2.0</v>
      </c>
      <c r="J229" s="62" t="s">
        <v>1833</v>
      </c>
      <c r="K229" s="67"/>
      <c r="L229" s="67"/>
      <c r="M229" s="67"/>
      <c r="N229" s="63" t="s">
        <v>2689</v>
      </c>
      <c r="O229" s="65"/>
      <c r="P229" s="65"/>
    </row>
    <row r="230">
      <c r="A230" s="62" t="s">
        <v>370</v>
      </c>
      <c r="B230" s="62" t="s">
        <v>367</v>
      </c>
      <c r="C230" s="62" t="s">
        <v>51</v>
      </c>
      <c r="D230" s="62" t="s">
        <v>59</v>
      </c>
      <c r="E230" s="62" t="s">
        <v>1770</v>
      </c>
      <c r="F230" s="67"/>
      <c r="G230" s="65"/>
      <c r="H230" s="67"/>
      <c r="I230" s="65"/>
      <c r="J230" s="62" t="s">
        <v>2156</v>
      </c>
      <c r="K230" s="67"/>
      <c r="L230" s="67"/>
      <c r="M230" s="67"/>
      <c r="N230" s="67"/>
      <c r="O230" s="65"/>
      <c r="P230" s="65"/>
    </row>
    <row r="231">
      <c r="A231" s="62" t="s">
        <v>156</v>
      </c>
      <c r="B231" s="62" t="s">
        <v>447</v>
      </c>
      <c r="C231" s="62" t="s">
        <v>51</v>
      </c>
      <c r="D231" s="62" t="s">
        <v>59</v>
      </c>
      <c r="E231" s="62" t="s">
        <v>1775</v>
      </c>
      <c r="F231" s="63" t="s">
        <v>2793</v>
      </c>
      <c r="G231" s="62" t="s">
        <v>47</v>
      </c>
      <c r="H231" s="63">
        <v>4.0</v>
      </c>
      <c r="I231" s="62">
        <v>4.0</v>
      </c>
      <c r="J231" s="62" t="s">
        <v>1842</v>
      </c>
      <c r="K231" s="63" t="s">
        <v>1833</v>
      </c>
      <c r="L231" s="63" t="s">
        <v>47</v>
      </c>
      <c r="M231" s="63" t="s">
        <v>2794</v>
      </c>
      <c r="N231" s="63" t="s">
        <v>2692</v>
      </c>
      <c r="O231" s="65"/>
      <c r="P231" s="65"/>
    </row>
    <row r="232">
      <c r="A232" s="62" t="s">
        <v>560</v>
      </c>
      <c r="B232" s="62" t="s">
        <v>557</v>
      </c>
      <c r="C232" s="51" t="s">
        <v>51</v>
      </c>
      <c r="D232" s="62" t="s">
        <v>59</v>
      </c>
      <c r="E232" s="62" t="s">
        <v>1748</v>
      </c>
      <c r="F232" s="63" t="s">
        <v>2173</v>
      </c>
      <c r="G232" s="62" t="s">
        <v>47</v>
      </c>
      <c r="H232" s="63">
        <v>1.0</v>
      </c>
      <c r="I232" s="62">
        <v>4.0</v>
      </c>
      <c r="J232" s="62" t="s">
        <v>1833</v>
      </c>
      <c r="K232" s="67"/>
      <c r="L232" s="67"/>
      <c r="M232" s="63" t="s">
        <v>2712</v>
      </c>
      <c r="N232" s="63" t="s">
        <v>2693</v>
      </c>
      <c r="O232" s="65"/>
      <c r="P232" s="65"/>
    </row>
    <row r="233">
      <c r="A233" s="62" t="s">
        <v>76</v>
      </c>
      <c r="B233" s="62" t="s">
        <v>74</v>
      </c>
      <c r="C233" s="62" t="s">
        <v>51</v>
      </c>
      <c r="D233" s="62" t="s">
        <v>59</v>
      </c>
      <c r="E233" s="62" t="s">
        <v>2208</v>
      </c>
      <c r="F233" s="67"/>
      <c r="G233" s="65"/>
      <c r="H233" s="63">
        <v>2.0</v>
      </c>
      <c r="I233" s="62">
        <v>4.0</v>
      </c>
      <c r="J233" s="62" t="s">
        <v>1833</v>
      </c>
      <c r="K233" s="67"/>
      <c r="L233" s="67"/>
      <c r="M233" s="67"/>
      <c r="N233" s="67"/>
      <c r="O233" s="65"/>
      <c r="P233" s="65"/>
    </row>
    <row r="234">
      <c r="A234" s="62" t="s">
        <v>239</v>
      </c>
      <c r="B234" s="62" t="s">
        <v>238</v>
      </c>
      <c r="C234" s="62" t="s">
        <v>51</v>
      </c>
      <c r="D234" s="62" t="s">
        <v>49</v>
      </c>
      <c r="E234" s="62" t="s">
        <v>1748</v>
      </c>
      <c r="F234" s="67"/>
      <c r="G234" s="65"/>
      <c r="H234" s="67"/>
      <c r="I234" s="65"/>
      <c r="J234" s="62" t="s">
        <v>2156</v>
      </c>
      <c r="K234" s="67"/>
      <c r="L234" s="67"/>
      <c r="M234" s="67"/>
      <c r="N234" s="67"/>
      <c r="O234" s="65"/>
      <c r="P234" s="65"/>
    </row>
    <row r="235">
      <c r="A235" s="62" t="s">
        <v>212</v>
      </c>
      <c r="B235" s="62" t="s">
        <v>210</v>
      </c>
      <c r="C235" s="62" t="s">
        <v>51</v>
      </c>
      <c r="D235" s="62" t="s">
        <v>59</v>
      </c>
      <c r="E235" s="62" t="s">
        <v>1748</v>
      </c>
      <c r="F235" s="67"/>
      <c r="G235" s="65"/>
      <c r="H235" s="67"/>
      <c r="I235" s="65"/>
      <c r="J235" s="62" t="s">
        <v>2156</v>
      </c>
      <c r="K235" s="67"/>
      <c r="L235" s="67"/>
      <c r="M235" s="67"/>
      <c r="N235" s="67"/>
      <c r="O235" s="65"/>
      <c r="P235" s="65"/>
    </row>
    <row r="236">
      <c r="A236" s="62" t="s">
        <v>338</v>
      </c>
      <c r="B236" s="62" t="s">
        <v>335</v>
      </c>
      <c r="C236" s="62" t="s">
        <v>51</v>
      </c>
      <c r="D236" s="62" t="s">
        <v>49</v>
      </c>
      <c r="E236" s="62" t="s">
        <v>1775</v>
      </c>
      <c r="F236" s="63" t="s">
        <v>2843</v>
      </c>
      <c r="G236" s="62" t="s">
        <v>47</v>
      </c>
      <c r="H236" s="63">
        <v>4.0</v>
      </c>
      <c r="I236" s="62">
        <v>3.0</v>
      </c>
      <c r="J236" s="62" t="s">
        <v>1842</v>
      </c>
      <c r="K236" s="63" t="s">
        <v>1833</v>
      </c>
      <c r="L236" s="63" t="s">
        <v>47</v>
      </c>
      <c r="M236" s="63" t="s">
        <v>2857</v>
      </c>
      <c r="N236" s="63" t="s">
        <v>2695</v>
      </c>
      <c r="O236" s="65"/>
      <c r="P236" s="65"/>
    </row>
    <row r="237">
      <c r="A237" s="62" t="s">
        <v>182</v>
      </c>
      <c r="B237" s="62" t="s">
        <v>177</v>
      </c>
      <c r="C237" s="62" t="s">
        <v>51</v>
      </c>
      <c r="D237" s="62" t="s">
        <v>59</v>
      </c>
      <c r="E237" s="62" t="s">
        <v>1775</v>
      </c>
      <c r="F237" s="63" t="s">
        <v>2872</v>
      </c>
      <c r="G237" s="62" t="s">
        <v>47</v>
      </c>
      <c r="H237" s="63">
        <v>3.0</v>
      </c>
      <c r="I237" s="62">
        <v>3.0</v>
      </c>
      <c r="J237" s="62" t="s">
        <v>1842</v>
      </c>
      <c r="K237" s="63" t="s">
        <v>1833</v>
      </c>
      <c r="L237" s="63" t="s">
        <v>47</v>
      </c>
      <c r="M237" s="63" t="s">
        <v>2857</v>
      </c>
      <c r="N237" s="63" t="s">
        <v>2696</v>
      </c>
      <c r="O237" s="65"/>
      <c r="P237" s="65"/>
    </row>
    <row r="238">
      <c r="A238" s="62" t="s">
        <v>149</v>
      </c>
      <c r="B238" s="62" t="s">
        <v>146</v>
      </c>
      <c r="C238" s="62" t="s">
        <v>51</v>
      </c>
      <c r="D238" s="62" t="s">
        <v>59</v>
      </c>
      <c r="E238" s="62" t="s">
        <v>2208</v>
      </c>
      <c r="F238" s="63" t="s">
        <v>2897</v>
      </c>
      <c r="G238" s="62" t="s">
        <v>47</v>
      </c>
      <c r="H238" s="63">
        <v>3.0</v>
      </c>
      <c r="I238" s="62">
        <v>3.0</v>
      </c>
      <c r="J238" s="62" t="s">
        <v>1842</v>
      </c>
      <c r="K238" s="63" t="s">
        <v>1833</v>
      </c>
      <c r="L238" s="63" t="s">
        <v>47</v>
      </c>
      <c r="M238" s="63" t="s">
        <v>2905</v>
      </c>
      <c r="N238" s="67"/>
      <c r="O238" s="65"/>
      <c r="P238" s="65"/>
    </row>
    <row r="239">
      <c r="A239" s="62" t="s">
        <v>267</v>
      </c>
      <c r="B239" s="62" t="s">
        <v>265</v>
      </c>
      <c r="C239" s="62" t="s">
        <v>51</v>
      </c>
      <c r="D239" s="62" t="s">
        <v>59</v>
      </c>
      <c r="E239" s="62" t="s">
        <v>2208</v>
      </c>
      <c r="F239" s="67"/>
      <c r="G239" s="62" t="s">
        <v>47</v>
      </c>
      <c r="H239" s="63">
        <v>2.0</v>
      </c>
      <c r="I239" s="62">
        <v>2.0</v>
      </c>
      <c r="J239" s="62" t="s">
        <v>1833</v>
      </c>
      <c r="K239" s="67"/>
      <c r="L239" s="63" t="s">
        <v>2921</v>
      </c>
      <c r="M239" s="67"/>
      <c r="N239" s="67"/>
      <c r="O239" s="65"/>
      <c r="P239" s="65"/>
    </row>
    <row r="240">
      <c r="A240" s="62" t="s">
        <v>284</v>
      </c>
      <c r="B240" s="62" t="s">
        <v>282</v>
      </c>
      <c r="C240" s="62" t="s">
        <v>51</v>
      </c>
      <c r="D240" s="62" t="s">
        <v>59</v>
      </c>
      <c r="E240" s="62" t="s">
        <v>1775</v>
      </c>
      <c r="F240" s="63" t="s">
        <v>2929</v>
      </c>
      <c r="G240" s="62" t="s">
        <v>47</v>
      </c>
      <c r="H240" s="63">
        <v>2.0</v>
      </c>
      <c r="I240" s="62">
        <v>3.0</v>
      </c>
      <c r="J240" s="62" t="s">
        <v>1833</v>
      </c>
      <c r="K240" s="63" t="s">
        <v>1833</v>
      </c>
      <c r="L240" s="63" t="s">
        <v>2936</v>
      </c>
      <c r="M240" s="63" t="s">
        <v>2938</v>
      </c>
      <c r="N240" s="63" t="s">
        <v>2698</v>
      </c>
      <c r="O240" s="65"/>
      <c r="P240" s="65"/>
    </row>
    <row r="241">
      <c r="A241" s="62" t="s">
        <v>66</v>
      </c>
      <c r="B241" s="62" t="s">
        <v>63</v>
      </c>
      <c r="C241" s="62" t="s">
        <v>51</v>
      </c>
      <c r="D241" s="62" t="s">
        <v>59</v>
      </c>
      <c r="E241" s="62" t="s">
        <v>1775</v>
      </c>
      <c r="F241" s="63" t="s">
        <v>2952</v>
      </c>
      <c r="G241" s="62" t="s">
        <v>47</v>
      </c>
      <c r="H241" s="63">
        <v>3.0</v>
      </c>
      <c r="I241" s="62">
        <v>3.0</v>
      </c>
      <c r="J241" s="62" t="s">
        <v>1842</v>
      </c>
      <c r="K241" s="63" t="s">
        <v>1833</v>
      </c>
      <c r="L241" s="67"/>
      <c r="M241" s="63" t="s">
        <v>2938</v>
      </c>
      <c r="N241" s="63" t="s">
        <v>2699</v>
      </c>
      <c r="O241" s="65"/>
      <c r="P241" s="65"/>
    </row>
    <row r="242">
      <c r="A242" s="62" t="s">
        <v>584</v>
      </c>
      <c r="B242" s="62" t="s">
        <v>586</v>
      </c>
      <c r="C242" s="62" t="s">
        <v>603</v>
      </c>
      <c r="D242" s="62" t="s">
        <v>59</v>
      </c>
      <c r="E242" s="62" t="s">
        <v>1754</v>
      </c>
      <c r="F242" s="164" t="s">
        <v>2969</v>
      </c>
      <c r="G242" s="62">
        <v>3.0</v>
      </c>
      <c r="H242" s="67"/>
      <c r="I242" s="62">
        <v>1.5</v>
      </c>
      <c r="J242" s="62" t="s">
        <v>1833</v>
      </c>
      <c r="K242" s="67"/>
      <c r="L242" s="63" t="s">
        <v>2977</v>
      </c>
      <c r="M242" s="67"/>
      <c r="N242" s="63" t="s">
        <v>2701</v>
      </c>
      <c r="O242" s="65"/>
      <c r="P242" s="65"/>
    </row>
    <row r="243">
      <c r="A243" s="62" t="s">
        <v>622</v>
      </c>
      <c r="B243" s="62" t="s">
        <v>621</v>
      </c>
      <c r="C243" s="62" t="s">
        <v>603</v>
      </c>
      <c r="D243" s="62" t="s">
        <v>59</v>
      </c>
      <c r="E243" s="62" t="s">
        <v>1754</v>
      </c>
      <c r="F243" s="63" t="s">
        <v>2988</v>
      </c>
      <c r="G243" s="63">
        <v>3.0</v>
      </c>
      <c r="I243" s="62">
        <v>4.0</v>
      </c>
      <c r="J243" s="62" t="s">
        <v>1833</v>
      </c>
      <c r="K243" s="67"/>
      <c r="L243" s="63" t="s">
        <v>2994</v>
      </c>
      <c r="M243" s="63" t="s">
        <v>2995</v>
      </c>
      <c r="N243" s="62" t="s">
        <v>2702</v>
      </c>
      <c r="O243" s="65"/>
      <c r="P243" s="65"/>
    </row>
    <row r="244">
      <c r="A244" s="62" t="s">
        <v>399</v>
      </c>
      <c r="B244" s="62" t="s">
        <v>397</v>
      </c>
      <c r="C244" s="62" t="s">
        <v>51</v>
      </c>
      <c r="D244" s="62" t="s">
        <v>59</v>
      </c>
      <c r="E244" s="62" t="s">
        <v>1772</v>
      </c>
      <c r="F244" s="63" t="s">
        <v>2952</v>
      </c>
      <c r="G244" s="65"/>
      <c r="H244" s="63">
        <v>3.0</v>
      </c>
      <c r="I244" s="62">
        <v>4.0</v>
      </c>
      <c r="J244" s="62" t="s">
        <v>1842</v>
      </c>
      <c r="K244" s="67"/>
      <c r="L244" s="67"/>
      <c r="M244" s="63" t="s">
        <v>2938</v>
      </c>
      <c r="N244" s="63" t="s">
        <v>2703</v>
      </c>
      <c r="O244" s="65"/>
      <c r="P244" s="65"/>
    </row>
    <row r="245">
      <c r="A245" s="62" t="s">
        <v>1266</v>
      </c>
      <c r="B245" s="165" t="s">
        <v>3017</v>
      </c>
      <c r="C245" s="62" t="s">
        <v>51</v>
      </c>
      <c r="D245" s="62" t="s">
        <v>49</v>
      </c>
      <c r="E245" s="62" t="s">
        <v>1772</v>
      </c>
      <c r="F245" s="63" t="s">
        <v>2952</v>
      </c>
      <c r="G245" s="65"/>
      <c r="H245" s="63">
        <v>4.0</v>
      </c>
      <c r="I245" s="62">
        <v>4.0</v>
      </c>
      <c r="J245" s="62" t="s">
        <v>1842</v>
      </c>
      <c r="K245" s="67"/>
      <c r="L245" s="67"/>
      <c r="M245" s="63" t="s">
        <v>2857</v>
      </c>
      <c r="N245" s="63" t="s">
        <v>2704</v>
      </c>
      <c r="O245" s="65"/>
      <c r="P245" s="65"/>
    </row>
    <row r="246">
      <c r="A246" s="37" t="s">
        <v>322</v>
      </c>
      <c r="B246" s="37" t="s">
        <v>318</v>
      </c>
      <c r="C246" s="37" t="s">
        <v>51</v>
      </c>
      <c r="D246" s="37" t="s">
        <v>59</v>
      </c>
      <c r="E246" s="37" t="s">
        <v>2208</v>
      </c>
      <c r="F246" s="63" t="s">
        <v>2897</v>
      </c>
      <c r="H246" s="167">
        <v>3.0</v>
      </c>
      <c r="I246" s="37">
        <v>3.0</v>
      </c>
      <c r="J246" s="37" t="s">
        <v>1842</v>
      </c>
      <c r="K246" s="167" t="s">
        <v>1833</v>
      </c>
      <c r="L246" s="168"/>
      <c r="M246" s="167" t="s">
        <v>2905</v>
      </c>
      <c r="N246" s="168"/>
    </row>
    <row r="247">
      <c r="A247" s="37" t="s">
        <v>838</v>
      </c>
      <c r="B247" s="37" t="s">
        <v>837</v>
      </c>
      <c r="C247" s="37" t="s">
        <v>51</v>
      </c>
      <c r="D247" s="37" t="s">
        <v>59</v>
      </c>
      <c r="E247" s="37" t="s">
        <v>1748</v>
      </c>
      <c r="F247" s="63" t="s">
        <v>2897</v>
      </c>
      <c r="G247" s="37" t="s">
        <v>1831</v>
      </c>
      <c r="H247" s="167">
        <v>3.5</v>
      </c>
      <c r="I247" s="37">
        <v>3.0</v>
      </c>
      <c r="J247" s="37" t="s">
        <v>1842</v>
      </c>
      <c r="K247" s="167" t="s">
        <v>1833</v>
      </c>
      <c r="L247" s="63" t="s">
        <v>1831</v>
      </c>
      <c r="M247" s="63" t="s">
        <v>2789</v>
      </c>
      <c r="N247" s="63" t="s">
        <v>2705</v>
      </c>
    </row>
    <row r="248">
      <c r="A248" s="37" t="s">
        <v>142</v>
      </c>
      <c r="B248" s="37" t="s">
        <v>819</v>
      </c>
      <c r="C248" s="37" t="s">
        <v>51</v>
      </c>
      <c r="D248" s="37" t="s">
        <v>59</v>
      </c>
      <c r="E248" s="37" t="s">
        <v>1748</v>
      </c>
      <c r="F248" s="63" t="s">
        <v>2897</v>
      </c>
      <c r="G248" s="37" t="s">
        <v>1831</v>
      </c>
      <c r="H248" s="167">
        <v>2.0</v>
      </c>
      <c r="I248" s="37">
        <v>3.5</v>
      </c>
      <c r="J248" s="37" t="s">
        <v>1833</v>
      </c>
      <c r="K248" s="167" t="s">
        <v>1833</v>
      </c>
      <c r="L248" s="167" t="s">
        <v>3120</v>
      </c>
      <c r="M248" s="167" t="s">
        <v>1831</v>
      </c>
      <c r="N248" s="167" t="s">
        <v>2706</v>
      </c>
    </row>
    <row r="249">
      <c r="A249" s="37" t="s">
        <v>793</v>
      </c>
      <c r="B249" s="37" t="s">
        <v>791</v>
      </c>
      <c r="C249" s="37" t="s">
        <v>51</v>
      </c>
      <c r="D249" s="37" t="s">
        <v>59</v>
      </c>
      <c r="E249" s="37" t="s">
        <v>1748</v>
      </c>
      <c r="F249" s="63" t="s">
        <v>2897</v>
      </c>
      <c r="G249" s="37" t="s">
        <v>1831</v>
      </c>
      <c r="H249" s="167">
        <v>3.0</v>
      </c>
      <c r="I249" s="37">
        <v>3.0</v>
      </c>
      <c r="J249" s="37" t="s">
        <v>1842</v>
      </c>
      <c r="K249" s="167" t="s">
        <v>1833</v>
      </c>
      <c r="L249" s="63" t="s">
        <v>1831</v>
      </c>
      <c r="M249" s="63" t="s">
        <v>2789</v>
      </c>
      <c r="N249" s="63" t="s">
        <v>2707</v>
      </c>
    </row>
    <row r="250">
      <c r="A250" s="37" t="s">
        <v>246</v>
      </c>
      <c r="B250" s="37" t="s">
        <v>381</v>
      </c>
      <c r="C250" s="37" t="s">
        <v>51</v>
      </c>
      <c r="D250" s="37" t="s">
        <v>59</v>
      </c>
      <c r="E250" s="37" t="s">
        <v>1748</v>
      </c>
      <c r="F250" s="63" t="s">
        <v>2897</v>
      </c>
      <c r="G250" s="37" t="s">
        <v>1831</v>
      </c>
      <c r="H250" s="167">
        <v>2.0</v>
      </c>
      <c r="I250" s="37">
        <v>4.0</v>
      </c>
      <c r="J250" s="37" t="s">
        <v>1833</v>
      </c>
      <c r="K250" s="167" t="s">
        <v>1833</v>
      </c>
      <c r="L250" s="167" t="s">
        <v>3120</v>
      </c>
      <c r="M250" s="167" t="s">
        <v>1831</v>
      </c>
      <c r="N250" s="167" t="s">
        <v>2709</v>
      </c>
    </row>
    <row r="251">
      <c r="A251" s="37" t="s">
        <v>283</v>
      </c>
      <c r="B251" s="37" t="s">
        <v>743</v>
      </c>
      <c r="C251" s="37" t="s">
        <v>51</v>
      </c>
      <c r="D251" s="37" t="s">
        <v>59</v>
      </c>
      <c r="E251" s="37" t="s">
        <v>1748</v>
      </c>
      <c r="F251" s="63" t="s">
        <v>2897</v>
      </c>
      <c r="G251" s="37" t="s">
        <v>1831</v>
      </c>
      <c r="H251" s="167">
        <v>3.0</v>
      </c>
      <c r="I251" s="37">
        <v>4.0</v>
      </c>
      <c r="J251" s="37" t="s">
        <v>1842</v>
      </c>
      <c r="K251" s="167" t="s">
        <v>1833</v>
      </c>
      <c r="L251" s="63" t="s">
        <v>1831</v>
      </c>
      <c r="M251" s="63" t="s">
        <v>2789</v>
      </c>
      <c r="N251" s="63" t="s">
        <v>2710</v>
      </c>
    </row>
    <row r="252">
      <c r="A252" s="37" t="s">
        <v>365</v>
      </c>
      <c r="B252" s="37" t="s">
        <v>715</v>
      </c>
      <c r="C252" s="37" t="s">
        <v>51</v>
      </c>
      <c r="D252" s="37" t="s">
        <v>59</v>
      </c>
      <c r="E252" s="37" t="s">
        <v>1748</v>
      </c>
      <c r="F252" s="63" t="s">
        <v>2897</v>
      </c>
      <c r="G252" s="37" t="s">
        <v>1831</v>
      </c>
      <c r="H252" s="167">
        <v>3.0</v>
      </c>
      <c r="I252" s="37">
        <v>3.0</v>
      </c>
      <c r="J252" s="37" t="s">
        <v>1842</v>
      </c>
      <c r="K252" s="167" t="s">
        <v>1833</v>
      </c>
      <c r="L252" s="63" t="s">
        <v>1831</v>
      </c>
      <c r="M252" s="63" t="s">
        <v>2789</v>
      </c>
      <c r="N252" s="63" t="s">
        <v>2711</v>
      </c>
    </row>
    <row r="253">
      <c r="A253" s="37" t="s">
        <v>690</v>
      </c>
      <c r="B253" s="37" t="s">
        <v>687</v>
      </c>
      <c r="C253" s="37" t="s">
        <v>51</v>
      </c>
      <c r="D253" s="37" t="s">
        <v>49</v>
      </c>
      <c r="E253" s="37" t="s">
        <v>1748</v>
      </c>
      <c r="F253" s="63" t="s">
        <v>2897</v>
      </c>
      <c r="G253" s="37" t="s">
        <v>1831</v>
      </c>
      <c r="H253" s="167">
        <v>3.0</v>
      </c>
      <c r="I253" s="37">
        <v>4.0</v>
      </c>
      <c r="J253" s="37" t="s">
        <v>1842</v>
      </c>
      <c r="K253" s="167" t="s">
        <v>1833</v>
      </c>
      <c r="L253" s="63" t="s">
        <v>1831</v>
      </c>
      <c r="M253" s="63" t="s">
        <v>2789</v>
      </c>
      <c r="N253" s="63" t="s">
        <v>2713</v>
      </c>
    </row>
    <row r="254">
      <c r="F254" s="168"/>
      <c r="H254" s="168"/>
      <c r="J254" s="100"/>
      <c r="K254" s="168"/>
      <c r="L254" s="168"/>
      <c r="M254" s="168"/>
      <c r="N254" s="168"/>
    </row>
    <row r="255">
      <c r="F255" s="168"/>
      <c r="H255" s="168"/>
      <c r="J255" s="100"/>
      <c r="K255" s="168"/>
      <c r="L255" s="168"/>
      <c r="M255" s="168"/>
      <c r="N255" s="168"/>
    </row>
    <row r="256">
      <c r="F256" s="168"/>
      <c r="H256" s="168"/>
      <c r="J256" s="100"/>
      <c r="K256" s="168"/>
      <c r="L256" s="168"/>
      <c r="M256" s="168"/>
      <c r="N256" s="168"/>
    </row>
    <row r="257">
      <c r="F257" s="168"/>
      <c r="H257" s="168"/>
      <c r="J257" s="100"/>
      <c r="K257" s="168"/>
      <c r="L257" s="168"/>
      <c r="M257" s="168"/>
      <c r="N257" s="168"/>
    </row>
    <row r="258">
      <c r="F258" s="168"/>
      <c r="H258" s="168"/>
      <c r="J258" s="100"/>
      <c r="K258" s="168"/>
      <c r="L258" s="168"/>
      <c r="M258" s="168"/>
      <c r="N258" s="168"/>
    </row>
    <row r="259">
      <c r="F259" s="168"/>
      <c r="H259" s="168"/>
      <c r="J259" s="100"/>
      <c r="K259" s="168"/>
      <c r="L259" s="168"/>
      <c r="M259" s="168"/>
      <c r="N259" s="168"/>
    </row>
    <row r="260">
      <c r="F260" s="168"/>
      <c r="H260" s="168"/>
      <c r="J260" s="100"/>
      <c r="K260" s="168"/>
      <c r="L260" s="168"/>
      <c r="M260" s="168"/>
      <c r="N260" s="168"/>
    </row>
    <row r="261">
      <c r="F261" s="168"/>
      <c r="H261" s="168"/>
      <c r="J261" s="100"/>
      <c r="K261" s="168"/>
      <c r="L261" s="168"/>
      <c r="M261" s="168"/>
      <c r="N261" s="168"/>
    </row>
    <row r="262">
      <c r="F262" s="168"/>
      <c r="H262" s="168"/>
      <c r="J262" s="100"/>
      <c r="K262" s="168"/>
      <c r="L262" s="168"/>
      <c r="M262" s="168"/>
      <c r="N262" s="168"/>
    </row>
    <row r="263">
      <c r="F263" s="168"/>
      <c r="H263" s="168"/>
      <c r="J263" s="100"/>
      <c r="K263" s="168"/>
      <c r="L263" s="168"/>
      <c r="M263" s="168"/>
      <c r="N263" s="168"/>
    </row>
    <row r="264">
      <c r="F264" s="168"/>
      <c r="H264" s="168"/>
      <c r="J264" s="100"/>
      <c r="K264" s="168"/>
      <c r="L264" s="168"/>
      <c r="M264" s="168"/>
      <c r="N264" s="168"/>
    </row>
    <row r="265">
      <c r="F265" s="168"/>
      <c r="H265" s="168"/>
      <c r="J265" s="100"/>
      <c r="K265" s="168"/>
      <c r="L265" s="168"/>
      <c r="M265" s="168"/>
      <c r="N265" s="168"/>
    </row>
    <row r="266">
      <c r="F266" s="168"/>
      <c r="H266" s="168"/>
      <c r="J266" s="100"/>
      <c r="K266" s="168"/>
      <c r="L266" s="168"/>
      <c r="M266" s="168"/>
      <c r="N266" s="168"/>
    </row>
    <row r="267">
      <c r="F267" s="168"/>
      <c r="H267" s="168"/>
      <c r="J267" s="100"/>
      <c r="K267" s="168"/>
      <c r="L267" s="168"/>
      <c r="M267" s="168"/>
      <c r="N267" s="168"/>
    </row>
    <row r="268">
      <c r="F268" s="168"/>
      <c r="H268" s="168"/>
      <c r="J268" s="100"/>
      <c r="K268" s="168"/>
      <c r="L268" s="168"/>
      <c r="M268" s="168"/>
      <c r="N268" s="168"/>
    </row>
    <row r="269">
      <c r="F269" s="168"/>
      <c r="H269" s="168"/>
      <c r="J269" s="100"/>
      <c r="K269" s="168"/>
      <c r="L269" s="168"/>
      <c r="M269" s="168"/>
      <c r="N269" s="168"/>
    </row>
    <row r="270">
      <c r="F270" s="168"/>
      <c r="H270" s="168"/>
      <c r="J270" s="100"/>
      <c r="K270" s="168"/>
      <c r="L270" s="168"/>
      <c r="M270" s="168"/>
      <c r="N270" s="168"/>
    </row>
    <row r="271">
      <c r="F271" s="168"/>
      <c r="H271" s="168"/>
      <c r="J271" s="100"/>
      <c r="K271" s="168"/>
      <c r="L271" s="168"/>
      <c r="M271" s="168"/>
      <c r="N271" s="168"/>
    </row>
    <row r="272">
      <c r="F272" s="168"/>
      <c r="H272" s="168"/>
      <c r="J272" s="100"/>
      <c r="K272" s="168"/>
      <c r="L272" s="168"/>
      <c r="M272" s="168"/>
      <c r="N272" s="168"/>
    </row>
    <row r="273">
      <c r="F273" s="168"/>
      <c r="H273" s="168"/>
      <c r="J273" s="100"/>
      <c r="K273" s="168"/>
      <c r="L273" s="168"/>
      <c r="M273" s="168"/>
      <c r="N273" s="168"/>
    </row>
    <row r="274">
      <c r="F274" s="168"/>
      <c r="H274" s="168"/>
      <c r="J274" s="100"/>
      <c r="K274" s="168"/>
      <c r="L274" s="168"/>
      <c r="M274" s="168"/>
      <c r="N274" s="168"/>
    </row>
    <row r="275">
      <c r="F275" s="168"/>
      <c r="H275" s="168"/>
      <c r="J275" s="100"/>
      <c r="K275" s="168"/>
      <c r="L275" s="168"/>
      <c r="M275" s="168"/>
      <c r="N275" s="168"/>
    </row>
    <row r="276">
      <c r="F276" s="168"/>
      <c r="H276" s="168"/>
      <c r="J276" s="100"/>
      <c r="K276" s="168"/>
      <c r="L276" s="168"/>
      <c r="M276" s="168"/>
      <c r="N276" s="168"/>
    </row>
    <row r="277">
      <c r="F277" s="168"/>
      <c r="H277" s="168"/>
      <c r="J277" s="100"/>
      <c r="K277" s="168"/>
      <c r="L277" s="168"/>
      <c r="M277" s="168"/>
      <c r="N277" s="168"/>
    </row>
    <row r="278">
      <c r="F278" s="168"/>
      <c r="H278" s="168"/>
      <c r="J278" s="100"/>
      <c r="K278" s="168"/>
      <c r="L278" s="168"/>
      <c r="M278" s="168"/>
      <c r="N278" s="168"/>
    </row>
    <row r="279">
      <c r="F279" s="168"/>
      <c r="H279" s="168"/>
      <c r="J279" s="100"/>
      <c r="K279" s="168"/>
      <c r="L279" s="168"/>
      <c r="M279" s="168"/>
      <c r="N279" s="168"/>
    </row>
    <row r="280">
      <c r="F280" s="168"/>
      <c r="H280" s="168"/>
      <c r="J280" s="100"/>
      <c r="K280" s="168"/>
      <c r="L280" s="168"/>
      <c r="M280" s="168"/>
      <c r="N280" s="168"/>
    </row>
    <row r="281">
      <c r="F281" s="168"/>
      <c r="H281" s="168"/>
      <c r="J281" s="100"/>
      <c r="K281" s="168"/>
      <c r="L281" s="168"/>
      <c r="M281" s="168"/>
      <c r="N281" s="168"/>
    </row>
    <row r="282">
      <c r="F282" s="168"/>
      <c r="H282" s="168"/>
      <c r="J282" s="100"/>
      <c r="K282" s="168"/>
      <c r="L282" s="168"/>
      <c r="M282" s="168"/>
      <c r="N282" s="168"/>
    </row>
    <row r="283">
      <c r="F283" s="168"/>
      <c r="H283" s="168"/>
      <c r="J283" s="100"/>
      <c r="K283" s="168"/>
      <c r="L283" s="168"/>
      <c r="M283" s="168"/>
      <c r="N283" s="168"/>
    </row>
    <row r="284">
      <c r="F284" s="168"/>
      <c r="H284" s="168"/>
      <c r="J284" s="100"/>
      <c r="K284" s="168"/>
      <c r="L284" s="168"/>
      <c r="M284" s="168"/>
      <c r="N284" s="168"/>
    </row>
    <row r="285">
      <c r="F285" s="168"/>
      <c r="H285" s="168"/>
      <c r="J285" s="100"/>
      <c r="K285" s="168"/>
      <c r="L285" s="168"/>
      <c r="M285" s="168"/>
      <c r="N285" s="168"/>
    </row>
    <row r="286">
      <c r="F286" s="168"/>
      <c r="H286" s="168"/>
      <c r="J286" s="100"/>
      <c r="K286" s="168"/>
      <c r="L286" s="168"/>
      <c r="M286" s="168"/>
      <c r="N286" s="168"/>
    </row>
    <row r="287">
      <c r="F287" s="168"/>
      <c r="H287" s="168"/>
      <c r="J287" s="100"/>
      <c r="K287" s="168"/>
      <c r="L287" s="168"/>
      <c r="M287" s="168"/>
      <c r="N287" s="168"/>
    </row>
    <row r="288">
      <c r="F288" s="168"/>
      <c r="H288" s="168"/>
      <c r="J288" s="100"/>
      <c r="K288" s="168"/>
      <c r="L288" s="168"/>
      <c r="M288" s="168"/>
      <c r="N288" s="168"/>
    </row>
    <row r="289">
      <c r="F289" s="168"/>
      <c r="H289" s="168"/>
      <c r="J289" s="100"/>
      <c r="K289" s="168"/>
      <c r="L289" s="168"/>
      <c r="M289" s="168"/>
      <c r="N289" s="168"/>
    </row>
    <row r="290">
      <c r="F290" s="168"/>
      <c r="H290" s="168"/>
      <c r="J290" s="100"/>
      <c r="K290" s="168"/>
      <c r="L290" s="168"/>
      <c r="M290" s="168"/>
      <c r="N290" s="168"/>
    </row>
    <row r="291">
      <c r="F291" s="168"/>
      <c r="H291" s="168"/>
      <c r="J291" s="100"/>
      <c r="K291" s="168"/>
      <c r="L291" s="168"/>
      <c r="M291" s="168"/>
      <c r="N291" s="168"/>
    </row>
    <row r="292">
      <c r="F292" s="168"/>
      <c r="H292" s="168"/>
      <c r="J292" s="100"/>
      <c r="K292" s="168"/>
      <c r="L292" s="168"/>
      <c r="M292" s="168"/>
      <c r="N292" s="168"/>
    </row>
    <row r="293">
      <c r="F293" s="168"/>
      <c r="H293" s="168"/>
      <c r="J293" s="100"/>
      <c r="K293" s="168"/>
      <c r="L293" s="168"/>
      <c r="M293" s="168"/>
      <c r="N293" s="168"/>
    </row>
    <row r="294">
      <c r="F294" s="168"/>
      <c r="H294" s="168"/>
      <c r="J294" s="100"/>
      <c r="K294" s="168"/>
      <c r="L294" s="168"/>
      <c r="M294" s="168"/>
      <c r="N294" s="168"/>
    </row>
    <row r="295">
      <c r="F295" s="168"/>
      <c r="H295" s="168"/>
      <c r="J295" s="100"/>
      <c r="K295" s="168"/>
      <c r="L295" s="168"/>
      <c r="M295" s="168"/>
      <c r="N295" s="168"/>
    </row>
    <row r="296">
      <c r="F296" s="168"/>
      <c r="H296" s="168"/>
      <c r="J296" s="100"/>
      <c r="K296" s="168"/>
      <c r="L296" s="168"/>
      <c r="M296" s="168"/>
      <c r="N296" s="168"/>
    </row>
    <row r="297">
      <c r="F297" s="168"/>
      <c r="H297" s="168"/>
      <c r="J297" s="100"/>
      <c r="K297" s="168"/>
      <c r="L297" s="168"/>
      <c r="M297" s="168"/>
      <c r="N297" s="168"/>
    </row>
    <row r="298">
      <c r="F298" s="168"/>
      <c r="H298" s="168"/>
      <c r="J298" s="100"/>
      <c r="K298" s="168"/>
      <c r="L298" s="168"/>
      <c r="M298" s="168"/>
      <c r="N298" s="168"/>
    </row>
    <row r="299">
      <c r="F299" s="168"/>
      <c r="H299" s="168"/>
      <c r="J299" s="100"/>
      <c r="K299" s="168"/>
      <c r="L299" s="168"/>
      <c r="M299" s="168"/>
      <c r="N299" s="168"/>
    </row>
    <row r="300">
      <c r="F300" s="168"/>
      <c r="H300" s="168"/>
      <c r="J300" s="100"/>
      <c r="K300" s="168"/>
      <c r="L300" s="168"/>
      <c r="M300" s="168"/>
      <c r="N300" s="168"/>
    </row>
    <row r="301">
      <c r="F301" s="168"/>
      <c r="H301" s="168"/>
      <c r="J301" s="100"/>
      <c r="K301" s="168"/>
      <c r="L301" s="168"/>
      <c r="M301" s="168"/>
      <c r="N301" s="168"/>
    </row>
    <row r="302">
      <c r="F302" s="168"/>
      <c r="H302" s="168"/>
      <c r="J302" s="100"/>
      <c r="K302" s="168"/>
      <c r="L302" s="168"/>
      <c r="M302" s="168"/>
      <c r="N302" s="168"/>
    </row>
    <row r="303">
      <c r="F303" s="168"/>
      <c r="H303" s="168"/>
      <c r="J303" s="100"/>
      <c r="K303" s="168"/>
      <c r="L303" s="168"/>
      <c r="M303" s="168"/>
      <c r="N303" s="168"/>
    </row>
    <row r="304">
      <c r="F304" s="168"/>
      <c r="H304" s="168"/>
      <c r="J304" s="100"/>
      <c r="K304" s="168"/>
      <c r="L304" s="168"/>
      <c r="M304" s="168"/>
      <c r="N304" s="168"/>
    </row>
    <row r="305">
      <c r="F305" s="168"/>
      <c r="H305" s="168"/>
      <c r="J305" s="100"/>
      <c r="K305" s="168"/>
      <c r="L305" s="168"/>
      <c r="M305" s="168"/>
      <c r="N305" s="168"/>
    </row>
    <row r="306">
      <c r="F306" s="168"/>
      <c r="H306" s="168"/>
      <c r="J306" s="100"/>
      <c r="K306" s="168"/>
      <c r="L306" s="168"/>
      <c r="M306" s="168"/>
      <c r="N306" s="168"/>
    </row>
    <row r="307">
      <c r="F307" s="168"/>
      <c r="H307" s="168"/>
      <c r="J307" s="100"/>
      <c r="K307" s="168"/>
      <c r="L307" s="168"/>
      <c r="M307" s="168"/>
      <c r="N307" s="168"/>
    </row>
    <row r="308">
      <c r="F308" s="168"/>
      <c r="H308" s="168"/>
      <c r="J308" s="100"/>
      <c r="K308" s="168"/>
      <c r="L308" s="168"/>
      <c r="M308" s="168"/>
      <c r="N308" s="168"/>
    </row>
    <row r="309">
      <c r="F309" s="168"/>
      <c r="H309" s="168"/>
      <c r="J309" s="100"/>
      <c r="K309" s="168"/>
      <c r="L309" s="168"/>
      <c r="M309" s="168"/>
      <c r="N309" s="168"/>
    </row>
    <row r="310">
      <c r="F310" s="168"/>
      <c r="H310" s="168"/>
      <c r="J310" s="100"/>
      <c r="K310" s="168"/>
      <c r="L310" s="168"/>
      <c r="M310" s="168"/>
      <c r="N310" s="168"/>
    </row>
    <row r="311">
      <c r="F311" s="168"/>
      <c r="H311" s="168"/>
      <c r="J311" s="100"/>
      <c r="K311" s="168"/>
      <c r="L311" s="168"/>
      <c r="M311" s="168"/>
      <c r="N311" s="168"/>
    </row>
    <row r="312">
      <c r="F312" s="168"/>
      <c r="H312" s="168"/>
      <c r="J312" s="100"/>
      <c r="K312" s="168"/>
      <c r="L312" s="168"/>
      <c r="M312" s="168"/>
      <c r="N312" s="168"/>
    </row>
    <row r="313">
      <c r="F313" s="168"/>
      <c r="H313" s="168"/>
      <c r="J313" s="100"/>
      <c r="K313" s="168"/>
      <c r="L313" s="168"/>
      <c r="M313" s="168"/>
      <c r="N313" s="168"/>
    </row>
    <row r="314">
      <c r="F314" s="168"/>
      <c r="H314" s="168"/>
      <c r="J314" s="100"/>
      <c r="K314" s="168"/>
      <c r="L314" s="168"/>
      <c r="M314" s="168"/>
      <c r="N314" s="168"/>
    </row>
    <row r="315">
      <c r="F315" s="168"/>
      <c r="H315" s="168"/>
      <c r="J315" s="100"/>
      <c r="K315" s="168"/>
      <c r="L315" s="168"/>
      <c r="M315" s="168"/>
      <c r="N315" s="168"/>
    </row>
    <row r="316">
      <c r="F316" s="168"/>
      <c r="H316" s="168"/>
      <c r="J316" s="100"/>
      <c r="K316" s="168"/>
      <c r="L316" s="168"/>
      <c r="M316" s="168"/>
      <c r="N316" s="168"/>
    </row>
    <row r="317">
      <c r="F317" s="168"/>
      <c r="H317" s="168"/>
      <c r="J317" s="100"/>
      <c r="K317" s="168"/>
      <c r="L317" s="168"/>
      <c r="M317" s="168"/>
      <c r="N317" s="168"/>
    </row>
    <row r="318">
      <c r="F318" s="168"/>
      <c r="H318" s="168"/>
      <c r="J318" s="100"/>
      <c r="K318" s="168"/>
      <c r="L318" s="168"/>
      <c r="M318" s="168"/>
      <c r="N318" s="168"/>
    </row>
    <row r="319">
      <c r="F319" s="168"/>
      <c r="H319" s="168"/>
      <c r="J319" s="100"/>
      <c r="K319" s="168"/>
      <c r="L319" s="168"/>
      <c r="M319" s="168"/>
      <c r="N319" s="168"/>
    </row>
    <row r="320">
      <c r="F320" s="168"/>
      <c r="H320" s="168"/>
      <c r="J320" s="100"/>
      <c r="K320" s="168"/>
      <c r="L320" s="168"/>
      <c r="M320" s="168"/>
      <c r="N320" s="168"/>
    </row>
    <row r="321">
      <c r="F321" s="168"/>
      <c r="H321" s="168"/>
      <c r="J321" s="100"/>
      <c r="K321" s="168"/>
      <c r="L321" s="168"/>
      <c r="M321" s="168"/>
      <c r="N321" s="168"/>
    </row>
    <row r="322">
      <c r="F322" s="168"/>
      <c r="H322" s="168"/>
      <c r="J322" s="100"/>
      <c r="K322" s="168"/>
      <c r="L322" s="168"/>
      <c r="M322" s="168"/>
      <c r="N322" s="168"/>
    </row>
    <row r="323">
      <c r="F323" s="168"/>
      <c r="H323" s="168"/>
      <c r="J323" s="100"/>
      <c r="K323" s="168"/>
      <c r="L323" s="168"/>
      <c r="M323" s="168"/>
      <c r="N323" s="168"/>
    </row>
    <row r="324">
      <c r="F324" s="168"/>
      <c r="H324" s="168"/>
      <c r="J324" s="100"/>
      <c r="K324" s="168"/>
      <c r="L324" s="168"/>
      <c r="M324" s="168"/>
      <c r="N324" s="168"/>
    </row>
    <row r="325">
      <c r="F325" s="168"/>
      <c r="H325" s="168"/>
      <c r="J325" s="100"/>
      <c r="K325" s="168"/>
      <c r="L325" s="168"/>
      <c r="M325" s="168"/>
      <c r="N325" s="168"/>
    </row>
    <row r="326">
      <c r="F326" s="168"/>
      <c r="H326" s="168"/>
      <c r="J326" s="100"/>
      <c r="K326" s="168"/>
      <c r="L326" s="168"/>
      <c r="M326" s="168"/>
      <c r="N326" s="168"/>
    </row>
    <row r="327">
      <c r="F327" s="168"/>
      <c r="H327" s="168"/>
      <c r="J327" s="100"/>
      <c r="K327" s="168"/>
      <c r="L327" s="168"/>
      <c r="M327" s="168"/>
      <c r="N327" s="168"/>
    </row>
    <row r="328">
      <c r="F328" s="168"/>
      <c r="H328" s="168"/>
      <c r="J328" s="100"/>
      <c r="K328" s="168"/>
      <c r="L328" s="168"/>
      <c r="M328" s="168"/>
      <c r="N328" s="168"/>
    </row>
    <row r="329">
      <c r="F329" s="168"/>
      <c r="H329" s="168"/>
      <c r="J329" s="100"/>
      <c r="K329" s="168"/>
      <c r="L329" s="168"/>
      <c r="M329" s="168"/>
      <c r="N329" s="168"/>
    </row>
    <row r="330">
      <c r="F330" s="168"/>
      <c r="H330" s="168"/>
      <c r="J330" s="100"/>
      <c r="K330" s="168"/>
      <c r="L330" s="168"/>
      <c r="M330" s="168"/>
      <c r="N330" s="168"/>
    </row>
    <row r="331">
      <c r="F331" s="168"/>
      <c r="H331" s="168"/>
      <c r="J331" s="100"/>
      <c r="K331" s="168"/>
      <c r="L331" s="168"/>
      <c r="M331" s="168"/>
      <c r="N331" s="168"/>
    </row>
    <row r="332">
      <c r="F332" s="168"/>
      <c r="H332" s="168"/>
      <c r="J332" s="100"/>
      <c r="K332" s="168"/>
      <c r="L332" s="168"/>
      <c r="M332" s="168"/>
      <c r="N332" s="168"/>
    </row>
    <row r="333">
      <c r="F333" s="168"/>
      <c r="H333" s="168"/>
      <c r="J333" s="100"/>
      <c r="K333" s="168"/>
      <c r="L333" s="168"/>
      <c r="M333" s="168"/>
      <c r="N333" s="168"/>
    </row>
    <row r="334">
      <c r="F334" s="168"/>
      <c r="H334" s="168"/>
      <c r="J334" s="100"/>
      <c r="K334" s="168"/>
      <c r="L334" s="168"/>
      <c r="M334" s="168"/>
      <c r="N334" s="168"/>
    </row>
    <row r="335">
      <c r="F335" s="168"/>
      <c r="H335" s="168"/>
      <c r="J335" s="100"/>
      <c r="K335" s="168"/>
      <c r="L335" s="168"/>
      <c r="M335" s="168"/>
      <c r="N335" s="168"/>
    </row>
    <row r="336">
      <c r="F336" s="168"/>
      <c r="H336" s="168"/>
      <c r="J336" s="100"/>
      <c r="K336" s="168"/>
      <c r="L336" s="168"/>
      <c r="M336" s="168"/>
      <c r="N336" s="168"/>
    </row>
    <row r="337">
      <c r="F337" s="168"/>
      <c r="H337" s="168"/>
      <c r="J337" s="100"/>
      <c r="K337" s="168"/>
      <c r="L337" s="168"/>
      <c r="M337" s="168"/>
      <c r="N337" s="168"/>
    </row>
    <row r="338">
      <c r="F338" s="168"/>
      <c r="H338" s="168"/>
      <c r="J338" s="100"/>
      <c r="K338" s="168"/>
      <c r="L338" s="168"/>
      <c r="M338" s="168"/>
      <c r="N338" s="168"/>
    </row>
    <row r="339">
      <c r="F339" s="168"/>
      <c r="H339" s="168"/>
      <c r="J339" s="100"/>
      <c r="K339" s="168"/>
      <c r="L339" s="168"/>
      <c r="M339" s="168"/>
      <c r="N339" s="168"/>
    </row>
    <row r="340">
      <c r="F340" s="168"/>
      <c r="H340" s="168"/>
      <c r="J340" s="100"/>
      <c r="K340" s="168"/>
      <c r="L340" s="168"/>
      <c r="M340" s="168"/>
      <c r="N340" s="168"/>
    </row>
    <row r="341">
      <c r="F341" s="168"/>
      <c r="H341" s="168"/>
      <c r="J341" s="100"/>
      <c r="K341" s="168"/>
      <c r="L341" s="168"/>
      <c r="M341" s="168"/>
      <c r="N341" s="168"/>
    </row>
    <row r="342">
      <c r="F342" s="168"/>
      <c r="H342" s="168"/>
      <c r="J342" s="100"/>
      <c r="K342" s="168"/>
      <c r="L342" s="168"/>
      <c r="M342" s="168"/>
      <c r="N342" s="168"/>
    </row>
    <row r="343">
      <c r="F343" s="168"/>
      <c r="H343" s="168"/>
      <c r="J343" s="100"/>
      <c r="K343" s="168"/>
      <c r="L343" s="168"/>
      <c r="M343" s="168"/>
      <c r="N343" s="168"/>
    </row>
    <row r="344">
      <c r="F344" s="168"/>
      <c r="H344" s="168"/>
      <c r="J344" s="100"/>
      <c r="K344" s="168"/>
      <c r="L344" s="168"/>
      <c r="M344" s="168"/>
      <c r="N344" s="168"/>
    </row>
    <row r="345">
      <c r="F345" s="168"/>
      <c r="H345" s="168"/>
      <c r="J345" s="100"/>
      <c r="K345" s="168"/>
      <c r="L345" s="168"/>
      <c r="M345" s="168"/>
      <c r="N345" s="168"/>
    </row>
    <row r="346">
      <c r="F346" s="168"/>
      <c r="H346" s="168"/>
      <c r="J346" s="100"/>
      <c r="K346" s="168"/>
      <c r="L346" s="168"/>
      <c r="M346" s="168"/>
      <c r="N346" s="168"/>
    </row>
    <row r="347">
      <c r="F347" s="168"/>
      <c r="H347" s="168"/>
      <c r="J347" s="100"/>
      <c r="K347" s="168"/>
      <c r="L347" s="168"/>
      <c r="M347" s="168"/>
      <c r="N347" s="168"/>
    </row>
    <row r="348">
      <c r="F348" s="168"/>
      <c r="H348" s="168"/>
      <c r="J348" s="100"/>
      <c r="K348" s="168"/>
      <c r="L348" s="168"/>
      <c r="M348" s="168"/>
      <c r="N348" s="168"/>
    </row>
    <row r="349">
      <c r="F349" s="168"/>
      <c r="H349" s="168"/>
      <c r="J349" s="100"/>
      <c r="K349" s="168"/>
      <c r="L349" s="168"/>
      <c r="M349" s="168"/>
      <c r="N349" s="168"/>
    </row>
    <row r="350">
      <c r="F350" s="168"/>
      <c r="H350" s="168"/>
      <c r="J350" s="100"/>
      <c r="K350" s="168"/>
      <c r="L350" s="168"/>
      <c r="M350" s="168"/>
      <c r="N350" s="168"/>
    </row>
    <row r="351">
      <c r="F351" s="168"/>
      <c r="H351" s="168"/>
      <c r="J351" s="100"/>
      <c r="K351" s="168"/>
      <c r="L351" s="168"/>
      <c r="M351" s="168"/>
      <c r="N351" s="168"/>
    </row>
    <row r="352">
      <c r="F352" s="168"/>
      <c r="H352" s="168"/>
      <c r="J352" s="100"/>
      <c r="K352" s="168"/>
      <c r="L352" s="168"/>
      <c r="M352" s="168"/>
      <c r="N352" s="168"/>
    </row>
    <row r="353">
      <c r="F353" s="168"/>
      <c r="H353" s="168"/>
      <c r="J353" s="100"/>
      <c r="K353" s="168"/>
      <c r="L353" s="168"/>
      <c r="M353" s="168"/>
      <c r="N353" s="168"/>
    </row>
    <row r="354">
      <c r="F354" s="168"/>
      <c r="H354" s="168"/>
      <c r="J354" s="100"/>
      <c r="K354" s="168"/>
      <c r="L354" s="168"/>
      <c r="M354" s="168"/>
      <c r="N354" s="168"/>
    </row>
    <row r="355">
      <c r="F355" s="168"/>
      <c r="H355" s="168"/>
      <c r="J355" s="100"/>
      <c r="K355" s="168"/>
      <c r="L355" s="168"/>
      <c r="M355" s="168"/>
      <c r="N355" s="168"/>
    </row>
    <row r="356">
      <c r="F356" s="168"/>
      <c r="H356" s="168"/>
      <c r="J356" s="100"/>
      <c r="K356" s="168"/>
      <c r="L356" s="168"/>
      <c r="M356" s="168"/>
      <c r="N356" s="168"/>
    </row>
    <row r="357">
      <c r="F357" s="168"/>
      <c r="H357" s="168"/>
      <c r="J357" s="100"/>
      <c r="K357" s="168"/>
      <c r="L357" s="168"/>
      <c r="M357" s="168"/>
      <c r="N357" s="168"/>
    </row>
    <row r="358">
      <c r="F358" s="168"/>
      <c r="H358" s="168"/>
      <c r="J358" s="100"/>
      <c r="K358" s="168"/>
      <c r="L358" s="168"/>
      <c r="M358" s="168"/>
      <c r="N358" s="168"/>
    </row>
    <row r="359">
      <c r="F359" s="168"/>
      <c r="H359" s="168"/>
      <c r="J359" s="100"/>
      <c r="K359" s="168"/>
      <c r="L359" s="168"/>
      <c r="M359" s="168"/>
      <c r="N359" s="168"/>
    </row>
    <row r="360">
      <c r="F360" s="168"/>
      <c r="H360" s="168"/>
      <c r="J360" s="100"/>
      <c r="K360" s="168"/>
      <c r="L360" s="168"/>
      <c r="M360" s="168"/>
      <c r="N360" s="168"/>
    </row>
    <row r="361">
      <c r="F361" s="168"/>
      <c r="H361" s="168"/>
      <c r="J361" s="100"/>
      <c r="K361" s="168"/>
      <c r="L361" s="168"/>
      <c r="M361" s="168"/>
      <c r="N361" s="168"/>
    </row>
    <row r="362">
      <c r="F362" s="168"/>
      <c r="H362" s="168"/>
      <c r="J362" s="100"/>
      <c r="K362" s="168"/>
      <c r="L362" s="168"/>
      <c r="M362" s="168"/>
      <c r="N362" s="168"/>
    </row>
    <row r="363">
      <c r="F363" s="168"/>
      <c r="H363" s="168"/>
      <c r="J363" s="100"/>
      <c r="K363" s="168"/>
      <c r="L363" s="168"/>
      <c r="M363" s="168"/>
      <c r="N363" s="168"/>
    </row>
    <row r="364">
      <c r="F364" s="168"/>
      <c r="H364" s="168"/>
      <c r="J364" s="100"/>
      <c r="K364" s="168"/>
      <c r="L364" s="168"/>
      <c r="M364" s="168"/>
      <c r="N364" s="168"/>
    </row>
    <row r="365">
      <c r="F365" s="168"/>
      <c r="H365" s="168"/>
      <c r="J365" s="100"/>
      <c r="K365" s="168"/>
      <c r="L365" s="168"/>
      <c r="M365" s="168"/>
      <c r="N365" s="168"/>
    </row>
    <row r="366">
      <c r="F366" s="168"/>
      <c r="H366" s="168"/>
      <c r="J366" s="100"/>
      <c r="K366" s="168"/>
      <c r="L366" s="168"/>
      <c r="M366" s="168"/>
      <c r="N366" s="168"/>
    </row>
    <row r="367">
      <c r="F367" s="168"/>
      <c r="H367" s="168"/>
      <c r="J367" s="100"/>
      <c r="K367" s="168"/>
      <c r="L367" s="168"/>
      <c r="M367" s="168"/>
      <c r="N367" s="168"/>
    </row>
    <row r="368">
      <c r="F368" s="168"/>
      <c r="H368" s="168"/>
      <c r="J368" s="100"/>
      <c r="K368" s="168"/>
      <c r="L368" s="168"/>
      <c r="M368" s="168"/>
      <c r="N368" s="168"/>
    </row>
    <row r="369">
      <c r="F369" s="168"/>
      <c r="H369" s="168"/>
      <c r="J369" s="100"/>
      <c r="K369" s="168"/>
      <c r="L369" s="168"/>
      <c r="M369" s="168"/>
      <c r="N369" s="168"/>
    </row>
    <row r="370">
      <c r="F370" s="168"/>
      <c r="H370" s="168"/>
      <c r="J370" s="100"/>
      <c r="K370" s="168"/>
      <c r="L370" s="168"/>
      <c r="M370" s="168"/>
      <c r="N370" s="168"/>
    </row>
    <row r="371">
      <c r="F371" s="168"/>
      <c r="H371" s="168"/>
      <c r="J371" s="100"/>
      <c r="K371" s="168"/>
      <c r="L371" s="168"/>
      <c r="M371" s="168"/>
      <c r="N371" s="168"/>
    </row>
    <row r="372">
      <c r="F372" s="168"/>
      <c r="H372" s="168"/>
      <c r="J372" s="100"/>
      <c r="K372" s="168"/>
      <c r="L372" s="168"/>
      <c r="M372" s="168"/>
      <c r="N372" s="168"/>
    </row>
    <row r="373">
      <c r="F373" s="168"/>
      <c r="H373" s="168"/>
      <c r="J373" s="100"/>
      <c r="K373" s="168"/>
      <c r="L373" s="168"/>
      <c r="M373" s="168"/>
      <c r="N373" s="168"/>
    </row>
    <row r="374">
      <c r="F374" s="168"/>
      <c r="H374" s="168"/>
      <c r="J374" s="100"/>
      <c r="K374" s="168"/>
      <c r="L374" s="168"/>
      <c r="M374" s="168"/>
      <c r="N374" s="168"/>
    </row>
    <row r="375">
      <c r="F375" s="168"/>
      <c r="H375" s="168"/>
      <c r="J375" s="100"/>
      <c r="K375" s="168"/>
      <c r="L375" s="168"/>
      <c r="M375" s="168"/>
      <c r="N375" s="168"/>
    </row>
    <row r="376">
      <c r="F376" s="168"/>
      <c r="H376" s="168"/>
      <c r="J376" s="100"/>
      <c r="K376" s="168"/>
      <c r="L376" s="168"/>
      <c r="M376" s="168"/>
      <c r="N376" s="168"/>
    </row>
    <row r="377">
      <c r="F377" s="168"/>
      <c r="H377" s="168"/>
      <c r="J377" s="100"/>
      <c r="K377" s="168"/>
      <c r="L377" s="168"/>
      <c r="M377" s="168"/>
      <c r="N377" s="168"/>
    </row>
    <row r="378">
      <c r="F378" s="168"/>
      <c r="H378" s="168"/>
      <c r="J378" s="100"/>
      <c r="K378" s="168"/>
      <c r="L378" s="168"/>
      <c r="M378" s="168"/>
      <c r="N378" s="168"/>
    </row>
    <row r="379">
      <c r="F379" s="168"/>
      <c r="H379" s="168"/>
      <c r="J379" s="100"/>
      <c r="K379" s="168"/>
      <c r="L379" s="168"/>
      <c r="M379" s="168"/>
      <c r="N379" s="168"/>
    </row>
    <row r="380">
      <c r="F380" s="168"/>
      <c r="H380" s="168"/>
      <c r="J380" s="100"/>
      <c r="K380" s="168"/>
      <c r="L380" s="168"/>
      <c r="M380" s="168"/>
      <c r="N380" s="168"/>
    </row>
    <row r="381">
      <c r="F381" s="168"/>
      <c r="H381" s="168"/>
      <c r="J381" s="100"/>
      <c r="K381" s="168"/>
      <c r="L381" s="168"/>
      <c r="M381" s="168"/>
      <c r="N381" s="168"/>
    </row>
    <row r="382">
      <c r="F382" s="168"/>
      <c r="H382" s="168"/>
      <c r="J382" s="100"/>
      <c r="K382" s="168"/>
      <c r="L382" s="168"/>
      <c r="M382" s="168"/>
      <c r="N382" s="168"/>
    </row>
    <row r="383">
      <c r="F383" s="168"/>
      <c r="H383" s="168"/>
      <c r="J383" s="100"/>
      <c r="K383" s="168"/>
      <c r="L383" s="168"/>
      <c r="M383" s="168"/>
      <c r="N383" s="168"/>
    </row>
    <row r="384">
      <c r="F384" s="168"/>
      <c r="H384" s="168"/>
      <c r="J384" s="100"/>
      <c r="K384" s="168"/>
      <c r="L384" s="168"/>
      <c r="M384" s="168"/>
      <c r="N384" s="168"/>
    </row>
    <row r="385">
      <c r="F385" s="168"/>
      <c r="H385" s="168"/>
      <c r="J385" s="100"/>
      <c r="K385" s="168"/>
      <c r="L385" s="168"/>
      <c r="M385" s="168"/>
      <c r="N385" s="168"/>
    </row>
    <row r="386">
      <c r="F386" s="168"/>
      <c r="H386" s="168"/>
      <c r="J386" s="100"/>
      <c r="K386" s="168"/>
      <c r="L386" s="168"/>
      <c r="M386" s="168"/>
      <c r="N386" s="168"/>
    </row>
    <row r="387">
      <c r="F387" s="168"/>
      <c r="H387" s="168"/>
      <c r="J387" s="100"/>
      <c r="K387" s="168"/>
      <c r="L387" s="168"/>
      <c r="M387" s="168"/>
      <c r="N387" s="168"/>
    </row>
    <row r="388">
      <c r="F388" s="168"/>
      <c r="H388" s="168"/>
      <c r="J388" s="100"/>
      <c r="K388" s="168"/>
      <c r="L388" s="168"/>
      <c r="M388" s="168"/>
      <c r="N388" s="168"/>
    </row>
    <row r="389">
      <c r="F389" s="168"/>
      <c r="H389" s="168"/>
      <c r="J389" s="100"/>
      <c r="K389" s="168"/>
      <c r="L389" s="168"/>
      <c r="M389" s="168"/>
      <c r="N389" s="168"/>
    </row>
    <row r="390">
      <c r="F390" s="168"/>
      <c r="H390" s="168"/>
      <c r="J390" s="100"/>
      <c r="K390" s="168"/>
      <c r="L390" s="168"/>
      <c r="M390" s="168"/>
      <c r="N390" s="168"/>
    </row>
    <row r="391">
      <c r="F391" s="168"/>
      <c r="H391" s="168"/>
      <c r="J391" s="100"/>
      <c r="K391" s="168"/>
      <c r="L391" s="168"/>
      <c r="M391" s="168"/>
      <c r="N391" s="168"/>
    </row>
    <row r="392">
      <c r="F392" s="168"/>
      <c r="H392" s="168"/>
      <c r="J392" s="100"/>
      <c r="K392" s="168"/>
      <c r="L392" s="168"/>
      <c r="M392" s="168"/>
      <c r="N392" s="168"/>
    </row>
    <row r="393">
      <c r="F393" s="168"/>
      <c r="H393" s="168"/>
      <c r="J393" s="100"/>
      <c r="K393" s="168"/>
      <c r="L393" s="168"/>
      <c r="M393" s="168"/>
      <c r="N393" s="168"/>
    </row>
    <row r="394">
      <c r="F394" s="168"/>
      <c r="H394" s="168"/>
      <c r="J394" s="100"/>
      <c r="K394" s="168"/>
      <c r="L394" s="168"/>
      <c r="M394" s="168"/>
      <c r="N394" s="168"/>
    </row>
    <row r="395">
      <c r="F395" s="168"/>
      <c r="H395" s="168"/>
      <c r="J395" s="100"/>
      <c r="K395" s="168"/>
      <c r="L395" s="168"/>
      <c r="M395" s="168"/>
      <c r="N395" s="168"/>
    </row>
    <row r="396">
      <c r="F396" s="168"/>
      <c r="H396" s="168"/>
      <c r="J396" s="100"/>
      <c r="K396" s="168"/>
      <c r="L396" s="168"/>
      <c r="M396" s="168"/>
      <c r="N396" s="168"/>
    </row>
    <row r="397">
      <c r="F397" s="168"/>
      <c r="H397" s="168"/>
      <c r="J397" s="100"/>
      <c r="K397" s="168"/>
      <c r="L397" s="168"/>
      <c r="M397" s="168"/>
      <c r="N397" s="168"/>
    </row>
    <row r="398">
      <c r="F398" s="168"/>
      <c r="H398" s="168"/>
      <c r="J398" s="100"/>
      <c r="K398" s="168"/>
      <c r="L398" s="168"/>
      <c r="M398" s="168"/>
      <c r="N398" s="168"/>
    </row>
    <row r="399">
      <c r="F399" s="168"/>
      <c r="H399" s="168"/>
      <c r="J399" s="100"/>
      <c r="K399" s="168"/>
      <c r="L399" s="168"/>
      <c r="M399" s="168"/>
      <c r="N399" s="168"/>
    </row>
    <row r="400">
      <c r="F400" s="168"/>
      <c r="H400" s="168"/>
      <c r="J400" s="100"/>
      <c r="K400" s="168"/>
      <c r="L400" s="168"/>
      <c r="M400" s="168"/>
      <c r="N400" s="168"/>
    </row>
    <row r="401">
      <c r="F401" s="168"/>
      <c r="H401" s="168"/>
      <c r="J401" s="100"/>
      <c r="K401" s="168"/>
      <c r="L401" s="168"/>
      <c r="M401" s="168"/>
      <c r="N401" s="168"/>
    </row>
    <row r="402">
      <c r="F402" s="168"/>
      <c r="H402" s="168"/>
      <c r="J402" s="100"/>
      <c r="K402" s="168"/>
      <c r="L402" s="168"/>
      <c r="M402" s="168"/>
      <c r="N402" s="168"/>
    </row>
    <row r="403">
      <c r="F403" s="168"/>
      <c r="H403" s="168"/>
      <c r="J403" s="100"/>
      <c r="K403" s="168"/>
      <c r="L403" s="168"/>
      <c r="M403" s="168"/>
      <c r="N403" s="168"/>
    </row>
    <row r="404">
      <c r="F404" s="168"/>
      <c r="H404" s="168"/>
      <c r="J404" s="100"/>
      <c r="K404" s="168"/>
      <c r="L404" s="168"/>
      <c r="M404" s="168"/>
      <c r="N404" s="168"/>
    </row>
    <row r="405">
      <c r="F405" s="168"/>
      <c r="H405" s="168"/>
      <c r="J405" s="100"/>
      <c r="K405" s="168"/>
      <c r="L405" s="168"/>
      <c r="M405" s="168"/>
      <c r="N405" s="168"/>
    </row>
    <row r="406">
      <c r="F406" s="168"/>
      <c r="H406" s="168"/>
      <c r="J406" s="100"/>
      <c r="K406" s="168"/>
      <c r="L406" s="168"/>
      <c r="M406" s="168"/>
      <c r="N406" s="168"/>
    </row>
    <row r="407">
      <c r="F407" s="168"/>
      <c r="H407" s="168"/>
      <c r="J407" s="100"/>
      <c r="K407" s="168"/>
      <c r="L407" s="168"/>
      <c r="M407" s="168"/>
      <c r="N407" s="168"/>
    </row>
    <row r="408">
      <c r="F408" s="168"/>
      <c r="H408" s="168"/>
      <c r="J408" s="100"/>
      <c r="K408" s="168"/>
      <c r="L408" s="168"/>
      <c r="M408" s="168"/>
      <c r="N408" s="168"/>
    </row>
    <row r="409">
      <c r="F409" s="168"/>
      <c r="H409" s="168"/>
      <c r="J409" s="100"/>
      <c r="K409" s="168"/>
      <c r="L409" s="168"/>
      <c r="M409" s="168"/>
      <c r="N409" s="168"/>
    </row>
    <row r="410">
      <c r="F410" s="168"/>
      <c r="H410" s="168"/>
      <c r="J410" s="100"/>
      <c r="K410" s="168"/>
      <c r="L410" s="168"/>
      <c r="M410" s="168"/>
      <c r="N410" s="168"/>
    </row>
    <row r="411">
      <c r="F411" s="168"/>
      <c r="H411" s="168"/>
      <c r="J411" s="100"/>
      <c r="K411" s="168"/>
      <c r="L411" s="168"/>
      <c r="M411" s="168"/>
      <c r="N411" s="168"/>
    </row>
    <row r="412">
      <c r="F412" s="168"/>
      <c r="H412" s="168"/>
      <c r="J412" s="100"/>
      <c r="K412" s="168"/>
      <c r="L412" s="168"/>
      <c r="M412" s="168"/>
      <c r="N412" s="168"/>
    </row>
    <row r="413">
      <c r="F413" s="168"/>
      <c r="H413" s="168"/>
      <c r="J413" s="100"/>
      <c r="K413" s="168"/>
      <c r="L413" s="168"/>
      <c r="M413" s="168"/>
      <c r="N413" s="168"/>
    </row>
    <row r="414">
      <c r="F414" s="168"/>
      <c r="H414" s="168"/>
      <c r="J414" s="100"/>
      <c r="K414" s="168"/>
      <c r="L414" s="168"/>
      <c r="M414" s="168"/>
      <c r="N414" s="168"/>
    </row>
    <row r="415">
      <c r="F415" s="168"/>
      <c r="H415" s="168"/>
      <c r="J415" s="100"/>
      <c r="K415" s="168"/>
      <c r="L415" s="168"/>
      <c r="M415" s="168"/>
      <c r="N415" s="168"/>
    </row>
    <row r="416">
      <c r="F416" s="168"/>
      <c r="H416" s="168"/>
      <c r="J416" s="100"/>
      <c r="K416" s="168"/>
      <c r="L416" s="168"/>
      <c r="M416" s="168"/>
      <c r="N416" s="168"/>
    </row>
    <row r="417">
      <c r="F417" s="168"/>
      <c r="H417" s="168"/>
      <c r="J417" s="100"/>
      <c r="K417" s="168"/>
      <c r="L417" s="168"/>
      <c r="M417" s="168"/>
      <c r="N417" s="168"/>
    </row>
    <row r="418">
      <c r="F418" s="168"/>
      <c r="H418" s="168"/>
      <c r="J418" s="100"/>
      <c r="K418" s="168"/>
      <c r="L418" s="168"/>
      <c r="M418" s="168"/>
      <c r="N418" s="168"/>
    </row>
    <row r="419">
      <c r="F419" s="168"/>
      <c r="H419" s="168"/>
      <c r="J419" s="100"/>
      <c r="K419" s="168"/>
      <c r="L419" s="168"/>
      <c r="M419" s="168"/>
      <c r="N419" s="168"/>
    </row>
    <row r="420">
      <c r="F420" s="168"/>
      <c r="H420" s="168"/>
      <c r="J420" s="100"/>
      <c r="K420" s="168"/>
      <c r="L420" s="168"/>
      <c r="M420" s="168"/>
      <c r="N420" s="168"/>
    </row>
    <row r="421">
      <c r="F421" s="168"/>
      <c r="H421" s="168"/>
      <c r="J421" s="100"/>
      <c r="K421" s="168"/>
      <c r="L421" s="168"/>
      <c r="M421" s="168"/>
      <c r="N421" s="168"/>
    </row>
    <row r="422">
      <c r="F422" s="168"/>
      <c r="H422" s="168"/>
      <c r="J422" s="100"/>
      <c r="K422" s="168"/>
      <c r="L422" s="168"/>
      <c r="M422" s="168"/>
      <c r="N422" s="168"/>
    </row>
    <row r="423">
      <c r="F423" s="168"/>
      <c r="H423" s="168"/>
      <c r="J423" s="100"/>
      <c r="K423" s="168"/>
      <c r="L423" s="168"/>
      <c r="M423" s="168"/>
      <c r="N423" s="168"/>
    </row>
    <row r="424">
      <c r="F424" s="168"/>
      <c r="H424" s="168"/>
      <c r="J424" s="100"/>
      <c r="K424" s="168"/>
      <c r="L424" s="168"/>
      <c r="M424" s="168"/>
      <c r="N424" s="168"/>
    </row>
    <row r="425">
      <c r="F425" s="168"/>
      <c r="H425" s="168"/>
      <c r="J425" s="100"/>
      <c r="K425" s="168"/>
      <c r="L425" s="168"/>
      <c r="M425" s="168"/>
      <c r="N425" s="168"/>
    </row>
    <row r="426">
      <c r="F426" s="168"/>
      <c r="H426" s="168"/>
      <c r="J426" s="100"/>
      <c r="K426" s="168"/>
      <c r="L426" s="168"/>
      <c r="M426" s="168"/>
      <c r="N426" s="168"/>
    </row>
    <row r="427">
      <c r="F427" s="168"/>
      <c r="H427" s="168"/>
      <c r="J427" s="100"/>
      <c r="K427" s="168"/>
      <c r="L427" s="168"/>
      <c r="M427" s="168"/>
      <c r="N427" s="168"/>
    </row>
    <row r="428">
      <c r="F428" s="168"/>
      <c r="H428" s="168"/>
      <c r="J428" s="100"/>
      <c r="K428" s="168"/>
      <c r="L428" s="168"/>
      <c r="M428" s="168"/>
      <c r="N428" s="168"/>
    </row>
    <row r="429">
      <c r="F429" s="168"/>
      <c r="H429" s="168"/>
      <c r="J429" s="100"/>
      <c r="K429" s="168"/>
      <c r="L429" s="168"/>
      <c r="M429" s="168"/>
      <c r="N429" s="168"/>
    </row>
    <row r="430">
      <c r="F430" s="168"/>
      <c r="H430" s="168"/>
      <c r="J430" s="100"/>
      <c r="K430" s="168"/>
      <c r="L430" s="168"/>
      <c r="M430" s="168"/>
      <c r="N430" s="168"/>
    </row>
    <row r="431">
      <c r="F431" s="168"/>
      <c r="H431" s="168"/>
      <c r="J431" s="100"/>
      <c r="K431" s="168"/>
      <c r="L431" s="168"/>
      <c r="M431" s="168"/>
      <c r="N431" s="168"/>
    </row>
    <row r="432">
      <c r="F432" s="168"/>
      <c r="H432" s="168"/>
      <c r="J432" s="100"/>
      <c r="K432" s="168"/>
      <c r="L432" s="168"/>
      <c r="M432" s="168"/>
      <c r="N432" s="168"/>
    </row>
    <row r="433">
      <c r="F433" s="168"/>
      <c r="H433" s="168"/>
      <c r="J433" s="100"/>
      <c r="K433" s="168"/>
      <c r="L433" s="168"/>
      <c r="M433" s="168"/>
      <c r="N433" s="168"/>
    </row>
    <row r="434">
      <c r="F434" s="168"/>
      <c r="H434" s="168"/>
      <c r="J434" s="100"/>
      <c r="K434" s="168"/>
      <c r="L434" s="168"/>
      <c r="M434" s="168"/>
      <c r="N434" s="168"/>
    </row>
    <row r="435">
      <c r="F435" s="168"/>
      <c r="H435" s="168"/>
      <c r="J435" s="100"/>
      <c r="K435" s="168"/>
      <c r="L435" s="168"/>
      <c r="M435" s="168"/>
      <c r="N435" s="168"/>
    </row>
    <row r="436">
      <c r="F436" s="168"/>
      <c r="H436" s="168"/>
      <c r="J436" s="100"/>
      <c r="K436" s="168"/>
      <c r="L436" s="168"/>
      <c r="M436" s="168"/>
      <c r="N436" s="168"/>
    </row>
    <row r="437">
      <c r="F437" s="168"/>
      <c r="H437" s="168"/>
      <c r="J437" s="100"/>
      <c r="K437" s="168"/>
      <c r="L437" s="168"/>
      <c r="M437" s="168"/>
      <c r="N437" s="168"/>
    </row>
    <row r="438">
      <c r="F438" s="168"/>
      <c r="H438" s="168"/>
      <c r="J438" s="100"/>
      <c r="K438" s="168"/>
      <c r="L438" s="168"/>
      <c r="M438" s="168"/>
      <c r="N438" s="168"/>
    </row>
    <row r="439">
      <c r="F439" s="168"/>
      <c r="H439" s="168"/>
      <c r="J439" s="100"/>
      <c r="K439" s="168"/>
      <c r="L439" s="168"/>
      <c r="M439" s="168"/>
      <c r="N439" s="168"/>
    </row>
    <row r="440">
      <c r="F440" s="168"/>
      <c r="H440" s="168"/>
      <c r="J440" s="100"/>
      <c r="K440" s="168"/>
      <c r="L440" s="168"/>
      <c r="M440" s="168"/>
      <c r="N440" s="168"/>
    </row>
    <row r="441">
      <c r="F441" s="168"/>
      <c r="H441" s="168"/>
      <c r="J441" s="100"/>
      <c r="K441" s="168"/>
      <c r="L441" s="168"/>
      <c r="M441" s="168"/>
      <c r="N441" s="168"/>
    </row>
    <row r="442">
      <c r="F442" s="168"/>
      <c r="H442" s="168"/>
      <c r="J442" s="100"/>
      <c r="K442" s="168"/>
      <c r="L442" s="168"/>
      <c r="M442" s="168"/>
      <c r="N442" s="168"/>
    </row>
    <row r="443">
      <c r="F443" s="168"/>
      <c r="H443" s="168"/>
      <c r="J443" s="100"/>
      <c r="K443" s="168"/>
      <c r="L443" s="168"/>
      <c r="M443" s="168"/>
      <c r="N443" s="168"/>
    </row>
    <row r="444">
      <c r="F444" s="168"/>
      <c r="H444" s="168"/>
      <c r="J444" s="100"/>
      <c r="K444" s="168"/>
      <c r="L444" s="168"/>
      <c r="M444" s="168"/>
      <c r="N444" s="168"/>
    </row>
    <row r="445">
      <c r="F445" s="168"/>
      <c r="H445" s="168"/>
      <c r="J445" s="100"/>
      <c r="K445" s="168"/>
      <c r="L445" s="168"/>
      <c r="M445" s="168"/>
      <c r="N445" s="168"/>
    </row>
    <row r="446">
      <c r="F446" s="168"/>
      <c r="H446" s="168"/>
      <c r="J446" s="100"/>
      <c r="K446" s="168"/>
      <c r="L446" s="168"/>
      <c r="M446" s="168"/>
      <c r="N446" s="168"/>
    </row>
    <row r="447">
      <c r="F447" s="168"/>
      <c r="H447" s="168"/>
      <c r="J447" s="100"/>
      <c r="K447" s="168"/>
      <c r="L447" s="168"/>
      <c r="M447" s="168"/>
      <c r="N447" s="168"/>
    </row>
    <row r="448">
      <c r="F448" s="168"/>
      <c r="H448" s="168"/>
      <c r="J448" s="100"/>
      <c r="K448" s="168"/>
      <c r="L448" s="168"/>
      <c r="M448" s="168"/>
      <c r="N448" s="168"/>
    </row>
    <row r="449">
      <c r="F449" s="168"/>
      <c r="H449" s="168"/>
      <c r="J449" s="100"/>
      <c r="K449" s="168"/>
      <c r="L449" s="168"/>
      <c r="M449" s="168"/>
      <c r="N449" s="168"/>
    </row>
    <row r="450">
      <c r="F450" s="168"/>
      <c r="H450" s="168"/>
      <c r="J450" s="100"/>
      <c r="K450" s="168"/>
      <c r="L450" s="168"/>
      <c r="M450" s="168"/>
      <c r="N450" s="168"/>
    </row>
    <row r="451">
      <c r="F451" s="168"/>
      <c r="H451" s="168"/>
      <c r="J451" s="100"/>
      <c r="K451" s="168"/>
      <c r="L451" s="168"/>
      <c r="M451" s="168"/>
      <c r="N451" s="168"/>
    </row>
    <row r="452">
      <c r="F452" s="168"/>
      <c r="H452" s="168"/>
      <c r="J452" s="100"/>
      <c r="K452" s="168"/>
      <c r="L452" s="168"/>
      <c r="M452" s="168"/>
      <c r="N452" s="168"/>
    </row>
    <row r="453">
      <c r="F453" s="168"/>
      <c r="H453" s="168"/>
      <c r="J453" s="100"/>
      <c r="K453" s="168"/>
      <c r="L453" s="168"/>
      <c r="M453" s="168"/>
      <c r="N453" s="168"/>
    </row>
    <row r="454">
      <c r="F454" s="168"/>
      <c r="H454" s="168"/>
      <c r="J454" s="100"/>
      <c r="K454" s="168"/>
      <c r="L454" s="168"/>
      <c r="M454" s="168"/>
      <c r="N454" s="168"/>
    </row>
    <row r="455">
      <c r="F455" s="168"/>
      <c r="H455" s="168"/>
      <c r="J455" s="100"/>
      <c r="K455" s="168"/>
      <c r="L455" s="168"/>
      <c r="M455" s="168"/>
      <c r="N455" s="168"/>
    </row>
    <row r="456">
      <c r="F456" s="168"/>
      <c r="H456" s="168"/>
      <c r="J456" s="100"/>
      <c r="K456" s="168"/>
      <c r="L456" s="168"/>
      <c r="M456" s="168"/>
      <c r="N456" s="168"/>
    </row>
    <row r="457">
      <c r="F457" s="168"/>
      <c r="H457" s="168"/>
      <c r="J457" s="100"/>
      <c r="K457" s="168"/>
      <c r="L457" s="168"/>
      <c r="M457" s="168"/>
      <c r="N457" s="168"/>
    </row>
    <row r="458">
      <c r="F458" s="168"/>
      <c r="H458" s="168"/>
      <c r="J458" s="100"/>
      <c r="K458" s="168"/>
      <c r="L458" s="168"/>
      <c r="M458" s="168"/>
      <c r="N458" s="168"/>
    </row>
    <row r="459">
      <c r="F459" s="168"/>
      <c r="H459" s="168"/>
      <c r="J459" s="100"/>
      <c r="K459" s="168"/>
      <c r="L459" s="168"/>
      <c r="M459" s="168"/>
      <c r="N459" s="168"/>
    </row>
    <row r="460">
      <c r="F460" s="168"/>
      <c r="H460" s="168"/>
      <c r="J460" s="100"/>
      <c r="K460" s="168"/>
      <c r="L460" s="168"/>
      <c r="M460" s="168"/>
      <c r="N460" s="168"/>
    </row>
    <row r="461">
      <c r="F461" s="168"/>
      <c r="H461" s="168"/>
      <c r="J461" s="100"/>
      <c r="K461" s="168"/>
      <c r="L461" s="168"/>
      <c r="M461" s="168"/>
      <c r="N461" s="168"/>
    </row>
    <row r="462">
      <c r="F462" s="168"/>
      <c r="H462" s="168"/>
      <c r="J462" s="100"/>
      <c r="K462" s="168"/>
      <c r="L462" s="168"/>
      <c r="M462" s="168"/>
      <c r="N462" s="168"/>
    </row>
    <row r="463">
      <c r="F463" s="168"/>
      <c r="H463" s="168"/>
      <c r="J463" s="100"/>
      <c r="K463" s="168"/>
      <c r="L463" s="168"/>
      <c r="M463" s="168"/>
      <c r="N463" s="168"/>
    </row>
    <row r="464">
      <c r="F464" s="168"/>
      <c r="H464" s="168"/>
      <c r="J464" s="100"/>
      <c r="K464" s="168"/>
      <c r="L464" s="168"/>
      <c r="M464" s="168"/>
      <c r="N464" s="168"/>
    </row>
    <row r="465">
      <c r="F465" s="168"/>
      <c r="H465" s="168"/>
      <c r="J465" s="100"/>
      <c r="K465" s="168"/>
      <c r="L465" s="168"/>
      <c r="M465" s="168"/>
      <c r="N465" s="168"/>
    </row>
    <row r="466">
      <c r="F466" s="168"/>
      <c r="H466" s="168"/>
      <c r="J466" s="100"/>
      <c r="K466" s="168"/>
      <c r="L466" s="168"/>
      <c r="M466" s="168"/>
      <c r="N466" s="168"/>
    </row>
    <row r="467">
      <c r="F467" s="168"/>
      <c r="H467" s="168"/>
      <c r="J467" s="100"/>
      <c r="K467" s="168"/>
      <c r="L467" s="168"/>
      <c r="M467" s="168"/>
      <c r="N467" s="168"/>
    </row>
    <row r="468">
      <c r="F468" s="168"/>
      <c r="H468" s="168"/>
      <c r="J468" s="100"/>
      <c r="K468" s="168"/>
      <c r="L468" s="168"/>
      <c r="M468" s="168"/>
      <c r="N468" s="168"/>
    </row>
    <row r="469">
      <c r="F469" s="168"/>
      <c r="H469" s="168"/>
      <c r="J469" s="100"/>
      <c r="K469" s="168"/>
      <c r="L469" s="168"/>
      <c r="M469" s="168"/>
      <c r="N469" s="168"/>
    </row>
    <row r="470">
      <c r="F470" s="168"/>
      <c r="H470" s="168"/>
      <c r="J470" s="100"/>
      <c r="K470" s="168"/>
      <c r="L470" s="168"/>
      <c r="M470" s="168"/>
      <c r="N470" s="168"/>
    </row>
    <row r="471">
      <c r="F471" s="168"/>
      <c r="H471" s="168"/>
      <c r="J471" s="100"/>
      <c r="K471" s="168"/>
      <c r="L471" s="168"/>
      <c r="M471" s="168"/>
      <c r="N471" s="168"/>
    </row>
    <row r="472">
      <c r="F472" s="168"/>
      <c r="H472" s="168"/>
      <c r="J472" s="100"/>
      <c r="K472" s="168"/>
      <c r="L472" s="168"/>
      <c r="M472" s="168"/>
      <c r="N472" s="168"/>
    </row>
    <row r="473">
      <c r="F473" s="168"/>
      <c r="H473" s="168"/>
      <c r="J473" s="100"/>
      <c r="K473" s="168"/>
      <c r="L473" s="168"/>
      <c r="M473" s="168"/>
      <c r="N473" s="168"/>
    </row>
    <row r="474">
      <c r="F474" s="168"/>
      <c r="H474" s="168"/>
      <c r="J474" s="100"/>
      <c r="K474" s="168"/>
      <c r="L474" s="168"/>
      <c r="M474" s="168"/>
      <c r="N474" s="168"/>
    </row>
    <row r="475">
      <c r="F475" s="168"/>
      <c r="H475" s="168"/>
      <c r="J475" s="100"/>
      <c r="K475" s="168"/>
      <c r="L475" s="168"/>
      <c r="M475" s="168"/>
      <c r="N475" s="168"/>
    </row>
    <row r="476">
      <c r="F476" s="168"/>
      <c r="H476" s="168"/>
      <c r="J476" s="100"/>
      <c r="K476" s="168"/>
      <c r="L476" s="168"/>
      <c r="M476" s="168"/>
      <c r="N476" s="168"/>
    </row>
    <row r="477">
      <c r="F477" s="168"/>
      <c r="H477" s="168"/>
      <c r="J477" s="100"/>
      <c r="K477" s="168"/>
      <c r="L477" s="168"/>
      <c r="M477" s="168"/>
      <c r="N477" s="168"/>
    </row>
    <row r="478">
      <c r="F478" s="168"/>
      <c r="H478" s="168"/>
      <c r="J478" s="100"/>
      <c r="K478" s="168"/>
      <c r="L478" s="168"/>
      <c r="M478" s="168"/>
      <c r="N478" s="168"/>
    </row>
    <row r="479">
      <c r="F479" s="168"/>
      <c r="H479" s="168"/>
      <c r="J479" s="100"/>
      <c r="K479" s="168"/>
      <c r="L479" s="168"/>
      <c r="M479" s="168"/>
      <c r="N479" s="168"/>
    </row>
    <row r="480">
      <c r="F480" s="168"/>
      <c r="H480" s="168"/>
      <c r="J480" s="100"/>
      <c r="K480" s="168"/>
      <c r="L480" s="168"/>
      <c r="M480" s="168"/>
      <c r="N480" s="168"/>
    </row>
    <row r="481">
      <c r="F481" s="168"/>
      <c r="H481" s="168"/>
      <c r="J481" s="100"/>
      <c r="K481" s="168"/>
      <c r="L481" s="168"/>
      <c r="M481" s="168"/>
      <c r="N481" s="168"/>
    </row>
    <row r="482">
      <c r="F482" s="168"/>
      <c r="H482" s="168"/>
      <c r="J482" s="100"/>
      <c r="K482" s="168"/>
      <c r="L482" s="168"/>
      <c r="M482" s="168"/>
      <c r="N482" s="168"/>
    </row>
    <row r="483">
      <c r="F483" s="168"/>
      <c r="H483" s="168"/>
      <c r="J483" s="100"/>
      <c r="K483" s="168"/>
      <c r="L483" s="168"/>
      <c r="M483" s="168"/>
      <c r="N483" s="168"/>
    </row>
    <row r="484">
      <c r="F484" s="168"/>
      <c r="H484" s="168"/>
      <c r="J484" s="100"/>
      <c r="K484" s="168"/>
      <c r="L484" s="168"/>
      <c r="M484" s="168"/>
      <c r="N484" s="168"/>
    </row>
    <row r="485">
      <c r="F485" s="168"/>
      <c r="H485" s="168"/>
      <c r="J485" s="100"/>
      <c r="K485" s="168"/>
      <c r="L485" s="168"/>
      <c r="M485" s="168"/>
      <c r="N485" s="168"/>
    </row>
    <row r="486">
      <c r="F486" s="168"/>
      <c r="H486" s="168"/>
      <c r="J486" s="100"/>
      <c r="K486" s="168"/>
      <c r="L486" s="168"/>
      <c r="M486" s="168"/>
      <c r="N486" s="168"/>
    </row>
    <row r="487">
      <c r="F487" s="168"/>
      <c r="H487" s="168"/>
      <c r="J487" s="100"/>
      <c r="K487" s="168"/>
      <c r="L487" s="168"/>
      <c r="M487" s="168"/>
      <c r="N487" s="168"/>
    </row>
    <row r="488">
      <c r="F488" s="168"/>
      <c r="H488" s="168"/>
      <c r="J488" s="100"/>
      <c r="K488" s="168"/>
      <c r="L488" s="168"/>
      <c r="M488" s="168"/>
      <c r="N488" s="168"/>
    </row>
    <row r="489">
      <c r="F489" s="168"/>
      <c r="H489" s="168"/>
      <c r="J489" s="100"/>
      <c r="K489" s="168"/>
      <c r="L489" s="168"/>
      <c r="M489" s="168"/>
      <c r="N489" s="168"/>
    </row>
    <row r="490">
      <c r="F490" s="168"/>
      <c r="H490" s="168"/>
      <c r="J490" s="100"/>
      <c r="K490" s="168"/>
      <c r="L490" s="168"/>
      <c r="M490" s="168"/>
      <c r="N490" s="168"/>
    </row>
    <row r="491">
      <c r="F491" s="168"/>
      <c r="H491" s="168"/>
      <c r="J491" s="100"/>
      <c r="K491" s="168"/>
      <c r="L491" s="168"/>
      <c r="M491" s="168"/>
      <c r="N491" s="168"/>
    </row>
    <row r="492">
      <c r="F492" s="168"/>
      <c r="H492" s="168"/>
      <c r="J492" s="100"/>
      <c r="K492" s="168"/>
      <c r="L492" s="168"/>
      <c r="M492" s="168"/>
      <c r="N492" s="168"/>
    </row>
    <row r="493">
      <c r="F493" s="168"/>
      <c r="H493" s="168"/>
      <c r="J493" s="100"/>
      <c r="K493" s="168"/>
      <c r="L493" s="168"/>
      <c r="M493" s="168"/>
      <c r="N493" s="168"/>
    </row>
    <row r="494">
      <c r="F494" s="168"/>
      <c r="H494" s="168"/>
      <c r="J494" s="100"/>
      <c r="K494" s="168"/>
      <c r="L494" s="168"/>
      <c r="M494" s="168"/>
      <c r="N494" s="168"/>
    </row>
    <row r="495">
      <c r="F495" s="168"/>
      <c r="H495" s="168"/>
      <c r="J495" s="100"/>
      <c r="K495" s="168"/>
      <c r="L495" s="168"/>
      <c r="M495" s="168"/>
      <c r="N495" s="168"/>
    </row>
    <row r="496">
      <c r="F496" s="168"/>
      <c r="H496" s="168"/>
      <c r="J496" s="100"/>
      <c r="K496" s="168"/>
      <c r="L496" s="168"/>
      <c r="M496" s="168"/>
      <c r="N496" s="168"/>
    </row>
    <row r="497">
      <c r="F497" s="168"/>
      <c r="H497" s="168"/>
      <c r="J497" s="100"/>
      <c r="K497" s="168"/>
      <c r="L497" s="168"/>
      <c r="M497" s="168"/>
      <c r="N497" s="168"/>
    </row>
    <row r="498">
      <c r="F498" s="168"/>
      <c r="H498" s="168"/>
      <c r="J498" s="100"/>
      <c r="K498" s="168"/>
      <c r="L498" s="168"/>
      <c r="M498" s="168"/>
      <c r="N498" s="168"/>
    </row>
    <row r="499">
      <c r="F499" s="168"/>
      <c r="H499" s="168"/>
      <c r="J499" s="100"/>
      <c r="K499" s="168"/>
      <c r="L499" s="168"/>
      <c r="M499" s="168"/>
      <c r="N499" s="168"/>
    </row>
    <row r="500">
      <c r="F500" s="168"/>
      <c r="H500" s="168"/>
      <c r="J500" s="100"/>
      <c r="K500" s="168"/>
      <c r="L500" s="168"/>
      <c r="M500" s="168"/>
      <c r="N500" s="168"/>
    </row>
    <row r="501">
      <c r="F501" s="168"/>
      <c r="H501" s="168"/>
      <c r="J501" s="100"/>
      <c r="K501" s="168"/>
      <c r="L501" s="168"/>
      <c r="M501" s="168"/>
      <c r="N501" s="168"/>
    </row>
    <row r="502">
      <c r="F502" s="168"/>
      <c r="H502" s="168"/>
      <c r="J502" s="100"/>
      <c r="K502" s="168"/>
      <c r="L502" s="168"/>
      <c r="M502" s="168"/>
      <c r="N502" s="168"/>
    </row>
    <row r="503">
      <c r="F503" s="168"/>
      <c r="H503" s="168"/>
      <c r="J503" s="100"/>
      <c r="K503" s="168"/>
      <c r="L503" s="168"/>
      <c r="M503" s="168"/>
      <c r="N503" s="168"/>
    </row>
    <row r="504">
      <c r="F504" s="168"/>
      <c r="H504" s="168"/>
      <c r="J504" s="100"/>
      <c r="K504" s="168"/>
      <c r="L504" s="168"/>
      <c r="M504" s="168"/>
      <c r="N504" s="168"/>
    </row>
    <row r="505">
      <c r="F505" s="168"/>
      <c r="H505" s="168"/>
      <c r="J505" s="100"/>
      <c r="K505" s="168"/>
      <c r="L505" s="168"/>
      <c r="M505" s="168"/>
      <c r="N505" s="168"/>
    </row>
    <row r="506">
      <c r="F506" s="168"/>
      <c r="H506" s="168"/>
      <c r="J506" s="100"/>
      <c r="K506" s="168"/>
      <c r="L506" s="168"/>
      <c r="M506" s="168"/>
      <c r="N506" s="168"/>
    </row>
    <row r="507">
      <c r="F507" s="168"/>
      <c r="H507" s="168"/>
      <c r="J507" s="100"/>
      <c r="K507" s="168"/>
      <c r="L507" s="168"/>
      <c r="M507" s="168"/>
      <c r="N507" s="168"/>
    </row>
    <row r="508">
      <c r="F508" s="168"/>
      <c r="H508" s="168"/>
      <c r="J508" s="100"/>
      <c r="K508" s="168"/>
      <c r="L508" s="168"/>
      <c r="M508" s="168"/>
      <c r="N508" s="168"/>
    </row>
    <row r="509">
      <c r="F509" s="168"/>
      <c r="H509" s="168"/>
      <c r="J509" s="100"/>
      <c r="K509" s="168"/>
      <c r="L509" s="168"/>
      <c r="M509" s="168"/>
      <c r="N509" s="168"/>
    </row>
    <row r="510">
      <c r="F510" s="168"/>
      <c r="H510" s="168"/>
      <c r="J510" s="100"/>
      <c r="K510" s="168"/>
      <c r="L510" s="168"/>
      <c r="M510" s="168"/>
      <c r="N510" s="168"/>
    </row>
    <row r="511">
      <c r="F511" s="168"/>
      <c r="H511" s="168"/>
      <c r="J511" s="100"/>
      <c r="K511" s="168"/>
      <c r="L511" s="168"/>
      <c r="M511" s="168"/>
      <c r="N511" s="168"/>
    </row>
    <row r="512">
      <c r="F512" s="168"/>
      <c r="H512" s="168"/>
      <c r="J512" s="100"/>
      <c r="K512" s="168"/>
      <c r="L512" s="168"/>
      <c r="M512" s="168"/>
      <c r="N512" s="168"/>
    </row>
    <row r="513">
      <c r="F513" s="168"/>
      <c r="H513" s="168"/>
      <c r="J513" s="100"/>
      <c r="K513" s="168"/>
      <c r="L513" s="168"/>
      <c r="M513" s="168"/>
      <c r="N513" s="168"/>
    </row>
    <row r="514">
      <c r="F514" s="168"/>
      <c r="H514" s="168"/>
      <c r="J514" s="100"/>
      <c r="K514" s="168"/>
      <c r="L514" s="168"/>
      <c r="M514" s="168"/>
      <c r="N514" s="168"/>
    </row>
    <row r="515">
      <c r="F515" s="168"/>
      <c r="H515" s="168"/>
      <c r="J515" s="100"/>
      <c r="K515" s="168"/>
      <c r="L515" s="168"/>
      <c r="M515" s="168"/>
      <c r="N515" s="168"/>
    </row>
    <row r="516">
      <c r="F516" s="168"/>
      <c r="H516" s="168"/>
      <c r="J516" s="100"/>
      <c r="K516" s="168"/>
      <c r="L516" s="168"/>
      <c r="M516" s="168"/>
      <c r="N516" s="168"/>
    </row>
    <row r="517">
      <c r="F517" s="168"/>
      <c r="H517" s="168"/>
      <c r="J517" s="100"/>
      <c r="K517" s="168"/>
      <c r="L517" s="168"/>
      <c r="M517" s="168"/>
      <c r="N517" s="168"/>
    </row>
    <row r="518">
      <c r="F518" s="168"/>
      <c r="H518" s="168"/>
      <c r="J518" s="100"/>
      <c r="K518" s="168"/>
      <c r="L518" s="168"/>
      <c r="M518" s="168"/>
      <c r="N518" s="168"/>
    </row>
    <row r="519">
      <c r="F519" s="168"/>
      <c r="H519" s="168"/>
      <c r="J519" s="100"/>
      <c r="K519" s="168"/>
      <c r="L519" s="168"/>
      <c r="M519" s="168"/>
      <c r="N519" s="168"/>
    </row>
    <row r="520">
      <c r="F520" s="168"/>
      <c r="H520" s="168"/>
      <c r="J520" s="100"/>
      <c r="K520" s="168"/>
      <c r="L520" s="168"/>
      <c r="M520" s="168"/>
      <c r="N520" s="168"/>
    </row>
    <row r="521">
      <c r="F521" s="168"/>
      <c r="H521" s="168"/>
      <c r="J521" s="100"/>
      <c r="K521" s="168"/>
      <c r="L521" s="168"/>
      <c r="M521" s="168"/>
      <c r="N521" s="168"/>
    </row>
    <row r="522">
      <c r="F522" s="168"/>
      <c r="H522" s="168"/>
      <c r="J522" s="100"/>
      <c r="K522" s="168"/>
      <c r="L522" s="168"/>
      <c r="M522" s="168"/>
      <c r="N522" s="168"/>
    </row>
    <row r="523">
      <c r="F523" s="168"/>
      <c r="H523" s="168"/>
      <c r="J523" s="100"/>
      <c r="K523" s="168"/>
      <c r="L523" s="168"/>
      <c r="M523" s="168"/>
      <c r="N523" s="168"/>
    </row>
    <row r="524">
      <c r="F524" s="168"/>
      <c r="H524" s="168"/>
      <c r="J524" s="100"/>
      <c r="K524" s="168"/>
      <c r="L524" s="168"/>
      <c r="M524" s="168"/>
      <c r="N524" s="168"/>
    </row>
    <row r="525">
      <c r="F525" s="168"/>
      <c r="H525" s="168"/>
      <c r="J525" s="100"/>
      <c r="K525" s="168"/>
      <c r="L525" s="168"/>
      <c r="M525" s="168"/>
      <c r="N525" s="168"/>
    </row>
    <row r="526">
      <c r="F526" s="168"/>
      <c r="H526" s="168"/>
      <c r="J526" s="100"/>
      <c r="K526" s="168"/>
      <c r="L526" s="168"/>
      <c r="M526" s="168"/>
      <c r="N526" s="168"/>
    </row>
    <row r="527">
      <c r="F527" s="168"/>
      <c r="H527" s="168"/>
      <c r="J527" s="100"/>
      <c r="K527" s="168"/>
      <c r="L527" s="168"/>
      <c r="M527" s="168"/>
      <c r="N527" s="168"/>
    </row>
    <row r="528">
      <c r="F528" s="168"/>
      <c r="H528" s="168"/>
      <c r="J528" s="100"/>
      <c r="K528" s="168"/>
      <c r="L528" s="168"/>
      <c r="M528" s="168"/>
      <c r="N528" s="168"/>
    </row>
    <row r="529">
      <c r="F529" s="168"/>
      <c r="H529" s="168"/>
      <c r="J529" s="100"/>
      <c r="K529" s="168"/>
      <c r="L529" s="168"/>
      <c r="M529" s="168"/>
      <c r="N529" s="168"/>
    </row>
    <row r="530">
      <c r="F530" s="168"/>
      <c r="H530" s="168"/>
      <c r="J530" s="100"/>
      <c r="K530" s="168"/>
      <c r="L530" s="168"/>
      <c r="M530" s="168"/>
      <c r="N530" s="168"/>
    </row>
    <row r="531">
      <c r="F531" s="168"/>
      <c r="H531" s="168"/>
      <c r="J531" s="100"/>
      <c r="K531" s="168"/>
      <c r="L531" s="168"/>
      <c r="M531" s="168"/>
      <c r="N531" s="168"/>
    </row>
    <row r="532">
      <c r="F532" s="168"/>
      <c r="H532" s="168"/>
      <c r="J532" s="100"/>
      <c r="K532" s="168"/>
      <c r="L532" s="168"/>
      <c r="M532" s="168"/>
      <c r="N532" s="168"/>
    </row>
    <row r="533">
      <c r="F533" s="168"/>
      <c r="H533" s="168"/>
      <c r="J533" s="100"/>
      <c r="K533" s="168"/>
      <c r="L533" s="168"/>
      <c r="M533" s="168"/>
      <c r="N533" s="168"/>
    </row>
    <row r="534">
      <c r="F534" s="168"/>
      <c r="H534" s="168"/>
      <c r="J534" s="100"/>
      <c r="K534" s="168"/>
      <c r="L534" s="168"/>
      <c r="M534" s="168"/>
      <c r="N534" s="168"/>
    </row>
    <row r="535">
      <c r="F535" s="168"/>
      <c r="H535" s="168"/>
      <c r="J535" s="100"/>
      <c r="K535" s="168"/>
      <c r="L535" s="168"/>
      <c r="M535" s="168"/>
      <c r="N535" s="168"/>
    </row>
    <row r="536">
      <c r="F536" s="168"/>
      <c r="H536" s="168"/>
      <c r="J536" s="100"/>
      <c r="K536" s="168"/>
      <c r="L536" s="168"/>
      <c r="M536" s="168"/>
      <c r="N536" s="168"/>
    </row>
    <row r="537">
      <c r="F537" s="168"/>
      <c r="H537" s="168"/>
      <c r="J537" s="100"/>
      <c r="K537" s="168"/>
      <c r="L537" s="168"/>
      <c r="M537" s="168"/>
      <c r="N537" s="168"/>
    </row>
    <row r="538">
      <c r="F538" s="168"/>
      <c r="H538" s="168"/>
      <c r="J538" s="100"/>
      <c r="K538" s="168"/>
      <c r="L538" s="168"/>
      <c r="M538" s="168"/>
      <c r="N538" s="168"/>
    </row>
    <row r="539">
      <c r="F539" s="168"/>
      <c r="H539" s="168"/>
      <c r="J539" s="100"/>
      <c r="K539" s="168"/>
      <c r="L539" s="168"/>
      <c r="M539" s="168"/>
      <c r="N539" s="168"/>
    </row>
    <row r="540">
      <c r="F540" s="168"/>
      <c r="H540" s="168"/>
      <c r="J540" s="100"/>
      <c r="K540" s="168"/>
      <c r="L540" s="168"/>
      <c r="M540" s="168"/>
      <c r="N540" s="168"/>
    </row>
    <row r="541">
      <c r="F541" s="168"/>
      <c r="H541" s="168"/>
      <c r="J541" s="100"/>
      <c r="K541" s="168"/>
      <c r="L541" s="168"/>
      <c r="M541" s="168"/>
      <c r="N541" s="168"/>
    </row>
    <row r="542">
      <c r="F542" s="168"/>
      <c r="H542" s="168"/>
      <c r="J542" s="100"/>
      <c r="K542" s="168"/>
      <c r="L542" s="168"/>
      <c r="M542" s="168"/>
      <c r="N542" s="168"/>
    </row>
    <row r="543">
      <c r="F543" s="168"/>
      <c r="H543" s="168"/>
      <c r="J543" s="100"/>
      <c r="K543" s="168"/>
      <c r="L543" s="168"/>
      <c r="M543" s="168"/>
      <c r="N543" s="168"/>
    </row>
    <row r="544">
      <c r="F544" s="168"/>
      <c r="H544" s="168"/>
      <c r="J544" s="100"/>
      <c r="K544" s="168"/>
      <c r="L544" s="168"/>
      <c r="M544" s="168"/>
      <c r="N544" s="168"/>
    </row>
    <row r="545">
      <c r="F545" s="168"/>
      <c r="H545" s="168"/>
      <c r="J545" s="100"/>
      <c r="K545" s="168"/>
      <c r="L545" s="168"/>
      <c r="M545" s="168"/>
      <c r="N545" s="168"/>
    </row>
    <row r="546">
      <c r="F546" s="168"/>
      <c r="H546" s="168"/>
      <c r="J546" s="100"/>
      <c r="K546" s="168"/>
      <c r="L546" s="168"/>
      <c r="M546" s="168"/>
      <c r="N546" s="168"/>
    </row>
    <row r="547">
      <c r="F547" s="168"/>
      <c r="H547" s="168"/>
      <c r="J547" s="100"/>
      <c r="K547" s="168"/>
      <c r="L547" s="168"/>
      <c r="M547" s="168"/>
      <c r="N547" s="168"/>
    </row>
    <row r="548">
      <c r="F548" s="168"/>
      <c r="H548" s="168"/>
      <c r="J548" s="100"/>
      <c r="K548" s="168"/>
      <c r="L548" s="168"/>
      <c r="M548" s="168"/>
      <c r="N548" s="168"/>
    </row>
    <row r="549">
      <c r="F549" s="168"/>
      <c r="H549" s="168"/>
      <c r="J549" s="100"/>
      <c r="K549" s="168"/>
      <c r="L549" s="168"/>
      <c r="M549" s="168"/>
      <c r="N549" s="168"/>
    </row>
    <row r="550">
      <c r="F550" s="168"/>
      <c r="H550" s="168"/>
      <c r="J550" s="100"/>
      <c r="K550" s="168"/>
      <c r="L550" s="168"/>
      <c r="M550" s="168"/>
      <c r="N550" s="168"/>
    </row>
    <row r="551">
      <c r="F551" s="168"/>
      <c r="H551" s="168"/>
      <c r="J551" s="100"/>
      <c r="K551" s="168"/>
      <c r="L551" s="168"/>
      <c r="M551" s="168"/>
      <c r="N551" s="168"/>
    </row>
    <row r="552">
      <c r="F552" s="168"/>
      <c r="H552" s="168"/>
      <c r="J552" s="100"/>
      <c r="K552" s="168"/>
      <c r="L552" s="168"/>
      <c r="M552" s="168"/>
      <c r="N552" s="168"/>
    </row>
    <row r="553">
      <c r="F553" s="168"/>
      <c r="H553" s="168"/>
      <c r="J553" s="100"/>
      <c r="K553" s="168"/>
      <c r="L553" s="168"/>
      <c r="M553" s="168"/>
      <c r="N553" s="168"/>
    </row>
    <row r="554">
      <c r="F554" s="168"/>
      <c r="H554" s="168"/>
      <c r="J554" s="100"/>
      <c r="K554" s="168"/>
      <c r="L554" s="168"/>
      <c r="M554" s="168"/>
      <c r="N554" s="168"/>
    </row>
    <row r="555">
      <c r="F555" s="168"/>
      <c r="H555" s="168"/>
      <c r="J555" s="100"/>
      <c r="K555" s="168"/>
      <c r="L555" s="168"/>
      <c r="M555" s="168"/>
      <c r="N555" s="168"/>
    </row>
    <row r="556">
      <c r="F556" s="168"/>
      <c r="H556" s="168"/>
      <c r="J556" s="100"/>
      <c r="K556" s="168"/>
      <c r="L556" s="168"/>
      <c r="M556" s="168"/>
      <c r="N556" s="168"/>
    </row>
    <row r="557">
      <c r="F557" s="168"/>
      <c r="H557" s="168"/>
      <c r="J557" s="100"/>
      <c r="K557" s="168"/>
      <c r="L557" s="168"/>
      <c r="M557" s="168"/>
      <c r="N557" s="168"/>
    </row>
    <row r="558">
      <c r="F558" s="168"/>
      <c r="H558" s="168"/>
      <c r="J558" s="100"/>
      <c r="K558" s="168"/>
      <c r="L558" s="168"/>
      <c r="M558" s="168"/>
      <c r="N558" s="168"/>
    </row>
    <row r="559">
      <c r="F559" s="168"/>
      <c r="H559" s="168"/>
      <c r="J559" s="100"/>
      <c r="K559" s="168"/>
      <c r="L559" s="168"/>
      <c r="M559" s="168"/>
      <c r="N559" s="168"/>
    </row>
    <row r="560">
      <c r="F560" s="168"/>
      <c r="H560" s="168"/>
      <c r="J560" s="100"/>
      <c r="K560" s="168"/>
      <c r="L560" s="168"/>
      <c r="M560" s="168"/>
      <c r="N560" s="168"/>
    </row>
    <row r="561">
      <c r="F561" s="168"/>
      <c r="H561" s="168"/>
      <c r="J561" s="100"/>
      <c r="K561" s="168"/>
      <c r="L561" s="168"/>
      <c r="M561" s="168"/>
      <c r="N561" s="168"/>
    </row>
    <row r="562">
      <c r="F562" s="168"/>
      <c r="H562" s="168"/>
      <c r="J562" s="100"/>
      <c r="K562" s="168"/>
      <c r="L562" s="168"/>
      <c r="M562" s="168"/>
      <c r="N562" s="168"/>
    </row>
    <row r="563">
      <c r="F563" s="168"/>
      <c r="H563" s="168"/>
      <c r="J563" s="100"/>
      <c r="K563" s="168"/>
      <c r="L563" s="168"/>
      <c r="M563" s="168"/>
      <c r="N563" s="168"/>
    </row>
    <row r="564">
      <c r="F564" s="168"/>
      <c r="H564" s="168"/>
      <c r="J564" s="100"/>
      <c r="K564" s="168"/>
      <c r="L564" s="168"/>
      <c r="M564" s="168"/>
      <c r="N564" s="168"/>
    </row>
    <row r="565">
      <c r="F565" s="168"/>
      <c r="H565" s="168"/>
      <c r="J565" s="100"/>
      <c r="K565" s="168"/>
      <c r="L565" s="168"/>
      <c r="M565" s="168"/>
      <c r="N565" s="168"/>
    </row>
    <row r="566">
      <c r="F566" s="168"/>
      <c r="H566" s="168"/>
      <c r="J566" s="100"/>
      <c r="K566" s="168"/>
      <c r="L566" s="168"/>
      <c r="M566" s="168"/>
      <c r="N566" s="168"/>
    </row>
    <row r="567">
      <c r="F567" s="168"/>
      <c r="H567" s="168"/>
      <c r="J567" s="100"/>
      <c r="K567" s="168"/>
      <c r="L567" s="168"/>
      <c r="M567" s="168"/>
      <c r="N567" s="168"/>
    </row>
    <row r="568">
      <c r="F568" s="168"/>
      <c r="H568" s="168"/>
      <c r="J568" s="100"/>
      <c r="K568" s="168"/>
      <c r="L568" s="168"/>
      <c r="M568" s="168"/>
      <c r="N568" s="168"/>
    </row>
    <row r="569">
      <c r="F569" s="168"/>
      <c r="H569" s="168"/>
      <c r="J569" s="100"/>
      <c r="K569" s="168"/>
      <c r="L569" s="168"/>
      <c r="M569" s="168"/>
      <c r="N569" s="168"/>
    </row>
    <row r="570">
      <c r="F570" s="168"/>
      <c r="H570" s="168"/>
      <c r="J570" s="100"/>
      <c r="K570" s="168"/>
      <c r="L570" s="168"/>
      <c r="M570" s="168"/>
      <c r="N570" s="168"/>
    </row>
    <row r="571">
      <c r="F571" s="168"/>
      <c r="H571" s="168"/>
      <c r="J571" s="100"/>
      <c r="K571" s="168"/>
      <c r="L571" s="168"/>
      <c r="M571" s="168"/>
      <c r="N571" s="168"/>
    </row>
    <row r="572">
      <c r="F572" s="168"/>
      <c r="H572" s="168"/>
      <c r="J572" s="100"/>
      <c r="K572" s="168"/>
      <c r="L572" s="168"/>
      <c r="M572" s="168"/>
      <c r="N572" s="168"/>
    </row>
    <row r="573">
      <c r="F573" s="168"/>
      <c r="H573" s="168"/>
      <c r="J573" s="100"/>
      <c r="K573" s="168"/>
      <c r="L573" s="168"/>
      <c r="M573" s="168"/>
      <c r="N573" s="168"/>
    </row>
    <row r="574">
      <c r="F574" s="168"/>
      <c r="H574" s="168"/>
      <c r="J574" s="100"/>
      <c r="K574" s="168"/>
      <c r="L574" s="168"/>
      <c r="M574" s="168"/>
      <c r="N574" s="168"/>
    </row>
    <row r="575">
      <c r="F575" s="168"/>
      <c r="H575" s="168"/>
      <c r="J575" s="100"/>
      <c r="K575" s="168"/>
      <c r="L575" s="168"/>
      <c r="M575" s="168"/>
      <c r="N575" s="168"/>
    </row>
    <row r="576">
      <c r="F576" s="168"/>
      <c r="H576" s="168"/>
      <c r="J576" s="100"/>
      <c r="K576" s="168"/>
      <c r="L576" s="168"/>
      <c r="M576" s="168"/>
      <c r="N576" s="168"/>
    </row>
    <row r="577">
      <c r="F577" s="168"/>
      <c r="H577" s="168"/>
      <c r="J577" s="100"/>
      <c r="K577" s="168"/>
      <c r="L577" s="168"/>
      <c r="M577" s="168"/>
      <c r="N577" s="168"/>
    </row>
    <row r="578">
      <c r="F578" s="168"/>
      <c r="H578" s="168"/>
      <c r="J578" s="100"/>
      <c r="K578" s="168"/>
      <c r="L578" s="168"/>
      <c r="M578" s="168"/>
      <c r="N578" s="168"/>
    </row>
    <row r="579">
      <c r="F579" s="168"/>
      <c r="H579" s="168"/>
      <c r="J579" s="100"/>
      <c r="K579" s="168"/>
      <c r="L579" s="168"/>
      <c r="M579" s="168"/>
      <c r="N579" s="168"/>
    </row>
    <row r="580">
      <c r="F580" s="168"/>
      <c r="H580" s="168"/>
      <c r="J580" s="100"/>
      <c r="K580" s="168"/>
      <c r="L580" s="168"/>
      <c r="M580" s="168"/>
      <c r="N580" s="168"/>
    </row>
    <row r="581">
      <c r="F581" s="168"/>
      <c r="H581" s="168"/>
      <c r="J581" s="100"/>
      <c r="K581" s="168"/>
      <c r="L581" s="168"/>
      <c r="M581" s="168"/>
      <c r="N581" s="168"/>
    </row>
    <row r="582">
      <c r="F582" s="168"/>
      <c r="H582" s="168"/>
      <c r="J582" s="100"/>
      <c r="K582" s="168"/>
      <c r="L582" s="168"/>
      <c r="M582" s="168"/>
      <c r="N582" s="168"/>
    </row>
    <row r="583">
      <c r="F583" s="168"/>
      <c r="H583" s="168"/>
      <c r="J583" s="100"/>
      <c r="K583" s="168"/>
      <c r="L583" s="168"/>
      <c r="M583" s="168"/>
      <c r="N583" s="168"/>
    </row>
    <row r="584">
      <c r="F584" s="168"/>
      <c r="H584" s="168"/>
      <c r="J584" s="100"/>
      <c r="K584" s="168"/>
      <c r="L584" s="168"/>
      <c r="M584" s="168"/>
      <c r="N584" s="168"/>
    </row>
    <row r="585">
      <c r="F585" s="168"/>
      <c r="H585" s="168"/>
      <c r="J585" s="100"/>
      <c r="K585" s="168"/>
      <c r="L585" s="168"/>
      <c r="M585" s="168"/>
      <c r="N585" s="168"/>
    </row>
    <row r="586">
      <c r="F586" s="168"/>
      <c r="H586" s="168"/>
      <c r="J586" s="100"/>
      <c r="K586" s="168"/>
      <c r="L586" s="168"/>
      <c r="M586" s="168"/>
      <c r="N586" s="168"/>
    </row>
    <row r="587">
      <c r="F587" s="168"/>
      <c r="H587" s="168"/>
      <c r="J587" s="100"/>
      <c r="K587" s="168"/>
      <c r="L587" s="168"/>
      <c r="M587" s="168"/>
      <c r="N587" s="168"/>
    </row>
    <row r="588">
      <c r="F588" s="168"/>
      <c r="H588" s="168"/>
      <c r="J588" s="100"/>
      <c r="K588" s="168"/>
      <c r="L588" s="168"/>
      <c r="M588" s="168"/>
      <c r="N588" s="168"/>
    </row>
    <row r="589">
      <c r="F589" s="168"/>
      <c r="H589" s="168"/>
      <c r="J589" s="100"/>
      <c r="K589" s="168"/>
      <c r="L589" s="168"/>
      <c r="M589" s="168"/>
      <c r="N589" s="168"/>
    </row>
    <row r="590">
      <c r="F590" s="168"/>
      <c r="H590" s="168"/>
      <c r="J590" s="100"/>
      <c r="K590" s="168"/>
      <c r="L590" s="168"/>
      <c r="M590" s="168"/>
      <c r="N590" s="168"/>
    </row>
    <row r="591">
      <c r="F591" s="168"/>
      <c r="H591" s="168"/>
      <c r="J591" s="100"/>
      <c r="K591" s="168"/>
      <c r="L591" s="168"/>
      <c r="M591" s="168"/>
      <c r="N591" s="168"/>
    </row>
    <row r="592">
      <c r="F592" s="168"/>
      <c r="H592" s="168"/>
      <c r="J592" s="100"/>
      <c r="K592" s="168"/>
      <c r="L592" s="168"/>
      <c r="M592" s="168"/>
      <c r="N592" s="168"/>
    </row>
    <row r="593">
      <c r="F593" s="168"/>
      <c r="H593" s="168"/>
      <c r="J593" s="100"/>
      <c r="K593" s="168"/>
      <c r="L593" s="168"/>
      <c r="M593" s="168"/>
      <c r="N593" s="168"/>
    </row>
    <row r="594">
      <c r="F594" s="168"/>
      <c r="H594" s="168"/>
      <c r="J594" s="100"/>
      <c r="K594" s="168"/>
      <c r="L594" s="168"/>
      <c r="M594" s="168"/>
      <c r="N594" s="168"/>
    </row>
    <row r="595">
      <c r="F595" s="168"/>
      <c r="H595" s="168"/>
      <c r="J595" s="100"/>
      <c r="K595" s="168"/>
      <c r="L595" s="168"/>
      <c r="M595" s="168"/>
      <c r="N595" s="168"/>
    </row>
    <row r="596">
      <c r="F596" s="168"/>
      <c r="H596" s="168"/>
      <c r="J596" s="100"/>
      <c r="K596" s="168"/>
      <c r="L596" s="168"/>
      <c r="M596" s="168"/>
      <c r="N596" s="168"/>
    </row>
    <row r="597">
      <c r="F597" s="168"/>
      <c r="H597" s="168"/>
      <c r="J597" s="100"/>
      <c r="K597" s="168"/>
      <c r="L597" s="168"/>
      <c r="M597" s="168"/>
      <c r="N597" s="168"/>
    </row>
    <row r="598">
      <c r="F598" s="168"/>
      <c r="H598" s="168"/>
      <c r="J598" s="100"/>
      <c r="K598" s="168"/>
      <c r="L598" s="168"/>
      <c r="M598" s="168"/>
      <c r="N598" s="168"/>
    </row>
    <row r="599">
      <c r="F599" s="168"/>
      <c r="H599" s="168"/>
      <c r="J599" s="100"/>
      <c r="K599" s="168"/>
      <c r="L599" s="168"/>
      <c r="M599" s="168"/>
      <c r="N599" s="168"/>
    </row>
    <row r="600">
      <c r="F600" s="168"/>
      <c r="H600" s="168"/>
      <c r="J600" s="100"/>
      <c r="K600" s="168"/>
      <c r="L600" s="168"/>
      <c r="M600" s="168"/>
      <c r="N600" s="168"/>
    </row>
    <row r="601">
      <c r="F601" s="168"/>
      <c r="H601" s="168"/>
      <c r="J601" s="100"/>
      <c r="K601" s="168"/>
      <c r="L601" s="168"/>
      <c r="M601" s="168"/>
      <c r="N601" s="168"/>
    </row>
    <row r="602">
      <c r="F602" s="168"/>
      <c r="H602" s="168"/>
      <c r="J602" s="100"/>
      <c r="K602" s="168"/>
      <c r="L602" s="168"/>
      <c r="M602" s="168"/>
      <c r="N602" s="168"/>
    </row>
    <row r="603">
      <c r="F603" s="168"/>
      <c r="H603" s="168"/>
      <c r="J603" s="100"/>
      <c r="K603" s="168"/>
      <c r="L603" s="168"/>
      <c r="M603" s="168"/>
      <c r="N603" s="168"/>
    </row>
    <row r="604">
      <c r="F604" s="168"/>
      <c r="H604" s="168"/>
      <c r="J604" s="100"/>
      <c r="K604" s="168"/>
      <c r="L604" s="168"/>
      <c r="M604" s="168"/>
      <c r="N604" s="168"/>
    </row>
    <row r="605">
      <c r="F605" s="168"/>
      <c r="H605" s="168"/>
      <c r="J605" s="100"/>
      <c r="K605" s="168"/>
      <c r="L605" s="168"/>
      <c r="M605" s="168"/>
      <c r="N605" s="168"/>
    </row>
    <row r="606">
      <c r="F606" s="168"/>
      <c r="H606" s="168"/>
      <c r="J606" s="100"/>
      <c r="K606" s="168"/>
      <c r="L606" s="168"/>
      <c r="M606" s="168"/>
      <c r="N606" s="168"/>
    </row>
    <row r="607">
      <c r="F607" s="168"/>
      <c r="H607" s="168"/>
      <c r="J607" s="100"/>
      <c r="K607" s="168"/>
      <c r="L607" s="168"/>
      <c r="M607" s="168"/>
      <c r="N607" s="168"/>
    </row>
    <row r="608">
      <c r="F608" s="168"/>
      <c r="H608" s="168"/>
      <c r="J608" s="100"/>
      <c r="K608" s="168"/>
      <c r="L608" s="168"/>
      <c r="M608" s="168"/>
      <c r="N608" s="168"/>
    </row>
    <row r="609">
      <c r="F609" s="168"/>
      <c r="H609" s="168"/>
      <c r="J609" s="100"/>
      <c r="K609" s="168"/>
      <c r="L609" s="168"/>
      <c r="M609" s="168"/>
      <c r="N609" s="168"/>
    </row>
    <row r="610">
      <c r="F610" s="168"/>
      <c r="H610" s="168"/>
      <c r="J610" s="100"/>
      <c r="K610" s="168"/>
      <c r="L610" s="168"/>
      <c r="M610" s="168"/>
      <c r="N610" s="168"/>
    </row>
    <row r="611">
      <c r="F611" s="168"/>
      <c r="H611" s="168"/>
      <c r="J611" s="100"/>
      <c r="K611" s="168"/>
      <c r="L611" s="168"/>
      <c r="M611" s="168"/>
      <c r="N611" s="168"/>
    </row>
    <row r="612">
      <c r="F612" s="168"/>
      <c r="H612" s="168"/>
      <c r="J612" s="100"/>
      <c r="K612" s="168"/>
      <c r="L612" s="168"/>
      <c r="M612" s="168"/>
      <c r="N612" s="168"/>
    </row>
    <row r="613">
      <c r="F613" s="168"/>
      <c r="H613" s="168"/>
      <c r="J613" s="100"/>
      <c r="K613" s="168"/>
      <c r="L613" s="168"/>
      <c r="M613" s="168"/>
      <c r="N613" s="168"/>
    </row>
    <row r="614">
      <c r="F614" s="168"/>
      <c r="H614" s="168"/>
      <c r="J614" s="100"/>
      <c r="K614" s="168"/>
      <c r="L614" s="168"/>
      <c r="M614" s="168"/>
      <c r="N614" s="168"/>
    </row>
    <row r="615">
      <c r="F615" s="168"/>
      <c r="H615" s="168"/>
      <c r="J615" s="100"/>
      <c r="K615" s="168"/>
      <c r="L615" s="168"/>
      <c r="M615" s="168"/>
      <c r="N615" s="168"/>
    </row>
    <row r="616">
      <c r="F616" s="168"/>
      <c r="H616" s="168"/>
      <c r="J616" s="100"/>
      <c r="K616" s="168"/>
      <c r="L616" s="168"/>
      <c r="M616" s="168"/>
      <c r="N616" s="168"/>
    </row>
    <row r="617">
      <c r="F617" s="168"/>
      <c r="H617" s="168"/>
      <c r="J617" s="100"/>
      <c r="K617" s="168"/>
      <c r="L617" s="168"/>
      <c r="M617" s="168"/>
      <c r="N617" s="168"/>
    </row>
    <row r="618">
      <c r="F618" s="168"/>
      <c r="H618" s="168"/>
      <c r="J618" s="100"/>
      <c r="K618" s="168"/>
      <c r="L618" s="168"/>
      <c r="M618" s="168"/>
      <c r="N618" s="168"/>
    </row>
    <row r="619">
      <c r="F619" s="168"/>
      <c r="H619" s="168"/>
      <c r="J619" s="100"/>
      <c r="K619" s="168"/>
      <c r="L619" s="168"/>
      <c r="M619" s="168"/>
      <c r="N619" s="168"/>
    </row>
    <row r="620">
      <c r="F620" s="168"/>
      <c r="H620" s="168"/>
      <c r="J620" s="100"/>
      <c r="K620" s="168"/>
      <c r="L620" s="168"/>
      <c r="M620" s="168"/>
      <c r="N620" s="168"/>
    </row>
    <row r="621">
      <c r="F621" s="168"/>
      <c r="H621" s="168"/>
      <c r="J621" s="100"/>
      <c r="K621" s="168"/>
      <c r="L621" s="168"/>
      <c r="M621" s="168"/>
      <c r="N621" s="168"/>
    </row>
    <row r="622">
      <c r="F622" s="168"/>
      <c r="H622" s="168"/>
      <c r="J622" s="100"/>
      <c r="K622" s="168"/>
      <c r="L622" s="168"/>
      <c r="M622" s="168"/>
      <c r="N622" s="168"/>
    </row>
    <row r="623">
      <c r="F623" s="168"/>
      <c r="H623" s="168"/>
      <c r="J623" s="100"/>
      <c r="K623" s="168"/>
      <c r="L623" s="168"/>
      <c r="M623" s="168"/>
      <c r="N623" s="168"/>
    </row>
    <row r="624">
      <c r="F624" s="168"/>
      <c r="H624" s="168"/>
      <c r="J624" s="100"/>
      <c r="K624" s="168"/>
      <c r="L624" s="168"/>
      <c r="M624" s="168"/>
      <c r="N624" s="168"/>
    </row>
    <row r="625">
      <c r="F625" s="168"/>
      <c r="H625" s="168"/>
      <c r="J625" s="100"/>
      <c r="K625" s="168"/>
      <c r="L625" s="168"/>
      <c r="M625" s="168"/>
      <c r="N625" s="168"/>
    </row>
    <row r="626">
      <c r="F626" s="168"/>
      <c r="H626" s="168"/>
      <c r="J626" s="100"/>
      <c r="K626" s="168"/>
      <c r="L626" s="168"/>
      <c r="M626" s="168"/>
      <c r="N626" s="168"/>
    </row>
    <row r="627">
      <c r="F627" s="168"/>
      <c r="H627" s="168"/>
      <c r="J627" s="100"/>
      <c r="K627" s="168"/>
      <c r="L627" s="168"/>
      <c r="M627" s="168"/>
      <c r="N627" s="168"/>
    </row>
    <row r="628">
      <c r="F628" s="168"/>
      <c r="H628" s="168"/>
      <c r="J628" s="100"/>
      <c r="K628" s="168"/>
      <c r="L628" s="168"/>
      <c r="M628" s="168"/>
      <c r="N628" s="168"/>
    </row>
    <row r="629">
      <c r="F629" s="168"/>
      <c r="H629" s="168"/>
      <c r="J629" s="100"/>
      <c r="K629" s="168"/>
      <c r="L629" s="168"/>
      <c r="M629" s="168"/>
      <c r="N629" s="168"/>
    </row>
    <row r="630">
      <c r="F630" s="168"/>
      <c r="H630" s="168"/>
      <c r="J630" s="100"/>
      <c r="K630" s="168"/>
      <c r="L630" s="168"/>
      <c r="M630" s="168"/>
      <c r="N630" s="168"/>
    </row>
    <row r="631">
      <c r="F631" s="168"/>
      <c r="H631" s="168"/>
      <c r="J631" s="100"/>
      <c r="K631" s="168"/>
      <c r="L631" s="168"/>
      <c r="M631" s="168"/>
      <c r="N631" s="168"/>
    </row>
    <row r="632">
      <c r="F632" s="168"/>
      <c r="H632" s="168"/>
      <c r="J632" s="100"/>
      <c r="K632" s="168"/>
      <c r="L632" s="168"/>
      <c r="M632" s="168"/>
      <c r="N632" s="168"/>
    </row>
    <row r="633">
      <c r="F633" s="168"/>
      <c r="H633" s="168"/>
      <c r="J633" s="100"/>
      <c r="K633" s="168"/>
      <c r="L633" s="168"/>
      <c r="M633" s="168"/>
      <c r="N633" s="168"/>
    </row>
    <row r="634">
      <c r="F634" s="168"/>
      <c r="H634" s="168"/>
      <c r="J634" s="100"/>
      <c r="K634" s="168"/>
      <c r="L634" s="168"/>
      <c r="M634" s="168"/>
      <c r="N634" s="168"/>
    </row>
    <row r="635">
      <c r="F635" s="168"/>
      <c r="H635" s="168"/>
      <c r="J635" s="100"/>
      <c r="K635" s="168"/>
      <c r="L635" s="168"/>
      <c r="M635" s="168"/>
      <c r="N635" s="168"/>
    </row>
    <row r="636">
      <c r="F636" s="168"/>
      <c r="H636" s="168"/>
      <c r="J636" s="100"/>
      <c r="K636" s="168"/>
      <c r="L636" s="168"/>
      <c r="M636" s="168"/>
      <c r="N636" s="168"/>
    </row>
    <row r="637">
      <c r="F637" s="168"/>
      <c r="H637" s="168"/>
      <c r="J637" s="100"/>
      <c r="K637" s="168"/>
      <c r="L637" s="168"/>
      <c r="M637" s="168"/>
      <c r="N637" s="168"/>
    </row>
    <row r="638">
      <c r="F638" s="168"/>
      <c r="H638" s="168"/>
      <c r="J638" s="100"/>
      <c r="K638" s="168"/>
      <c r="L638" s="168"/>
      <c r="M638" s="168"/>
      <c r="N638" s="168"/>
    </row>
    <row r="639">
      <c r="F639" s="168"/>
      <c r="H639" s="168"/>
      <c r="J639" s="100"/>
      <c r="K639" s="168"/>
      <c r="L639" s="168"/>
      <c r="M639" s="168"/>
      <c r="N639" s="168"/>
    </row>
    <row r="640">
      <c r="F640" s="168"/>
      <c r="H640" s="168"/>
      <c r="J640" s="100"/>
      <c r="K640" s="168"/>
      <c r="L640" s="168"/>
      <c r="M640" s="168"/>
      <c r="N640" s="168"/>
    </row>
    <row r="641">
      <c r="F641" s="168"/>
      <c r="H641" s="168"/>
      <c r="J641" s="100"/>
      <c r="K641" s="168"/>
      <c r="L641" s="168"/>
      <c r="M641" s="168"/>
      <c r="N641" s="168"/>
    </row>
    <row r="642">
      <c r="F642" s="168"/>
      <c r="H642" s="168"/>
      <c r="J642" s="100"/>
      <c r="K642" s="168"/>
      <c r="L642" s="168"/>
      <c r="M642" s="168"/>
      <c r="N642" s="168"/>
    </row>
    <row r="643">
      <c r="F643" s="168"/>
      <c r="H643" s="168"/>
      <c r="J643" s="100"/>
      <c r="K643" s="168"/>
      <c r="L643" s="168"/>
      <c r="M643" s="168"/>
      <c r="N643" s="168"/>
    </row>
    <row r="644">
      <c r="F644" s="168"/>
      <c r="H644" s="168"/>
      <c r="J644" s="100"/>
      <c r="K644" s="168"/>
      <c r="L644" s="168"/>
      <c r="M644" s="168"/>
      <c r="N644" s="168"/>
    </row>
    <row r="645">
      <c r="F645" s="168"/>
      <c r="H645" s="168"/>
      <c r="J645" s="100"/>
      <c r="K645" s="168"/>
      <c r="L645" s="168"/>
      <c r="M645" s="168"/>
      <c r="N645" s="168"/>
    </row>
    <row r="646">
      <c r="F646" s="168"/>
      <c r="H646" s="168"/>
      <c r="J646" s="100"/>
      <c r="K646" s="168"/>
      <c r="L646" s="168"/>
      <c r="M646" s="168"/>
      <c r="N646" s="168"/>
    </row>
    <row r="647">
      <c r="F647" s="168"/>
      <c r="H647" s="168"/>
      <c r="J647" s="100"/>
      <c r="K647" s="168"/>
      <c r="L647" s="168"/>
      <c r="M647" s="168"/>
      <c r="N647" s="168"/>
    </row>
    <row r="648">
      <c r="F648" s="168"/>
      <c r="H648" s="168"/>
      <c r="J648" s="100"/>
      <c r="K648" s="168"/>
      <c r="L648" s="168"/>
      <c r="M648" s="168"/>
      <c r="N648" s="168"/>
    </row>
    <row r="649">
      <c r="F649" s="168"/>
      <c r="H649" s="168"/>
      <c r="J649" s="100"/>
      <c r="K649" s="168"/>
      <c r="L649" s="168"/>
      <c r="M649" s="168"/>
      <c r="N649" s="168"/>
    </row>
    <row r="650">
      <c r="F650" s="168"/>
      <c r="H650" s="168"/>
      <c r="J650" s="100"/>
      <c r="K650" s="168"/>
      <c r="L650" s="168"/>
      <c r="M650" s="168"/>
      <c r="N650" s="168"/>
    </row>
    <row r="651">
      <c r="F651" s="168"/>
      <c r="H651" s="168"/>
      <c r="J651" s="100"/>
      <c r="K651" s="168"/>
      <c r="L651" s="168"/>
      <c r="M651" s="168"/>
      <c r="N651" s="168"/>
    </row>
    <row r="652">
      <c r="F652" s="168"/>
      <c r="H652" s="168"/>
      <c r="J652" s="100"/>
      <c r="K652" s="168"/>
      <c r="L652" s="168"/>
      <c r="M652" s="168"/>
      <c r="N652" s="168"/>
    </row>
    <row r="653">
      <c r="F653" s="168"/>
      <c r="H653" s="168"/>
      <c r="J653" s="100"/>
      <c r="K653" s="168"/>
      <c r="L653" s="168"/>
      <c r="M653" s="168"/>
      <c r="N653" s="168"/>
    </row>
    <row r="654">
      <c r="F654" s="168"/>
      <c r="H654" s="168"/>
      <c r="J654" s="100"/>
      <c r="K654" s="168"/>
      <c r="L654" s="168"/>
      <c r="M654" s="168"/>
      <c r="N654" s="168"/>
    </row>
    <row r="655">
      <c r="F655" s="168"/>
      <c r="H655" s="168"/>
      <c r="J655" s="100"/>
      <c r="K655" s="168"/>
      <c r="L655" s="168"/>
      <c r="M655" s="168"/>
      <c r="N655" s="168"/>
    </row>
    <row r="656">
      <c r="F656" s="168"/>
      <c r="H656" s="168"/>
      <c r="J656" s="100"/>
      <c r="K656" s="168"/>
      <c r="L656" s="168"/>
      <c r="M656" s="168"/>
      <c r="N656" s="168"/>
    </row>
    <row r="657">
      <c r="F657" s="168"/>
      <c r="H657" s="168"/>
      <c r="J657" s="100"/>
      <c r="K657" s="168"/>
      <c r="L657" s="168"/>
      <c r="M657" s="168"/>
      <c r="N657" s="168"/>
    </row>
    <row r="658">
      <c r="F658" s="168"/>
      <c r="H658" s="168"/>
      <c r="J658" s="100"/>
      <c r="K658" s="168"/>
      <c r="L658" s="168"/>
      <c r="M658" s="168"/>
      <c r="N658" s="168"/>
    </row>
    <row r="659">
      <c r="F659" s="168"/>
      <c r="H659" s="168"/>
      <c r="J659" s="100"/>
      <c r="K659" s="168"/>
      <c r="L659" s="168"/>
      <c r="M659" s="168"/>
      <c r="N659" s="168"/>
    </row>
    <row r="660">
      <c r="F660" s="168"/>
      <c r="H660" s="168"/>
      <c r="J660" s="100"/>
      <c r="K660" s="168"/>
      <c r="L660" s="168"/>
      <c r="M660" s="168"/>
      <c r="N660" s="168"/>
    </row>
    <row r="661">
      <c r="F661" s="168"/>
      <c r="H661" s="168"/>
      <c r="J661" s="100"/>
      <c r="K661" s="168"/>
      <c r="L661" s="168"/>
      <c r="M661" s="168"/>
      <c r="N661" s="168"/>
    </row>
    <row r="662">
      <c r="F662" s="168"/>
      <c r="H662" s="168"/>
      <c r="J662" s="100"/>
      <c r="K662" s="168"/>
      <c r="L662" s="168"/>
      <c r="M662" s="168"/>
      <c r="N662" s="168"/>
    </row>
    <row r="663">
      <c r="F663" s="168"/>
      <c r="H663" s="168"/>
      <c r="J663" s="100"/>
      <c r="K663" s="168"/>
      <c r="L663" s="168"/>
      <c r="M663" s="168"/>
      <c r="N663" s="168"/>
    </row>
    <row r="664">
      <c r="F664" s="168"/>
      <c r="H664" s="168"/>
      <c r="J664" s="100"/>
      <c r="K664" s="168"/>
      <c r="L664" s="168"/>
      <c r="M664" s="168"/>
      <c r="N664" s="168"/>
    </row>
    <row r="665">
      <c r="F665" s="168"/>
      <c r="H665" s="168"/>
      <c r="J665" s="100"/>
      <c r="K665" s="168"/>
      <c r="L665" s="168"/>
      <c r="M665" s="168"/>
      <c r="N665" s="168"/>
    </row>
    <row r="666">
      <c r="F666" s="168"/>
      <c r="H666" s="168"/>
      <c r="J666" s="100"/>
      <c r="K666" s="168"/>
      <c r="L666" s="168"/>
      <c r="M666" s="168"/>
      <c r="N666" s="168"/>
    </row>
    <row r="667">
      <c r="F667" s="168"/>
      <c r="H667" s="168"/>
      <c r="J667" s="100"/>
      <c r="K667" s="168"/>
      <c r="L667" s="168"/>
      <c r="M667" s="168"/>
      <c r="N667" s="168"/>
    </row>
    <row r="668">
      <c r="F668" s="168"/>
      <c r="H668" s="168"/>
      <c r="J668" s="100"/>
      <c r="K668" s="168"/>
      <c r="L668" s="168"/>
      <c r="M668" s="168"/>
      <c r="N668" s="168"/>
    </row>
    <row r="669">
      <c r="F669" s="168"/>
      <c r="H669" s="168"/>
      <c r="J669" s="100"/>
      <c r="K669" s="168"/>
      <c r="L669" s="168"/>
      <c r="M669" s="168"/>
      <c r="N669" s="168"/>
    </row>
    <row r="670">
      <c r="F670" s="168"/>
      <c r="H670" s="168"/>
      <c r="J670" s="100"/>
      <c r="K670" s="168"/>
      <c r="L670" s="168"/>
      <c r="M670" s="168"/>
      <c r="N670" s="168"/>
    </row>
    <row r="671">
      <c r="F671" s="168"/>
      <c r="H671" s="168"/>
      <c r="J671" s="100"/>
      <c r="K671" s="168"/>
      <c r="L671" s="168"/>
      <c r="M671" s="168"/>
      <c r="N671" s="168"/>
    </row>
    <row r="672">
      <c r="F672" s="168"/>
      <c r="H672" s="168"/>
      <c r="J672" s="100"/>
      <c r="K672" s="168"/>
      <c r="L672" s="168"/>
      <c r="M672" s="168"/>
      <c r="N672" s="168"/>
    </row>
    <row r="673">
      <c r="F673" s="168"/>
      <c r="H673" s="168"/>
      <c r="J673" s="100"/>
      <c r="K673" s="168"/>
      <c r="L673" s="168"/>
      <c r="M673" s="168"/>
      <c r="N673" s="168"/>
    </row>
    <row r="674">
      <c r="F674" s="168"/>
      <c r="H674" s="168"/>
      <c r="J674" s="100"/>
      <c r="K674" s="168"/>
      <c r="L674" s="168"/>
      <c r="M674" s="168"/>
      <c r="N674" s="168"/>
    </row>
    <row r="675">
      <c r="F675" s="168"/>
      <c r="H675" s="168"/>
      <c r="J675" s="100"/>
      <c r="K675" s="168"/>
      <c r="L675" s="168"/>
      <c r="M675" s="168"/>
      <c r="N675" s="168"/>
    </row>
    <row r="676">
      <c r="F676" s="168"/>
      <c r="H676" s="168"/>
      <c r="J676" s="100"/>
      <c r="K676" s="168"/>
      <c r="L676" s="168"/>
      <c r="M676" s="168"/>
      <c r="N676" s="168"/>
    </row>
    <row r="677">
      <c r="F677" s="168"/>
      <c r="H677" s="168"/>
      <c r="J677" s="100"/>
      <c r="K677" s="168"/>
      <c r="L677" s="168"/>
      <c r="M677" s="168"/>
      <c r="N677" s="168"/>
    </row>
    <row r="678">
      <c r="F678" s="168"/>
      <c r="H678" s="168"/>
      <c r="J678" s="100"/>
      <c r="K678" s="168"/>
      <c r="L678" s="168"/>
      <c r="M678" s="168"/>
      <c r="N678" s="168"/>
    </row>
    <row r="679">
      <c r="F679" s="168"/>
      <c r="H679" s="168"/>
      <c r="J679" s="100"/>
      <c r="K679" s="168"/>
      <c r="L679" s="168"/>
      <c r="M679" s="168"/>
      <c r="N679" s="168"/>
    </row>
    <row r="680">
      <c r="F680" s="168"/>
      <c r="H680" s="168"/>
      <c r="J680" s="100"/>
      <c r="K680" s="168"/>
      <c r="L680" s="168"/>
      <c r="M680" s="168"/>
      <c r="N680" s="168"/>
    </row>
    <row r="681">
      <c r="F681" s="168"/>
      <c r="H681" s="168"/>
      <c r="J681" s="100"/>
      <c r="K681" s="168"/>
      <c r="L681" s="168"/>
      <c r="M681" s="168"/>
      <c r="N681" s="168"/>
    </row>
    <row r="682">
      <c r="F682" s="168"/>
      <c r="H682" s="168"/>
      <c r="J682" s="100"/>
      <c r="K682" s="168"/>
      <c r="L682" s="168"/>
      <c r="M682" s="168"/>
      <c r="N682" s="168"/>
    </row>
    <row r="683">
      <c r="F683" s="168"/>
      <c r="H683" s="168"/>
      <c r="J683" s="100"/>
      <c r="K683" s="168"/>
      <c r="L683" s="168"/>
      <c r="M683" s="168"/>
      <c r="N683" s="168"/>
    </row>
    <row r="684">
      <c r="F684" s="168"/>
      <c r="H684" s="168"/>
      <c r="J684" s="100"/>
      <c r="K684" s="168"/>
      <c r="L684" s="168"/>
      <c r="M684" s="168"/>
      <c r="N684" s="168"/>
    </row>
    <row r="685">
      <c r="F685" s="168"/>
      <c r="H685" s="168"/>
      <c r="J685" s="100"/>
      <c r="K685" s="168"/>
      <c r="L685" s="168"/>
      <c r="M685" s="168"/>
      <c r="N685" s="168"/>
    </row>
    <row r="686">
      <c r="F686" s="168"/>
      <c r="H686" s="168"/>
      <c r="J686" s="100"/>
      <c r="K686" s="168"/>
      <c r="L686" s="168"/>
      <c r="M686" s="168"/>
      <c r="N686" s="168"/>
    </row>
    <row r="687">
      <c r="F687" s="168"/>
      <c r="H687" s="168"/>
      <c r="J687" s="100"/>
      <c r="K687" s="168"/>
      <c r="L687" s="168"/>
      <c r="M687" s="168"/>
      <c r="N687" s="168"/>
    </row>
    <row r="688">
      <c r="F688" s="168"/>
      <c r="H688" s="168"/>
      <c r="J688" s="100"/>
      <c r="K688" s="168"/>
      <c r="L688" s="168"/>
      <c r="M688" s="168"/>
      <c r="N688" s="168"/>
    </row>
    <row r="689">
      <c r="F689" s="168"/>
      <c r="H689" s="168"/>
      <c r="J689" s="100"/>
      <c r="K689" s="168"/>
      <c r="L689" s="168"/>
      <c r="M689" s="168"/>
      <c r="N689" s="168"/>
    </row>
    <row r="690">
      <c r="F690" s="168"/>
      <c r="H690" s="168"/>
      <c r="J690" s="100"/>
      <c r="K690" s="168"/>
      <c r="L690" s="168"/>
      <c r="M690" s="168"/>
      <c r="N690" s="168"/>
    </row>
    <row r="691">
      <c r="F691" s="168"/>
      <c r="H691" s="168"/>
      <c r="J691" s="100"/>
      <c r="K691" s="168"/>
      <c r="L691" s="168"/>
      <c r="M691" s="168"/>
      <c r="N691" s="168"/>
    </row>
    <row r="692">
      <c r="F692" s="168"/>
      <c r="H692" s="168"/>
      <c r="J692" s="100"/>
      <c r="K692" s="168"/>
      <c r="L692" s="168"/>
      <c r="M692" s="168"/>
      <c r="N692" s="168"/>
    </row>
    <row r="693">
      <c r="F693" s="168"/>
      <c r="H693" s="168"/>
      <c r="J693" s="100"/>
      <c r="K693" s="168"/>
      <c r="L693" s="168"/>
      <c r="M693" s="168"/>
      <c r="N693" s="168"/>
    </row>
    <row r="694">
      <c r="F694" s="168"/>
      <c r="H694" s="168"/>
      <c r="J694" s="100"/>
      <c r="K694" s="168"/>
      <c r="L694" s="168"/>
      <c r="M694" s="168"/>
      <c r="N694" s="168"/>
    </row>
    <row r="695">
      <c r="F695" s="168"/>
      <c r="H695" s="168"/>
      <c r="J695" s="100"/>
      <c r="K695" s="168"/>
      <c r="L695" s="168"/>
      <c r="M695" s="168"/>
      <c r="N695" s="168"/>
    </row>
    <row r="696">
      <c r="F696" s="168"/>
      <c r="H696" s="168"/>
      <c r="J696" s="100"/>
      <c r="K696" s="168"/>
      <c r="L696" s="168"/>
      <c r="M696" s="168"/>
      <c r="N696" s="168"/>
    </row>
    <row r="697">
      <c r="F697" s="168"/>
      <c r="H697" s="168"/>
      <c r="J697" s="100"/>
      <c r="K697" s="168"/>
      <c r="L697" s="168"/>
      <c r="M697" s="168"/>
      <c r="N697" s="168"/>
    </row>
    <row r="698">
      <c r="F698" s="168"/>
      <c r="H698" s="168"/>
      <c r="J698" s="100"/>
      <c r="K698" s="168"/>
      <c r="L698" s="168"/>
      <c r="M698" s="168"/>
      <c r="N698" s="168"/>
    </row>
    <row r="699">
      <c r="F699" s="168"/>
      <c r="H699" s="168"/>
      <c r="J699" s="100"/>
      <c r="K699" s="168"/>
      <c r="L699" s="168"/>
      <c r="M699" s="168"/>
      <c r="N699" s="168"/>
    </row>
    <row r="700">
      <c r="F700" s="168"/>
      <c r="H700" s="168"/>
      <c r="J700" s="100"/>
      <c r="K700" s="168"/>
      <c r="L700" s="168"/>
      <c r="M700" s="168"/>
      <c r="N700" s="168"/>
    </row>
    <row r="701">
      <c r="F701" s="168"/>
      <c r="H701" s="168"/>
      <c r="J701" s="100"/>
      <c r="K701" s="168"/>
      <c r="L701" s="168"/>
      <c r="M701" s="168"/>
      <c r="N701" s="168"/>
    </row>
    <row r="702">
      <c r="F702" s="168"/>
      <c r="H702" s="168"/>
      <c r="J702" s="100"/>
      <c r="K702" s="168"/>
      <c r="L702" s="168"/>
      <c r="M702" s="168"/>
      <c r="N702" s="168"/>
    </row>
    <row r="703">
      <c r="F703" s="168"/>
      <c r="H703" s="168"/>
      <c r="J703" s="100"/>
      <c r="K703" s="168"/>
      <c r="L703" s="168"/>
      <c r="M703" s="168"/>
      <c r="N703" s="168"/>
    </row>
    <row r="704">
      <c r="F704" s="168"/>
      <c r="H704" s="168"/>
      <c r="J704" s="100"/>
      <c r="K704" s="168"/>
      <c r="L704" s="168"/>
      <c r="M704" s="168"/>
      <c r="N704" s="168"/>
    </row>
    <row r="705">
      <c r="F705" s="168"/>
      <c r="H705" s="168"/>
      <c r="J705" s="100"/>
      <c r="K705" s="168"/>
      <c r="L705" s="168"/>
      <c r="M705" s="168"/>
      <c r="N705" s="168"/>
    </row>
    <row r="706">
      <c r="F706" s="168"/>
      <c r="H706" s="168"/>
      <c r="J706" s="100"/>
      <c r="K706" s="168"/>
      <c r="L706" s="168"/>
      <c r="M706" s="168"/>
      <c r="N706" s="168"/>
    </row>
    <row r="707">
      <c r="F707" s="168"/>
      <c r="H707" s="168"/>
      <c r="J707" s="100"/>
      <c r="K707" s="168"/>
      <c r="L707" s="168"/>
      <c r="M707" s="168"/>
      <c r="N707" s="168"/>
    </row>
    <row r="708">
      <c r="F708" s="168"/>
      <c r="H708" s="168"/>
      <c r="J708" s="100"/>
      <c r="K708" s="168"/>
      <c r="L708" s="168"/>
      <c r="M708" s="168"/>
      <c r="N708" s="168"/>
    </row>
    <row r="709">
      <c r="F709" s="168"/>
      <c r="H709" s="168"/>
      <c r="J709" s="100"/>
      <c r="K709" s="168"/>
      <c r="L709" s="168"/>
      <c r="M709" s="168"/>
      <c r="N709" s="168"/>
    </row>
    <row r="710">
      <c r="F710" s="168"/>
      <c r="H710" s="168"/>
      <c r="J710" s="100"/>
      <c r="K710" s="168"/>
      <c r="L710" s="168"/>
      <c r="M710" s="168"/>
      <c r="N710" s="168"/>
    </row>
    <row r="711">
      <c r="F711" s="168"/>
      <c r="H711" s="168"/>
      <c r="J711" s="100"/>
      <c r="K711" s="168"/>
      <c r="L711" s="168"/>
      <c r="M711" s="168"/>
      <c r="N711" s="168"/>
    </row>
    <row r="712">
      <c r="F712" s="168"/>
      <c r="H712" s="168"/>
      <c r="J712" s="100"/>
      <c r="K712" s="168"/>
      <c r="L712" s="168"/>
      <c r="M712" s="168"/>
      <c r="N712" s="168"/>
    </row>
    <row r="713">
      <c r="F713" s="168"/>
      <c r="H713" s="168"/>
      <c r="J713" s="100"/>
      <c r="K713" s="168"/>
      <c r="L713" s="168"/>
      <c r="M713" s="168"/>
      <c r="N713" s="168"/>
    </row>
    <row r="714">
      <c r="F714" s="168"/>
      <c r="H714" s="168"/>
      <c r="J714" s="100"/>
      <c r="K714" s="168"/>
      <c r="L714" s="168"/>
      <c r="M714" s="168"/>
      <c r="N714" s="168"/>
    </row>
    <row r="715">
      <c r="F715" s="168"/>
      <c r="H715" s="168"/>
      <c r="J715" s="100"/>
      <c r="K715" s="168"/>
      <c r="L715" s="168"/>
      <c r="M715" s="168"/>
      <c r="N715" s="168"/>
    </row>
    <row r="716">
      <c r="F716" s="168"/>
      <c r="H716" s="168"/>
      <c r="J716" s="100"/>
      <c r="K716" s="168"/>
      <c r="L716" s="168"/>
      <c r="M716" s="168"/>
      <c r="N716" s="168"/>
    </row>
    <row r="717">
      <c r="F717" s="168"/>
      <c r="H717" s="168"/>
      <c r="J717" s="100"/>
      <c r="K717" s="168"/>
      <c r="L717" s="168"/>
      <c r="M717" s="168"/>
      <c r="N717" s="168"/>
    </row>
    <row r="718">
      <c r="F718" s="168"/>
      <c r="H718" s="168"/>
      <c r="J718" s="100"/>
      <c r="K718" s="168"/>
      <c r="L718" s="168"/>
      <c r="M718" s="168"/>
      <c r="N718" s="168"/>
    </row>
    <row r="719">
      <c r="F719" s="168"/>
      <c r="H719" s="168"/>
      <c r="J719" s="100"/>
      <c r="K719" s="168"/>
      <c r="L719" s="168"/>
      <c r="M719" s="168"/>
      <c r="N719" s="168"/>
    </row>
    <row r="720">
      <c r="F720" s="168"/>
      <c r="H720" s="168"/>
      <c r="J720" s="100"/>
      <c r="K720" s="168"/>
      <c r="L720" s="168"/>
      <c r="M720" s="168"/>
      <c r="N720" s="168"/>
    </row>
    <row r="721">
      <c r="F721" s="168"/>
      <c r="H721" s="168"/>
      <c r="J721" s="100"/>
      <c r="K721" s="168"/>
      <c r="L721" s="168"/>
      <c r="M721" s="168"/>
      <c r="N721" s="168"/>
    </row>
    <row r="722">
      <c r="F722" s="168"/>
      <c r="H722" s="168"/>
      <c r="J722" s="100"/>
      <c r="K722" s="168"/>
      <c r="L722" s="168"/>
      <c r="M722" s="168"/>
      <c r="N722" s="168"/>
    </row>
    <row r="723">
      <c r="F723" s="168"/>
      <c r="H723" s="168"/>
      <c r="J723" s="100"/>
      <c r="K723" s="168"/>
      <c r="L723" s="168"/>
      <c r="M723" s="168"/>
      <c r="N723" s="168"/>
    </row>
    <row r="724">
      <c r="F724" s="168"/>
      <c r="H724" s="168"/>
      <c r="J724" s="100"/>
      <c r="K724" s="168"/>
      <c r="L724" s="168"/>
      <c r="M724" s="168"/>
      <c r="N724" s="168"/>
    </row>
    <row r="725">
      <c r="F725" s="168"/>
      <c r="H725" s="168"/>
      <c r="J725" s="100"/>
      <c r="K725" s="168"/>
      <c r="L725" s="168"/>
      <c r="M725" s="168"/>
      <c r="N725" s="168"/>
    </row>
    <row r="726">
      <c r="F726" s="168"/>
      <c r="H726" s="168"/>
      <c r="J726" s="100"/>
      <c r="K726" s="168"/>
      <c r="L726" s="168"/>
      <c r="M726" s="168"/>
      <c r="N726" s="168"/>
    </row>
    <row r="727">
      <c r="F727" s="168"/>
      <c r="H727" s="168"/>
      <c r="J727" s="100"/>
      <c r="K727" s="168"/>
      <c r="L727" s="168"/>
      <c r="M727" s="168"/>
      <c r="N727" s="168"/>
    </row>
    <row r="728">
      <c r="F728" s="168"/>
      <c r="H728" s="168"/>
      <c r="J728" s="100"/>
      <c r="K728" s="168"/>
      <c r="L728" s="168"/>
      <c r="M728" s="168"/>
      <c r="N728" s="168"/>
    </row>
    <row r="729">
      <c r="F729" s="168"/>
      <c r="H729" s="168"/>
      <c r="J729" s="100"/>
      <c r="K729" s="168"/>
      <c r="L729" s="168"/>
      <c r="M729" s="168"/>
      <c r="N729" s="168"/>
    </row>
    <row r="730">
      <c r="F730" s="168"/>
      <c r="H730" s="168"/>
      <c r="J730" s="100"/>
      <c r="K730" s="168"/>
      <c r="L730" s="168"/>
      <c r="M730" s="168"/>
      <c r="N730" s="168"/>
    </row>
    <row r="731">
      <c r="F731" s="168"/>
      <c r="H731" s="168"/>
      <c r="J731" s="100"/>
      <c r="K731" s="168"/>
      <c r="L731" s="168"/>
      <c r="M731" s="168"/>
      <c r="N731" s="168"/>
    </row>
    <row r="732">
      <c r="F732" s="168"/>
      <c r="H732" s="168"/>
      <c r="J732" s="100"/>
      <c r="K732" s="168"/>
      <c r="L732" s="168"/>
      <c r="M732" s="168"/>
      <c r="N732" s="168"/>
    </row>
    <row r="733">
      <c r="F733" s="168"/>
      <c r="H733" s="168"/>
      <c r="J733" s="100"/>
      <c r="K733" s="168"/>
      <c r="L733" s="168"/>
      <c r="M733" s="168"/>
      <c r="N733" s="168"/>
    </row>
    <row r="734">
      <c r="F734" s="168"/>
      <c r="H734" s="168"/>
      <c r="J734" s="100"/>
      <c r="K734" s="168"/>
      <c r="L734" s="168"/>
      <c r="M734" s="168"/>
      <c r="N734" s="168"/>
    </row>
    <row r="735">
      <c r="F735" s="168"/>
      <c r="H735" s="168"/>
      <c r="J735" s="100"/>
      <c r="K735" s="168"/>
      <c r="L735" s="168"/>
      <c r="M735" s="168"/>
      <c r="N735" s="168"/>
    </row>
    <row r="736">
      <c r="F736" s="168"/>
      <c r="H736" s="168"/>
      <c r="J736" s="100"/>
      <c r="K736" s="168"/>
      <c r="L736" s="168"/>
      <c r="M736" s="168"/>
      <c r="N736" s="168"/>
    </row>
    <row r="737">
      <c r="F737" s="168"/>
      <c r="H737" s="168"/>
      <c r="J737" s="100"/>
      <c r="K737" s="168"/>
      <c r="L737" s="168"/>
      <c r="M737" s="168"/>
      <c r="N737" s="168"/>
    </row>
    <row r="738">
      <c r="F738" s="168"/>
      <c r="H738" s="168"/>
      <c r="J738" s="100"/>
      <c r="K738" s="168"/>
      <c r="L738" s="168"/>
      <c r="M738" s="168"/>
      <c r="N738" s="168"/>
    </row>
    <row r="739">
      <c r="F739" s="168"/>
      <c r="H739" s="168"/>
      <c r="J739" s="100"/>
      <c r="K739" s="168"/>
      <c r="L739" s="168"/>
      <c r="M739" s="168"/>
      <c r="N739" s="168"/>
    </row>
    <row r="740">
      <c r="F740" s="168"/>
      <c r="H740" s="168"/>
      <c r="J740" s="100"/>
      <c r="K740" s="168"/>
      <c r="L740" s="168"/>
      <c r="M740" s="168"/>
      <c r="N740" s="168"/>
    </row>
    <row r="741">
      <c r="F741" s="168"/>
      <c r="H741" s="168"/>
      <c r="J741" s="100"/>
      <c r="K741" s="168"/>
      <c r="L741" s="168"/>
      <c r="M741" s="168"/>
      <c r="N741" s="168"/>
    </row>
    <row r="742">
      <c r="F742" s="168"/>
      <c r="H742" s="168"/>
      <c r="J742" s="100"/>
      <c r="K742" s="168"/>
      <c r="L742" s="168"/>
      <c r="M742" s="168"/>
      <c r="N742" s="168"/>
    </row>
    <row r="743">
      <c r="F743" s="168"/>
      <c r="H743" s="168"/>
      <c r="J743" s="100"/>
      <c r="K743" s="168"/>
      <c r="L743" s="168"/>
      <c r="M743" s="168"/>
      <c r="N743" s="168"/>
    </row>
    <row r="744">
      <c r="F744" s="168"/>
      <c r="H744" s="168"/>
      <c r="J744" s="100"/>
      <c r="K744" s="168"/>
      <c r="L744" s="168"/>
      <c r="M744" s="168"/>
      <c r="N744" s="168"/>
    </row>
    <row r="745">
      <c r="F745" s="168"/>
      <c r="H745" s="168"/>
      <c r="J745" s="100"/>
      <c r="K745" s="168"/>
      <c r="L745" s="168"/>
      <c r="M745" s="168"/>
      <c r="N745" s="168"/>
    </row>
    <row r="746">
      <c r="F746" s="168"/>
      <c r="H746" s="168"/>
      <c r="J746" s="100"/>
      <c r="K746" s="168"/>
      <c r="L746" s="168"/>
      <c r="M746" s="168"/>
      <c r="N746" s="168"/>
    </row>
    <row r="747">
      <c r="F747" s="168"/>
      <c r="H747" s="168"/>
      <c r="J747" s="100"/>
      <c r="K747" s="168"/>
      <c r="L747" s="168"/>
      <c r="M747" s="168"/>
      <c r="N747" s="168"/>
    </row>
    <row r="748">
      <c r="F748" s="168"/>
      <c r="H748" s="168"/>
      <c r="J748" s="100"/>
      <c r="K748" s="168"/>
      <c r="L748" s="168"/>
      <c r="M748" s="168"/>
      <c r="N748" s="168"/>
    </row>
    <row r="749">
      <c r="F749" s="168"/>
      <c r="H749" s="168"/>
      <c r="J749" s="100"/>
      <c r="K749" s="168"/>
      <c r="L749" s="168"/>
      <c r="M749" s="168"/>
      <c r="N749" s="168"/>
    </row>
    <row r="750">
      <c r="F750" s="168"/>
      <c r="H750" s="168"/>
      <c r="J750" s="100"/>
      <c r="K750" s="168"/>
      <c r="L750" s="168"/>
      <c r="M750" s="168"/>
      <c r="N750" s="168"/>
    </row>
    <row r="751">
      <c r="F751" s="168"/>
      <c r="H751" s="168"/>
      <c r="J751" s="100"/>
      <c r="K751" s="168"/>
      <c r="L751" s="168"/>
      <c r="M751" s="168"/>
      <c r="N751" s="168"/>
    </row>
    <row r="752">
      <c r="F752" s="168"/>
      <c r="H752" s="168"/>
      <c r="J752" s="100"/>
      <c r="K752" s="168"/>
      <c r="L752" s="168"/>
      <c r="M752" s="168"/>
      <c r="N752" s="168"/>
    </row>
    <row r="753">
      <c r="F753" s="168"/>
      <c r="H753" s="168"/>
      <c r="J753" s="100"/>
      <c r="K753" s="168"/>
      <c r="L753" s="168"/>
      <c r="M753" s="168"/>
      <c r="N753" s="168"/>
    </row>
    <row r="754">
      <c r="F754" s="168"/>
      <c r="H754" s="168"/>
      <c r="J754" s="100"/>
      <c r="K754" s="168"/>
      <c r="L754" s="168"/>
      <c r="M754" s="168"/>
      <c r="N754" s="168"/>
    </row>
    <row r="755">
      <c r="F755" s="168"/>
      <c r="H755" s="168"/>
      <c r="J755" s="100"/>
      <c r="K755" s="168"/>
      <c r="L755" s="168"/>
      <c r="M755" s="168"/>
      <c r="N755" s="168"/>
    </row>
    <row r="756">
      <c r="F756" s="168"/>
      <c r="H756" s="168"/>
      <c r="J756" s="100"/>
      <c r="K756" s="168"/>
      <c r="L756" s="168"/>
      <c r="M756" s="168"/>
      <c r="N756" s="168"/>
    </row>
    <row r="757">
      <c r="F757" s="168"/>
      <c r="H757" s="168"/>
      <c r="J757" s="100"/>
      <c r="K757" s="168"/>
      <c r="L757" s="168"/>
      <c r="M757" s="168"/>
      <c r="N757" s="168"/>
    </row>
    <row r="758">
      <c r="F758" s="168"/>
      <c r="H758" s="168"/>
      <c r="J758" s="100"/>
      <c r="K758" s="168"/>
      <c r="L758" s="168"/>
      <c r="M758" s="168"/>
      <c r="N758" s="168"/>
    </row>
    <row r="759">
      <c r="F759" s="168"/>
      <c r="H759" s="168"/>
      <c r="J759" s="100"/>
      <c r="K759" s="168"/>
      <c r="L759" s="168"/>
      <c r="M759" s="168"/>
      <c r="N759" s="168"/>
    </row>
    <row r="760">
      <c r="F760" s="168"/>
      <c r="H760" s="168"/>
      <c r="J760" s="100"/>
      <c r="K760" s="168"/>
      <c r="L760" s="168"/>
      <c r="M760" s="168"/>
      <c r="N760" s="168"/>
    </row>
    <row r="761">
      <c r="F761" s="168"/>
      <c r="H761" s="168"/>
      <c r="J761" s="100"/>
      <c r="K761" s="168"/>
      <c r="L761" s="168"/>
      <c r="M761" s="168"/>
      <c r="N761" s="168"/>
    </row>
    <row r="762">
      <c r="F762" s="168"/>
      <c r="H762" s="168"/>
      <c r="J762" s="100"/>
      <c r="K762" s="168"/>
      <c r="L762" s="168"/>
      <c r="M762" s="168"/>
      <c r="N762" s="168"/>
    </row>
    <row r="763">
      <c r="F763" s="168"/>
      <c r="H763" s="168"/>
      <c r="J763" s="100"/>
      <c r="K763" s="168"/>
      <c r="L763" s="168"/>
      <c r="M763" s="168"/>
      <c r="N763" s="168"/>
    </row>
    <row r="764">
      <c r="F764" s="168"/>
      <c r="H764" s="168"/>
      <c r="J764" s="100"/>
      <c r="K764" s="168"/>
      <c r="L764" s="168"/>
      <c r="M764" s="168"/>
      <c r="N764" s="168"/>
    </row>
    <row r="765">
      <c r="F765" s="168"/>
      <c r="H765" s="168"/>
      <c r="J765" s="100"/>
      <c r="K765" s="168"/>
      <c r="L765" s="168"/>
      <c r="M765" s="168"/>
      <c r="N765" s="168"/>
    </row>
    <row r="766">
      <c r="F766" s="168"/>
      <c r="H766" s="168"/>
      <c r="J766" s="100"/>
      <c r="K766" s="168"/>
      <c r="L766" s="168"/>
      <c r="M766" s="168"/>
      <c r="N766" s="168"/>
    </row>
    <row r="767">
      <c r="F767" s="168"/>
      <c r="H767" s="168"/>
      <c r="J767" s="100"/>
      <c r="K767" s="168"/>
      <c r="L767" s="168"/>
      <c r="M767" s="168"/>
      <c r="N767" s="168"/>
    </row>
    <row r="768">
      <c r="F768" s="168"/>
      <c r="H768" s="168"/>
      <c r="J768" s="100"/>
      <c r="K768" s="168"/>
      <c r="L768" s="168"/>
      <c r="M768" s="168"/>
      <c r="N768" s="168"/>
    </row>
    <row r="769">
      <c r="F769" s="168"/>
      <c r="H769" s="168"/>
      <c r="J769" s="100"/>
      <c r="K769" s="168"/>
      <c r="L769" s="168"/>
      <c r="M769" s="168"/>
      <c r="N769" s="168"/>
    </row>
    <row r="770">
      <c r="F770" s="168"/>
      <c r="H770" s="168"/>
      <c r="J770" s="100"/>
      <c r="K770" s="168"/>
      <c r="L770" s="168"/>
      <c r="M770" s="168"/>
      <c r="N770" s="168"/>
    </row>
    <row r="771">
      <c r="F771" s="168"/>
      <c r="H771" s="168"/>
      <c r="J771" s="100"/>
      <c r="K771" s="168"/>
      <c r="L771" s="168"/>
      <c r="M771" s="168"/>
      <c r="N771" s="168"/>
    </row>
    <row r="772">
      <c r="F772" s="168"/>
      <c r="H772" s="168"/>
      <c r="J772" s="100"/>
      <c r="K772" s="168"/>
      <c r="L772" s="168"/>
      <c r="M772" s="168"/>
      <c r="N772" s="168"/>
    </row>
    <row r="773">
      <c r="F773" s="168"/>
      <c r="H773" s="168"/>
      <c r="J773" s="100"/>
      <c r="K773" s="168"/>
      <c r="L773" s="168"/>
      <c r="M773" s="168"/>
      <c r="N773" s="168"/>
    </row>
    <row r="774">
      <c r="F774" s="168"/>
      <c r="H774" s="168"/>
      <c r="J774" s="100"/>
      <c r="K774" s="168"/>
      <c r="L774" s="168"/>
      <c r="M774" s="168"/>
      <c r="N774" s="168"/>
    </row>
    <row r="775">
      <c r="F775" s="168"/>
      <c r="H775" s="168"/>
      <c r="J775" s="100"/>
      <c r="K775" s="168"/>
      <c r="L775" s="168"/>
      <c r="M775" s="168"/>
      <c r="N775" s="168"/>
    </row>
    <row r="776">
      <c r="F776" s="168"/>
      <c r="H776" s="168"/>
      <c r="J776" s="100"/>
      <c r="K776" s="168"/>
      <c r="L776" s="168"/>
      <c r="M776" s="168"/>
      <c r="N776" s="168"/>
    </row>
    <row r="777">
      <c r="F777" s="168"/>
      <c r="H777" s="168"/>
      <c r="J777" s="100"/>
      <c r="K777" s="168"/>
      <c r="L777" s="168"/>
      <c r="M777" s="168"/>
      <c r="N777" s="168"/>
    </row>
    <row r="778">
      <c r="F778" s="168"/>
      <c r="H778" s="168"/>
      <c r="J778" s="100"/>
      <c r="K778" s="168"/>
      <c r="L778" s="168"/>
      <c r="M778" s="168"/>
      <c r="N778" s="168"/>
    </row>
    <row r="779">
      <c r="F779" s="168"/>
      <c r="H779" s="168"/>
      <c r="J779" s="100"/>
      <c r="K779" s="168"/>
      <c r="L779" s="168"/>
      <c r="M779" s="168"/>
      <c r="N779" s="168"/>
    </row>
    <row r="780">
      <c r="F780" s="168"/>
      <c r="H780" s="168"/>
      <c r="J780" s="100"/>
      <c r="K780" s="168"/>
      <c r="L780" s="168"/>
      <c r="M780" s="168"/>
      <c r="N780" s="168"/>
    </row>
    <row r="781">
      <c r="F781" s="168"/>
      <c r="H781" s="168"/>
      <c r="J781" s="100"/>
      <c r="K781" s="168"/>
      <c r="L781" s="168"/>
      <c r="M781" s="168"/>
      <c r="N781" s="168"/>
    </row>
    <row r="782">
      <c r="F782" s="168"/>
      <c r="H782" s="168"/>
      <c r="J782" s="100"/>
      <c r="K782" s="168"/>
      <c r="L782" s="168"/>
      <c r="M782" s="168"/>
      <c r="N782" s="168"/>
    </row>
    <row r="783">
      <c r="F783" s="168"/>
      <c r="H783" s="168"/>
      <c r="J783" s="100"/>
      <c r="K783" s="168"/>
      <c r="L783" s="168"/>
      <c r="M783" s="168"/>
      <c r="N783" s="168"/>
    </row>
    <row r="784">
      <c r="F784" s="168"/>
      <c r="H784" s="168"/>
      <c r="J784" s="100"/>
      <c r="K784" s="168"/>
      <c r="L784" s="168"/>
      <c r="M784" s="168"/>
      <c r="N784" s="168"/>
    </row>
    <row r="785">
      <c r="F785" s="168"/>
      <c r="H785" s="168"/>
      <c r="J785" s="100"/>
      <c r="K785" s="168"/>
      <c r="L785" s="168"/>
      <c r="M785" s="168"/>
      <c r="N785" s="168"/>
    </row>
    <row r="786">
      <c r="F786" s="168"/>
      <c r="H786" s="168"/>
      <c r="J786" s="100"/>
      <c r="K786" s="168"/>
      <c r="L786" s="168"/>
      <c r="M786" s="168"/>
      <c r="N786" s="168"/>
    </row>
    <row r="787">
      <c r="F787" s="168"/>
      <c r="H787" s="168"/>
      <c r="J787" s="100"/>
      <c r="K787" s="168"/>
      <c r="L787" s="168"/>
      <c r="M787" s="168"/>
      <c r="N787" s="168"/>
    </row>
    <row r="788">
      <c r="F788" s="168"/>
      <c r="H788" s="168"/>
      <c r="J788" s="100"/>
      <c r="K788" s="168"/>
      <c r="L788" s="168"/>
      <c r="M788" s="168"/>
      <c r="N788" s="168"/>
    </row>
    <row r="789">
      <c r="F789" s="168"/>
      <c r="H789" s="168"/>
      <c r="J789" s="100"/>
      <c r="K789" s="168"/>
      <c r="L789" s="168"/>
      <c r="M789" s="168"/>
      <c r="N789" s="168"/>
    </row>
    <row r="790">
      <c r="F790" s="168"/>
      <c r="H790" s="168"/>
      <c r="J790" s="100"/>
      <c r="K790" s="168"/>
      <c r="L790" s="168"/>
      <c r="M790" s="168"/>
      <c r="N790" s="168"/>
    </row>
    <row r="791">
      <c r="F791" s="168"/>
      <c r="H791" s="168"/>
      <c r="J791" s="100"/>
      <c r="K791" s="168"/>
      <c r="L791" s="168"/>
      <c r="M791" s="168"/>
      <c r="N791" s="168"/>
    </row>
    <row r="792">
      <c r="F792" s="168"/>
      <c r="H792" s="168"/>
      <c r="J792" s="100"/>
      <c r="K792" s="168"/>
      <c r="L792" s="168"/>
      <c r="M792" s="168"/>
      <c r="N792" s="168"/>
    </row>
    <row r="793">
      <c r="F793" s="168"/>
      <c r="H793" s="168"/>
      <c r="J793" s="100"/>
      <c r="K793" s="168"/>
      <c r="L793" s="168"/>
      <c r="M793" s="168"/>
      <c r="N793" s="168"/>
    </row>
    <row r="794">
      <c r="F794" s="168"/>
      <c r="H794" s="168"/>
      <c r="J794" s="100"/>
      <c r="K794" s="168"/>
      <c r="L794" s="168"/>
      <c r="M794" s="168"/>
      <c r="N794" s="168"/>
    </row>
    <row r="795">
      <c r="F795" s="168"/>
      <c r="H795" s="168"/>
      <c r="J795" s="100"/>
      <c r="K795" s="168"/>
      <c r="L795" s="168"/>
      <c r="M795" s="168"/>
      <c r="N795" s="168"/>
    </row>
    <row r="796">
      <c r="F796" s="168"/>
      <c r="H796" s="168"/>
      <c r="J796" s="100"/>
      <c r="K796" s="168"/>
      <c r="L796" s="168"/>
      <c r="M796" s="168"/>
      <c r="N796" s="168"/>
    </row>
    <row r="797">
      <c r="F797" s="168"/>
      <c r="H797" s="168"/>
      <c r="J797" s="100"/>
      <c r="K797" s="168"/>
      <c r="L797" s="168"/>
      <c r="M797" s="168"/>
      <c r="N797" s="168"/>
    </row>
    <row r="798">
      <c r="F798" s="168"/>
      <c r="H798" s="168"/>
      <c r="J798" s="100"/>
      <c r="K798" s="168"/>
      <c r="L798" s="168"/>
      <c r="M798" s="168"/>
      <c r="N798" s="168"/>
    </row>
    <row r="799">
      <c r="F799" s="168"/>
      <c r="H799" s="168"/>
      <c r="J799" s="100"/>
      <c r="K799" s="168"/>
      <c r="L799" s="168"/>
      <c r="M799" s="168"/>
      <c r="N799" s="168"/>
    </row>
    <row r="800">
      <c r="F800" s="168"/>
      <c r="H800" s="168"/>
      <c r="J800" s="100"/>
      <c r="K800" s="168"/>
      <c r="L800" s="168"/>
      <c r="M800" s="168"/>
      <c r="N800" s="168"/>
    </row>
    <row r="801">
      <c r="F801" s="168"/>
      <c r="H801" s="168"/>
      <c r="J801" s="100"/>
      <c r="K801" s="168"/>
      <c r="L801" s="168"/>
      <c r="M801" s="168"/>
      <c r="N801" s="168"/>
    </row>
    <row r="802">
      <c r="F802" s="168"/>
      <c r="H802" s="168"/>
      <c r="J802" s="100"/>
      <c r="K802" s="168"/>
      <c r="L802" s="168"/>
      <c r="M802" s="168"/>
      <c r="N802" s="168"/>
    </row>
    <row r="803">
      <c r="F803" s="168"/>
      <c r="H803" s="168"/>
      <c r="J803" s="100"/>
      <c r="K803" s="168"/>
      <c r="L803" s="168"/>
      <c r="M803" s="168"/>
      <c r="N803" s="168"/>
    </row>
    <row r="804">
      <c r="F804" s="168"/>
      <c r="H804" s="168"/>
      <c r="J804" s="100"/>
      <c r="K804" s="168"/>
      <c r="L804" s="168"/>
      <c r="M804" s="168"/>
      <c r="N804" s="168"/>
    </row>
    <row r="805">
      <c r="F805" s="168"/>
      <c r="H805" s="168"/>
      <c r="J805" s="100"/>
      <c r="K805" s="168"/>
      <c r="L805" s="168"/>
      <c r="M805" s="168"/>
      <c r="N805" s="168"/>
    </row>
    <row r="806">
      <c r="F806" s="168"/>
      <c r="H806" s="168"/>
      <c r="J806" s="100"/>
      <c r="K806" s="168"/>
      <c r="L806" s="168"/>
      <c r="M806" s="168"/>
      <c r="N806" s="168"/>
    </row>
    <row r="807">
      <c r="F807" s="168"/>
      <c r="H807" s="168"/>
      <c r="J807" s="100"/>
      <c r="K807" s="168"/>
      <c r="L807" s="168"/>
      <c r="M807" s="168"/>
      <c r="N807" s="168"/>
    </row>
    <row r="808">
      <c r="F808" s="168"/>
      <c r="H808" s="168"/>
      <c r="J808" s="100"/>
      <c r="K808" s="168"/>
      <c r="L808" s="168"/>
      <c r="M808" s="168"/>
      <c r="N808" s="168"/>
    </row>
    <row r="809">
      <c r="F809" s="168"/>
      <c r="H809" s="168"/>
      <c r="J809" s="100"/>
      <c r="K809" s="168"/>
      <c r="L809" s="168"/>
      <c r="M809" s="168"/>
      <c r="N809" s="168"/>
    </row>
    <row r="810">
      <c r="F810" s="168"/>
      <c r="H810" s="168"/>
      <c r="J810" s="100"/>
      <c r="K810" s="168"/>
      <c r="L810" s="168"/>
      <c r="M810" s="168"/>
      <c r="N810" s="168"/>
    </row>
    <row r="811">
      <c r="F811" s="168"/>
      <c r="H811" s="168"/>
      <c r="J811" s="100"/>
      <c r="K811" s="168"/>
      <c r="L811" s="168"/>
      <c r="M811" s="168"/>
      <c r="N811" s="168"/>
    </row>
    <row r="812">
      <c r="F812" s="168"/>
      <c r="H812" s="168"/>
      <c r="J812" s="100"/>
      <c r="K812" s="168"/>
      <c r="L812" s="168"/>
      <c r="M812" s="168"/>
      <c r="N812" s="168"/>
    </row>
    <row r="813">
      <c r="F813" s="168"/>
      <c r="H813" s="168"/>
      <c r="J813" s="100"/>
      <c r="K813" s="168"/>
      <c r="L813" s="168"/>
      <c r="M813" s="168"/>
      <c r="N813" s="168"/>
    </row>
    <row r="814">
      <c r="F814" s="168"/>
      <c r="H814" s="168"/>
      <c r="J814" s="100"/>
      <c r="K814" s="168"/>
      <c r="L814" s="168"/>
      <c r="M814" s="168"/>
      <c r="N814" s="168"/>
    </row>
    <row r="815">
      <c r="F815" s="168"/>
      <c r="H815" s="168"/>
      <c r="J815" s="100"/>
      <c r="K815" s="168"/>
      <c r="L815" s="168"/>
      <c r="M815" s="168"/>
      <c r="N815" s="168"/>
    </row>
    <row r="816">
      <c r="F816" s="168"/>
      <c r="H816" s="168"/>
      <c r="J816" s="100"/>
      <c r="K816" s="168"/>
      <c r="L816" s="168"/>
      <c r="M816" s="168"/>
      <c r="N816" s="168"/>
    </row>
    <row r="817">
      <c r="F817" s="168"/>
      <c r="H817" s="168"/>
      <c r="J817" s="100"/>
      <c r="K817" s="168"/>
      <c r="L817" s="168"/>
      <c r="M817" s="168"/>
      <c r="N817" s="168"/>
    </row>
    <row r="818">
      <c r="F818" s="168"/>
      <c r="H818" s="168"/>
      <c r="J818" s="100"/>
      <c r="K818" s="168"/>
      <c r="L818" s="168"/>
      <c r="M818" s="168"/>
      <c r="N818" s="168"/>
    </row>
    <row r="819">
      <c r="F819" s="168"/>
      <c r="H819" s="168"/>
      <c r="J819" s="100"/>
      <c r="K819" s="168"/>
      <c r="L819" s="168"/>
      <c r="M819" s="168"/>
      <c r="N819" s="168"/>
    </row>
    <row r="820">
      <c r="F820" s="168"/>
      <c r="H820" s="168"/>
      <c r="J820" s="100"/>
      <c r="K820" s="168"/>
      <c r="L820" s="168"/>
      <c r="M820" s="168"/>
      <c r="N820" s="168"/>
    </row>
    <row r="821">
      <c r="F821" s="168"/>
      <c r="H821" s="168"/>
      <c r="J821" s="100"/>
      <c r="K821" s="168"/>
      <c r="L821" s="168"/>
      <c r="M821" s="168"/>
      <c r="N821" s="168"/>
    </row>
    <row r="822">
      <c r="F822" s="168"/>
      <c r="H822" s="168"/>
      <c r="J822" s="100"/>
      <c r="K822" s="168"/>
      <c r="L822" s="168"/>
      <c r="M822" s="168"/>
      <c r="N822" s="168"/>
    </row>
    <row r="823">
      <c r="F823" s="168"/>
      <c r="H823" s="168"/>
      <c r="J823" s="100"/>
      <c r="K823" s="168"/>
      <c r="L823" s="168"/>
      <c r="M823" s="168"/>
      <c r="N823" s="168"/>
    </row>
    <row r="824">
      <c r="F824" s="168"/>
      <c r="H824" s="168"/>
      <c r="J824" s="100"/>
      <c r="K824" s="168"/>
      <c r="L824" s="168"/>
      <c r="M824" s="168"/>
      <c r="N824" s="168"/>
    </row>
    <row r="825">
      <c r="F825" s="168"/>
      <c r="H825" s="168"/>
      <c r="J825" s="100"/>
      <c r="K825" s="168"/>
      <c r="L825" s="168"/>
      <c r="M825" s="168"/>
      <c r="N825" s="168"/>
    </row>
    <row r="826">
      <c r="F826" s="168"/>
      <c r="H826" s="168"/>
      <c r="J826" s="100"/>
      <c r="K826" s="168"/>
      <c r="L826" s="168"/>
      <c r="M826" s="168"/>
      <c r="N826" s="168"/>
    </row>
    <row r="827">
      <c r="F827" s="168"/>
      <c r="H827" s="168"/>
      <c r="J827" s="100"/>
      <c r="K827" s="168"/>
      <c r="L827" s="168"/>
      <c r="M827" s="168"/>
      <c r="N827" s="168"/>
    </row>
    <row r="828">
      <c r="F828" s="168"/>
      <c r="H828" s="168"/>
      <c r="J828" s="100"/>
      <c r="K828" s="168"/>
      <c r="L828" s="168"/>
      <c r="M828" s="168"/>
      <c r="N828" s="168"/>
    </row>
    <row r="829">
      <c r="F829" s="168"/>
      <c r="H829" s="168"/>
      <c r="J829" s="100"/>
      <c r="K829" s="168"/>
      <c r="L829" s="168"/>
      <c r="M829" s="168"/>
      <c r="N829" s="168"/>
    </row>
    <row r="830">
      <c r="F830" s="168"/>
      <c r="H830" s="168"/>
      <c r="J830" s="100"/>
      <c r="K830" s="168"/>
      <c r="L830" s="168"/>
      <c r="M830" s="168"/>
      <c r="N830" s="168"/>
    </row>
    <row r="831">
      <c r="F831" s="168"/>
      <c r="H831" s="168"/>
      <c r="J831" s="100"/>
      <c r="K831" s="168"/>
      <c r="L831" s="168"/>
      <c r="M831" s="168"/>
      <c r="N831" s="168"/>
    </row>
    <row r="832">
      <c r="F832" s="168"/>
      <c r="H832" s="168"/>
      <c r="J832" s="100"/>
      <c r="K832" s="168"/>
      <c r="L832" s="168"/>
      <c r="M832" s="168"/>
      <c r="N832" s="168"/>
    </row>
    <row r="833">
      <c r="F833" s="168"/>
      <c r="H833" s="168"/>
      <c r="J833" s="100"/>
      <c r="K833" s="168"/>
      <c r="L833" s="168"/>
      <c r="M833" s="168"/>
      <c r="N833" s="168"/>
    </row>
    <row r="834">
      <c r="F834" s="168"/>
      <c r="H834" s="168"/>
      <c r="J834" s="100"/>
      <c r="K834" s="168"/>
      <c r="L834" s="168"/>
      <c r="M834" s="168"/>
      <c r="N834" s="168"/>
    </row>
    <row r="835">
      <c r="F835" s="168"/>
      <c r="H835" s="168"/>
      <c r="J835" s="100"/>
      <c r="K835" s="168"/>
      <c r="L835" s="168"/>
      <c r="M835" s="168"/>
      <c r="N835" s="168"/>
    </row>
    <row r="836">
      <c r="F836" s="168"/>
      <c r="H836" s="168"/>
      <c r="J836" s="100"/>
      <c r="K836" s="168"/>
      <c r="L836" s="168"/>
      <c r="M836" s="168"/>
      <c r="N836" s="168"/>
    </row>
    <row r="837">
      <c r="F837" s="168"/>
      <c r="H837" s="168"/>
      <c r="J837" s="100"/>
      <c r="K837" s="168"/>
      <c r="L837" s="168"/>
      <c r="M837" s="168"/>
      <c r="N837" s="168"/>
    </row>
    <row r="838">
      <c r="F838" s="168"/>
      <c r="H838" s="168"/>
      <c r="J838" s="100"/>
      <c r="K838" s="168"/>
      <c r="L838" s="168"/>
      <c r="M838" s="168"/>
      <c r="N838" s="168"/>
    </row>
    <row r="839">
      <c r="F839" s="168"/>
      <c r="H839" s="168"/>
      <c r="J839" s="100"/>
      <c r="K839" s="168"/>
      <c r="L839" s="168"/>
      <c r="M839" s="168"/>
      <c r="N839" s="168"/>
    </row>
    <row r="840">
      <c r="F840" s="168"/>
      <c r="H840" s="168"/>
      <c r="J840" s="100"/>
      <c r="K840" s="168"/>
      <c r="L840" s="168"/>
      <c r="M840" s="168"/>
      <c r="N840" s="168"/>
    </row>
    <row r="841">
      <c r="F841" s="168"/>
      <c r="H841" s="168"/>
      <c r="J841" s="100"/>
      <c r="K841" s="168"/>
      <c r="L841" s="168"/>
      <c r="M841" s="168"/>
      <c r="N841" s="168"/>
    </row>
    <row r="842">
      <c r="F842" s="168"/>
      <c r="H842" s="168"/>
      <c r="J842" s="100"/>
      <c r="K842" s="168"/>
      <c r="L842" s="168"/>
      <c r="M842" s="168"/>
      <c r="N842" s="168"/>
    </row>
    <row r="843">
      <c r="F843" s="168"/>
      <c r="H843" s="168"/>
      <c r="J843" s="100"/>
      <c r="K843" s="168"/>
      <c r="L843" s="168"/>
      <c r="M843" s="168"/>
      <c r="N843" s="168"/>
    </row>
    <row r="844">
      <c r="F844" s="168"/>
      <c r="H844" s="168"/>
      <c r="J844" s="100"/>
      <c r="K844" s="168"/>
      <c r="L844" s="168"/>
      <c r="M844" s="168"/>
      <c r="N844" s="168"/>
    </row>
    <row r="845">
      <c r="F845" s="168"/>
      <c r="H845" s="168"/>
      <c r="J845" s="100"/>
      <c r="K845" s="168"/>
      <c r="L845" s="168"/>
      <c r="M845" s="168"/>
      <c r="N845" s="168"/>
    </row>
    <row r="846">
      <c r="F846" s="168"/>
      <c r="H846" s="168"/>
      <c r="J846" s="100"/>
      <c r="K846" s="168"/>
      <c r="L846" s="168"/>
      <c r="M846" s="168"/>
      <c r="N846" s="168"/>
    </row>
    <row r="847">
      <c r="F847" s="168"/>
      <c r="H847" s="168"/>
      <c r="J847" s="100"/>
      <c r="K847" s="168"/>
      <c r="L847" s="168"/>
      <c r="M847" s="168"/>
      <c r="N847" s="168"/>
    </row>
    <row r="848">
      <c r="F848" s="168"/>
      <c r="H848" s="168"/>
      <c r="J848" s="100"/>
      <c r="K848" s="168"/>
      <c r="L848" s="168"/>
      <c r="M848" s="168"/>
      <c r="N848" s="168"/>
    </row>
    <row r="849">
      <c r="F849" s="168"/>
      <c r="H849" s="168"/>
      <c r="J849" s="100"/>
      <c r="K849" s="168"/>
      <c r="L849" s="168"/>
      <c r="M849" s="168"/>
      <c r="N849" s="168"/>
    </row>
    <row r="850">
      <c r="F850" s="168"/>
      <c r="H850" s="168"/>
      <c r="J850" s="100"/>
      <c r="K850" s="168"/>
      <c r="L850" s="168"/>
      <c r="M850" s="168"/>
      <c r="N850" s="168"/>
    </row>
    <row r="851">
      <c r="F851" s="168"/>
      <c r="H851" s="168"/>
      <c r="J851" s="100"/>
      <c r="K851" s="168"/>
      <c r="L851" s="168"/>
      <c r="M851" s="168"/>
      <c r="N851" s="168"/>
    </row>
    <row r="852">
      <c r="F852" s="168"/>
      <c r="H852" s="168"/>
      <c r="J852" s="100"/>
      <c r="K852" s="168"/>
      <c r="L852" s="168"/>
      <c r="M852" s="168"/>
      <c r="N852" s="168"/>
    </row>
    <row r="853">
      <c r="F853" s="168"/>
      <c r="H853" s="168"/>
      <c r="J853" s="100"/>
      <c r="K853" s="168"/>
      <c r="L853" s="168"/>
      <c r="M853" s="168"/>
      <c r="N853" s="168"/>
    </row>
    <row r="854">
      <c r="F854" s="168"/>
      <c r="H854" s="168"/>
      <c r="J854" s="100"/>
      <c r="K854" s="168"/>
      <c r="L854" s="168"/>
      <c r="M854" s="168"/>
      <c r="N854" s="168"/>
    </row>
    <row r="855">
      <c r="F855" s="168"/>
      <c r="H855" s="168"/>
      <c r="J855" s="100"/>
      <c r="K855" s="168"/>
      <c r="L855" s="168"/>
      <c r="M855" s="168"/>
      <c r="N855" s="168"/>
    </row>
    <row r="856">
      <c r="F856" s="168"/>
      <c r="H856" s="168"/>
      <c r="J856" s="100"/>
      <c r="K856" s="168"/>
      <c r="L856" s="168"/>
      <c r="M856" s="168"/>
      <c r="N856" s="168"/>
    </row>
    <row r="857">
      <c r="F857" s="168"/>
      <c r="H857" s="168"/>
      <c r="J857" s="100"/>
      <c r="K857" s="168"/>
      <c r="L857" s="168"/>
      <c r="M857" s="168"/>
      <c r="N857" s="168"/>
    </row>
    <row r="858">
      <c r="F858" s="168"/>
      <c r="H858" s="168"/>
      <c r="J858" s="100"/>
      <c r="K858" s="168"/>
      <c r="L858" s="168"/>
      <c r="M858" s="168"/>
      <c r="N858" s="168"/>
    </row>
    <row r="859">
      <c r="F859" s="168"/>
      <c r="H859" s="168"/>
      <c r="J859" s="100"/>
      <c r="K859" s="168"/>
      <c r="L859" s="168"/>
      <c r="M859" s="168"/>
      <c r="N859" s="168"/>
    </row>
    <row r="860">
      <c r="F860" s="168"/>
      <c r="H860" s="168"/>
      <c r="J860" s="100"/>
      <c r="K860" s="168"/>
      <c r="L860" s="168"/>
      <c r="M860" s="168"/>
      <c r="N860" s="168"/>
    </row>
    <row r="861">
      <c r="F861" s="168"/>
      <c r="H861" s="168"/>
      <c r="J861" s="100"/>
      <c r="K861" s="168"/>
      <c r="L861" s="168"/>
      <c r="M861" s="168"/>
      <c r="N861" s="168"/>
    </row>
    <row r="862">
      <c r="F862" s="168"/>
      <c r="H862" s="168"/>
      <c r="J862" s="100"/>
      <c r="K862" s="168"/>
      <c r="L862" s="168"/>
      <c r="M862" s="168"/>
      <c r="N862" s="168"/>
    </row>
    <row r="863">
      <c r="F863" s="168"/>
      <c r="H863" s="168"/>
      <c r="J863" s="100"/>
      <c r="K863" s="168"/>
      <c r="L863" s="168"/>
      <c r="M863" s="168"/>
      <c r="N863" s="168"/>
    </row>
    <row r="864">
      <c r="F864" s="168"/>
      <c r="H864" s="168"/>
      <c r="J864" s="100"/>
      <c r="K864" s="168"/>
      <c r="L864" s="168"/>
      <c r="M864" s="168"/>
      <c r="N864" s="168"/>
    </row>
    <row r="865">
      <c r="F865" s="168"/>
      <c r="H865" s="168"/>
      <c r="J865" s="100"/>
      <c r="K865" s="168"/>
      <c r="L865" s="168"/>
      <c r="M865" s="168"/>
      <c r="N865" s="168"/>
    </row>
    <row r="866">
      <c r="F866" s="168"/>
      <c r="H866" s="168"/>
      <c r="J866" s="100"/>
      <c r="K866" s="168"/>
      <c r="L866" s="168"/>
      <c r="M866" s="168"/>
      <c r="N866" s="168"/>
    </row>
    <row r="867">
      <c r="F867" s="168"/>
      <c r="H867" s="168"/>
      <c r="J867" s="100"/>
      <c r="K867" s="168"/>
      <c r="L867" s="168"/>
      <c r="M867" s="168"/>
      <c r="N867" s="168"/>
    </row>
    <row r="868">
      <c r="F868" s="168"/>
      <c r="H868" s="168"/>
      <c r="J868" s="100"/>
      <c r="K868" s="168"/>
      <c r="L868" s="168"/>
      <c r="M868" s="168"/>
      <c r="N868" s="168"/>
    </row>
    <row r="869">
      <c r="F869" s="168"/>
      <c r="H869" s="168"/>
      <c r="J869" s="100"/>
      <c r="K869" s="168"/>
      <c r="L869" s="168"/>
      <c r="M869" s="168"/>
      <c r="N869" s="168"/>
    </row>
    <row r="870">
      <c r="F870" s="168"/>
      <c r="H870" s="168"/>
      <c r="J870" s="100"/>
      <c r="K870" s="168"/>
      <c r="L870" s="168"/>
      <c r="M870" s="168"/>
      <c r="N870" s="168"/>
    </row>
    <row r="871">
      <c r="F871" s="168"/>
      <c r="H871" s="168"/>
      <c r="J871" s="100"/>
      <c r="K871" s="168"/>
      <c r="L871" s="168"/>
      <c r="M871" s="168"/>
      <c r="N871" s="168"/>
    </row>
    <row r="872">
      <c r="F872" s="168"/>
      <c r="H872" s="168"/>
      <c r="J872" s="100"/>
      <c r="K872" s="168"/>
      <c r="L872" s="168"/>
      <c r="M872" s="168"/>
      <c r="N872" s="168"/>
    </row>
    <row r="873">
      <c r="F873" s="168"/>
      <c r="H873" s="168"/>
      <c r="J873" s="100"/>
      <c r="K873" s="168"/>
      <c r="L873" s="168"/>
      <c r="M873" s="168"/>
      <c r="N873" s="168"/>
    </row>
    <row r="874">
      <c r="F874" s="168"/>
      <c r="H874" s="168"/>
      <c r="J874" s="100"/>
      <c r="K874" s="168"/>
      <c r="L874" s="168"/>
      <c r="M874" s="168"/>
      <c r="N874" s="168"/>
    </row>
    <row r="875">
      <c r="F875" s="168"/>
      <c r="H875" s="168"/>
      <c r="J875" s="100"/>
      <c r="K875" s="168"/>
      <c r="L875" s="168"/>
      <c r="M875" s="168"/>
      <c r="N875" s="168"/>
    </row>
    <row r="876">
      <c r="F876" s="168"/>
      <c r="H876" s="168"/>
      <c r="J876" s="100"/>
      <c r="K876" s="168"/>
      <c r="L876" s="168"/>
      <c r="M876" s="168"/>
      <c r="N876" s="168"/>
    </row>
    <row r="877">
      <c r="F877" s="168"/>
      <c r="H877" s="168"/>
      <c r="J877" s="100"/>
      <c r="K877" s="168"/>
      <c r="L877" s="168"/>
      <c r="M877" s="168"/>
      <c r="N877" s="168"/>
    </row>
    <row r="878">
      <c r="F878" s="168"/>
      <c r="H878" s="168"/>
      <c r="J878" s="100"/>
      <c r="K878" s="168"/>
      <c r="L878" s="168"/>
      <c r="M878" s="168"/>
      <c r="N878" s="168"/>
    </row>
    <row r="879">
      <c r="F879" s="168"/>
      <c r="H879" s="168"/>
      <c r="J879" s="100"/>
      <c r="K879" s="168"/>
      <c r="L879" s="168"/>
      <c r="M879" s="168"/>
      <c r="N879" s="168"/>
    </row>
    <row r="880">
      <c r="F880" s="168"/>
      <c r="H880" s="168"/>
      <c r="J880" s="100"/>
      <c r="K880" s="168"/>
      <c r="L880" s="168"/>
      <c r="M880" s="168"/>
      <c r="N880" s="168"/>
    </row>
    <row r="881">
      <c r="F881" s="168"/>
      <c r="H881" s="168"/>
      <c r="J881" s="100"/>
      <c r="K881" s="168"/>
      <c r="L881" s="168"/>
      <c r="M881" s="168"/>
      <c r="N881" s="168"/>
    </row>
    <row r="882">
      <c r="F882" s="168"/>
      <c r="H882" s="168"/>
      <c r="J882" s="100"/>
      <c r="K882" s="168"/>
      <c r="L882" s="168"/>
      <c r="M882" s="168"/>
      <c r="N882" s="168"/>
    </row>
    <row r="883">
      <c r="F883" s="168"/>
      <c r="H883" s="168"/>
      <c r="J883" s="100"/>
      <c r="K883" s="168"/>
      <c r="L883" s="168"/>
      <c r="M883" s="168"/>
      <c r="N883" s="168"/>
    </row>
    <row r="884">
      <c r="F884" s="168"/>
      <c r="H884" s="168"/>
      <c r="J884" s="100"/>
      <c r="K884" s="168"/>
      <c r="L884" s="168"/>
      <c r="M884" s="168"/>
      <c r="N884" s="168"/>
    </row>
    <row r="885">
      <c r="F885" s="168"/>
      <c r="H885" s="168"/>
      <c r="J885" s="100"/>
      <c r="K885" s="168"/>
      <c r="L885" s="168"/>
      <c r="M885" s="168"/>
      <c r="N885" s="168"/>
    </row>
    <row r="886">
      <c r="F886" s="168"/>
      <c r="H886" s="168"/>
      <c r="J886" s="100"/>
      <c r="K886" s="168"/>
      <c r="L886" s="168"/>
      <c r="M886" s="168"/>
      <c r="N886" s="168"/>
    </row>
    <row r="887">
      <c r="F887" s="168"/>
      <c r="H887" s="168"/>
      <c r="J887" s="100"/>
      <c r="K887" s="168"/>
      <c r="L887" s="168"/>
      <c r="M887" s="168"/>
      <c r="N887" s="168"/>
    </row>
    <row r="888">
      <c r="F888" s="168"/>
      <c r="H888" s="168"/>
      <c r="J888" s="100"/>
      <c r="K888" s="168"/>
      <c r="L888" s="168"/>
      <c r="M888" s="168"/>
      <c r="N888" s="168"/>
    </row>
    <row r="889">
      <c r="F889" s="168"/>
      <c r="H889" s="168"/>
      <c r="J889" s="100"/>
      <c r="K889" s="168"/>
      <c r="L889" s="168"/>
      <c r="M889" s="168"/>
      <c r="N889" s="168"/>
    </row>
    <row r="890">
      <c r="F890" s="168"/>
      <c r="H890" s="168"/>
      <c r="J890" s="100"/>
      <c r="K890" s="168"/>
      <c r="L890" s="168"/>
      <c r="M890" s="168"/>
      <c r="N890" s="168"/>
    </row>
    <row r="891">
      <c r="F891" s="168"/>
      <c r="H891" s="168"/>
      <c r="J891" s="100"/>
      <c r="K891" s="168"/>
      <c r="L891" s="168"/>
      <c r="M891" s="168"/>
      <c r="N891" s="168"/>
    </row>
    <row r="892">
      <c r="F892" s="168"/>
      <c r="H892" s="168"/>
      <c r="J892" s="100"/>
      <c r="K892" s="168"/>
      <c r="L892" s="168"/>
      <c r="M892" s="168"/>
      <c r="N892" s="168"/>
    </row>
    <row r="893">
      <c r="F893" s="168"/>
      <c r="H893" s="168"/>
      <c r="J893" s="100"/>
      <c r="K893" s="168"/>
      <c r="L893" s="168"/>
      <c r="M893" s="168"/>
      <c r="N893" s="168"/>
    </row>
    <row r="894">
      <c r="F894" s="168"/>
      <c r="H894" s="168"/>
      <c r="J894" s="100"/>
      <c r="K894" s="168"/>
      <c r="L894" s="168"/>
      <c r="M894" s="168"/>
      <c r="N894" s="168"/>
    </row>
    <row r="895">
      <c r="F895" s="168"/>
      <c r="H895" s="168"/>
      <c r="J895" s="100"/>
      <c r="K895" s="168"/>
      <c r="L895" s="168"/>
      <c r="M895" s="168"/>
      <c r="N895" s="168"/>
    </row>
    <row r="896">
      <c r="F896" s="168"/>
      <c r="H896" s="168"/>
      <c r="J896" s="100"/>
      <c r="K896" s="168"/>
      <c r="L896" s="168"/>
      <c r="M896" s="168"/>
      <c r="N896" s="168"/>
    </row>
    <row r="897">
      <c r="F897" s="168"/>
      <c r="H897" s="168"/>
      <c r="J897" s="100"/>
      <c r="K897" s="168"/>
      <c r="L897" s="168"/>
      <c r="M897" s="168"/>
      <c r="N897" s="168"/>
    </row>
    <row r="898">
      <c r="F898" s="168"/>
      <c r="H898" s="168"/>
      <c r="J898" s="100"/>
      <c r="K898" s="168"/>
      <c r="L898" s="168"/>
      <c r="M898" s="168"/>
      <c r="N898" s="168"/>
    </row>
    <row r="899">
      <c r="F899" s="168"/>
      <c r="H899" s="168"/>
      <c r="J899" s="100"/>
      <c r="K899" s="168"/>
      <c r="L899" s="168"/>
      <c r="M899" s="168"/>
      <c r="N899" s="168"/>
    </row>
    <row r="900">
      <c r="F900" s="168"/>
      <c r="H900" s="168"/>
      <c r="J900" s="100"/>
      <c r="K900" s="168"/>
      <c r="L900" s="168"/>
      <c r="M900" s="168"/>
      <c r="N900" s="168"/>
    </row>
    <row r="901">
      <c r="F901" s="168"/>
      <c r="H901" s="168"/>
      <c r="J901" s="100"/>
      <c r="K901" s="168"/>
      <c r="L901" s="168"/>
      <c r="M901" s="168"/>
      <c r="N901" s="168"/>
    </row>
    <row r="902">
      <c r="F902" s="168"/>
      <c r="H902" s="168"/>
      <c r="J902" s="100"/>
      <c r="K902" s="168"/>
      <c r="L902" s="168"/>
      <c r="M902" s="168"/>
      <c r="N902" s="168"/>
    </row>
    <row r="903">
      <c r="F903" s="168"/>
      <c r="H903" s="168"/>
      <c r="J903" s="100"/>
      <c r="K903" s="168"/>
      <c r="L903" s="168"/>
      <c r="M903" s="168"/>
      <c r="N903" s="168"/>
    </row>
    <row r="904">
      <c r="F904" s="168"/>
      <c r="H904" s="168"/>
      <c r="J904" s="100"/>
      <c r="K904" s="168"/>
      <c r="L904" s="168"/>
      <c r="M904" s="168"/>
      <c r="N904" s="168"/>
    </row>
    <row r="905">
      <c r="F905" s="168"/>
      <c r="H905" s="168"/>
      <c r="J905" s="100"/>
      <c r="K905" s="168"/>
      <c r="L905" s="168"/>
      <c r="M905" s="168"/>
      <c r="N905" s="168"/>
    </row>
    <row r="906">
      <c r="F906" s="168"/>
      <c r="H906" s="168"/>
      <c r="J906" s="100"/>
      <c r="K906" s="168"/>
      <c r="L906" s="168"/>
      <c r="M906" s="168"/>
      <c r="N906" s="168"/>
    </row>
    <row r="907">
      <c r="F907" s="168"/>
      <c r="H907" s="168"/>
      <c r="J907" s="100"/>
      <c r="K907" s="168"/>
      <c r="L907" s="168"/>
      <c r="M907" s="168"/>
      <c r="N907" s="168"/>
    </row>
    <row r="908">
      <c r="F908" s="168"/>
      <c r="H908" s="168"/>
      <c r="J908" s="100"/>
      <c r="K908" s="168"/>
      <c r="L908" s="168"/>
      <c r="M908" s="168"/>
      <c r="N908" s="168"/>
    </row>
    <row r="909">
      <c r="F909" s="168"/>
      <c r="H909" s="168"/>
      <c r="J909" s="100"/>
      <c r="K909" s="168"/>
      <c r="L909" s="168"/>
      <c r="M909" s="168"/>
      <c r="N909" s="168"/>
    </row>
    <row r="910">
      <c r="F910" s="168"/>
      <c r="H910" s="168"/>
      <c r="J910" s="100"/>
      <c r="K910" s="168"/>
      <c r="L910" s="168"/>
      <c r="M910" s="168"/>
      <c r="N910" s="168"/>
    </row>
    <row r="911">
      <c r="F911" s="168"/>
      <c r="H911" s="168"/>
      <c r="J911" s="100"/>
      <c r="K911" s="168"/>
      <c r="L911" s="168"/>
      <c r="M911" s="168"/>
      <c r="N911" s="168"/>
    </row>
    <row r="912">
      <c r="F912" s="168"/>
      <c r="H912" s="168"/>
      <c r="J912" s="100"/>
      <c r="K912" s="168"/>
      <c r="L912" s="168"/>
      <c r="M912" s="168"/>
      <c r="N912" s="168"/>
    </row>
    <row r="913">
      <c r="F913" s="168"/>
      <c r="H913" s="168"/>
      <c r="J913" s="100"/>
      <c r="K913" s="168"/>
      <c r="L913" s="168"/>
      <c r="M913" s="168"/>
      <c r="N913" s="168"/>
    </row>
    <row r="914">
      <c r="F914" s="168"/>
      <c r="H914" s="168"/>
      <c r="J914" s="100"/>
      <c r="K914" s="168"/>
      <c r="L914" s="168"/>
      <c r="M914" s="168"/>
      <c r="N914" s="168"/>
    </row>
    <row r="915">
      <c r="F915" s="168"/>
      <c r="H915" s="168"/>
      <c r="J915" s="100"/>
      <c r="K915" s="168"/>
      <c r="L915" s="168"/>
      <c r="M915" s="168"/>
      <c r="N915" s="168"/>
    </row>
    <row r="916">
      <c r="F916" s="168"/>
      <c r="H916" s="168"/>
      <c r="J916" s="100"/>
      <c r="K916" s="168"/>
      <c r="L916" s="168"/>
      <c r="M916" s="168"/>
      <c r="N916" s="168"/>
    </row>
    <row r="917">
      <c r="F917" s="168"/>
      <c r="H917" s="168"/>
      <c r="J917" s="100"/>
      <c r="K917" s="168"/>
      <c r="L917" s="168"/>
      <c r="M917" s="168"/>
      <c r="N917" s="168"/>
    </row>
    <row r="918">
      <c r="F918" s="168"/>
      <c r="H918" s="168"/>
      <c r="J918" s="100"/>
      <c r="K918" s="168"/>
      <c r="L918" s="168"/>
      <c r="M918" s="168"/>
      <c r="N918" s="168"/>
    </row>
    <row r="919">
      <c r="F919" s="168"/>
      <c r="H919" s="168"/>
      <c r="J919" s="100"/>
      <c r="K919" s="168"/>
      <c r="L919" s="168"/>
      <c r="M919" s="168"/>
      <c r="N919" s="168"/>
    </row>
    <row r="920">
      <c r="F920" s="168"/>
      <c r="H920" s="168"/>
      <c r="J920" s="100"/>
      <c r="K920" s="168"/>
      <c r="L920" s="168"/>
      <c r="M920" s="168"/>
      <c r="N920" s="168"/>
    </row>
    <row r="921">
      <c r="F921" s="168"/>
      <c r="H921" s="168"/>
      <c r="J921" s="100"/>
      <c r="K921" s="168"/>
      <c r="L921" s="168"/>
      <c r="M921" s="168"/>
      <c r="N921" s="168"/>
    </row>
    <row r="922">
      <c r="F922" s="168"/>
      <c r="H922" s="168"/>
      <c r="J922" s="100"/>
      <c r="K922" s="168"/>
      <c r="L922" s="168"/>
      <c r="M922" s="168"/>
      <c r="N922" s="168"/>
    </row>
    <row r="923">
      <c r="F923" s="168"/>
      <c r="H923" s="168"/>
      <c r="J923" s="100"/>
      <c r="K923" s="168"/>
      <c r="L923" s="168"/>
      <c r="M923" s="168"/>
      <c r="N923" s="168"/>
    </row>
    <row r="924">
      <c r="F924" s="168"/>
      <c r="H924" s="168"/>
      <c r="J924" s="100"/>
      <c r="K924" s="168"/>
      <c r="L924" s="168"/>
      <c r="M924" s="168"/>
      <c r="N924" s="168"/>
    </row>
    <row r="925">
      <c r="F925" s="168"/>
      <c r="H925" s="168"/>
      <c r="J925" s="100"/>
      <c r="K925" s="168"/>
      <c r="L925" s="168"/>
      <c r="M925" s="168"/>
      <c r="N925" s="168"/>
    </row>
    <row r="926">
      <c r="F926" s="168"/>
      <c r="H926" s="168"/>
      <c r="J926" s="100"/>
      <c r="K926" s="168"/>
      <c r="L926" s="168"/>
      <c r="M926" s="168"/>
      <c r="N926" s="168"/>
    </row>
    <row r="927">
      <c r="F927" s="168"/>
      <c r="H927" s="168"/>
      <c r="J927" s="100"/>
      <c r="K927" s="168"/>
      <c r="L927" s="168"/>
      <c r="M927" s="168"/>
      <c r="N927" s="168"/>
    </row>
    <row r="928">
      <c r="F928" s="168"/>
      <c r="H928" s="168"/>
      <c r="J928" s="100"/>
      <c r="K928" s="168"/>
      <c r="L928" s="168"/>
      <c r="M928" s="168"/>
      <c r="N928" s="168"/>
    </row>
    <row r="929">
      <c r="F929" s="168"/>
      <c r="H929" s="168"/>
      <c r="J929" s="100"/>
      <c r="K929" s="168"/>
      <c r="L929" s="168"/>
      <c r="M929" s="168"/>
      <c r="N929" s="168"/>
    </row>
    <row r="930">
      <c r="F930" s="168"/>
      <c r="H930" s="168"/>
      <c r="J930" s="100"/>
      <c r="K930" s="168"/>
      <c r="L930" s="168"/>
      <c r="M930" s="168"/>
      <c r="N930" s="168"/>
    </row>
    <row r="931">
      <c r="F931" s="168"/>
      <c r="H931" s="168"/>
      <c r="J931" s="100"/>
      <c r="K931" s="168"/>
      <c r="L931" s="168"/>
      <c r="M931" s="168"/>
      <c r="N931" s="168"/>
    </row>
    <row r="932">
      <c r="F932" s="168"/>
      <c r="H932" s="168"/>
      <c r="J932" s="100"/>
      <c r="K932" s="168"/>
      <c r="L932" s="168"/>
      <c r="M932" s="168"/>
      <c r="N932" s="168"/>
    </row>
    <row r="933">
      <c r="F933" s="168"/>
      <c r="H933" s="168"/>
      <c r="J933" s="100"/>
      <c r="K933" s="168"/>
      <c r="L933" s="168"/>
      <c r="M933" s="168"/>
      <c r="N933" s="168"/>
    </row>
    <row r="934">
      <c r="F934" s="168"/>
      <c r="H934" s="168"/>
      <c r="J934" s="100"/>
      <c r="K934" s="168"/>
      <c r="L934" s="168"/>
      <c r="M934" s="168"/>
      <c r="N934" s="168"/>
    </row>
    <row r="935">
      <c r="F935" s="168"/>
      <c r="H935" s="168"/>
      <c r="J935" s="100"/>
      <c r="K935" s="168"/>
      <c r="L935" s="168"/>
      <c r="M935" s="168"/>
      <c r="N935" s="168"/>
    </row>
    <row r="936">
      <c r="F936" s="168"/>
      <c r="H936" s="168"/>
      <c r="J936" s="100"/>
      <c r="K936" s="168"/>
      <c r="L936" s="168"/>
      <c r="M936" s="168"/>
      <c r="N936" s="168"/>
    </row>
    <row r="937">
      <c r="F937" s="168"/>
      <c r="H937" s="168"/>
      <c r="J937" s="100"/>
      <c r="K937" s="168"/>
      <c r="L937" s="168"/>
      <c r="M937" s="168"/>
      <c r="N937" s="168"/>
    </row>
    <row r="938">
      <c r="F938" s="168"/>
      <c r="H938" s="168"/>
      <c r="J938" s="100"/>
      <c r="K938" s="168"/>
      <c r="L938" s="168"/>
      <c r="M938" s="168"/>
      <c r="N938" s="168"/>
    </row>
    <row r="939">
      <c r="F939" s="168"/>
      <c r="H939" s="168"/>
      <c r="J939" s="100"/>
      <c r="K939" s="168"/>
      <c r="L939" s="168"/>
      <c r="M939" s="168"/>
      <c r="N939" s="168"/>
    </row>
    <row r="940">
      <c r="F940" s="168"/>
      <c r="H940" s="168"/>
      <c r="J940" s="100"/>
      <c r="K940" s="168"/>
      <c r="L940" s="168"/>
      <c r="M940" s="168"/>
      <c r="N940" s="168"/>
    </row>
    <row r="941">
      <c r="F941" s="168"/>
      <c r="H941" s="168"/>
      <c r="J941" s="100"/>
      <c r="K941" s="168"/>
      <c r="L941" s="168"/>
      <c r="M941" s="168"/>
      <c r="N941" s="168"/>
    </row>
    <row r="942">
      <c r="F942" s="168"/>
      <c r="H942" s="168"/>
      <c r="J942" s="100"/>
      <c r="K942" s="168"/>
      <c r="L942" s="168"/>
      <c r="M942" s="168"/>
      <c r="N942" s="168"/>
    </row>
    <row r="943">
      <c r="F943" s="168"/>
      <c r="H943" s="168"/>
      <c r="J943" s="100"/>
      <c r="K943" s="168"/>
      <c r="L943" s="168"/>
      <c r="M943" s="168"/>
      <c r="N943" s="168"/>
    </row>
    <row r="944">
      <c r="F944" s="168"/>
      <c r="H944" s="168"/>
      <c r="J944" s="100"/>
      <c r="K944" s="168"/>
      <c r="L944" s="168"/>
      <c r="M944" s="168"/>
      <c r="N944" s="168"/>
    </row>
    <row r="945">
      <c r="F945" s="168"/>
      <c r="H945" s="168"/>
      <c r="J945" s="100"/>
      <c r="K945" s="168"/>
      <c r="L945" s="168"/>
      <c r="M945" s="168"/>
      <c r="N945" s="168"/>
    </row>
    <row r="946">
      <c r="F946" s="168"/>
      <c r="H946" s="168"/>
      <c r="J946" s="100"/>
      <c r="K946" s="168"/>
      <c r="L946" s="168"/>
      <c r="M946" s="168"/>
      <c r="N946" s="168"/>
    </row>
    <row r="947">
      <c r="F947" s="168"/>
      <c r="H947" s="168"/>
      <c r="J947" s="100"/>
      <c r="K947" s="168"/>
      <c r="L947" s="168"/>
      <c r="M947" s="168"/>
      <c r="N947" s="168"/>
    </row>
    <row r="948">
      <c r="F948" s="168"/>
      <c r="H948" s="168"/>
      <c r="J948" s="100"/>
      <c r="K948" s="168"/>
      <c r="L948" s="168"/>
      <c r="M948" s="168"/>
      <c r="N948" s="168"/>
    </row>
    <row r="949">
      <c r="F949" s="168"/>
      <c r="H949" s="168"/>
      <c r="J949" s="100"/>
      <c r="K949" s="168"/>
      <c r="L949" s="168"/>
      <c r="M949" s="168"/>
      <c r="N949" s="168"/>
    </row>
    <row r="950">
      <c r="F950" s="168"/>
      <c r="H950" s="168"/>
      <c r="J950" s="100"/>
      <c r="K950" s="168"/>
      <c r="L950" s="168"/>
      <c r="M950" s="168"/>
      <c r="N950" s="168"/>
    </row>
    <row r="951">
      <c r="F951" s="168"/>
      <c r="H951" s="168"/>
      <c r="J951" s="100"/>
      <c r="K951" s="168"/>
      <c r="L951" s="168"/>
      <c r="M951" s="168"/>
      <c r="N951" s="168"/>
    </row>
    <row r="952">
      <c r="F952" s="168"/>
      <c r="H952" s="168"/>
      <c r="J952" s="100"/>
      <c r="K952" s="168"/>
      <c r="L952" s="168"/>
      <c r="M952" s="168"/>
      <c r="N952" s="168"/>
    </row>
    <row r="953">
      <c r="F953" s="168"/>
      <c r="H953" s="168"/>
      <c r="J953" s="100"/>
      <c r="K953" s="168"/>
      <c r="L953" s="168"/>
      <c r="M953" s="168"/>
      <c r="N953" s="168"/>
    </row>
  </sheetData>
  <conditionalFormatting sqref="A2:A62 A65:A89 A91:A103 A105:A129 A131:A147 A151:A162 A165:A175 A178:A196 A198:A953">
    <cfRule type="expression" dxfId="7" priority="1">
      <formula>countif(A:A, A2)&gt;1</formula>
    </cfRule>
  </conditionalFormatting>
  <dataValidations>
    <dataValidation type="list" allowBlank="1" showErrorMessage="1" sqref="J2:K953">
      <formula1>"Yes,No,Either Student Absent or Instructor Absent"</formula1>
    </dataValidation>
  </dataValidations>
  <hyperlinks>
    <hyperlink r:id="rId1" ref="N25"/>
    <hyperlink r:id="rId2" ref="B245"/>
  </hyperlinks>
  <drawing r:id="rId3"/>
  <tableParts count="13">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1723</v>
      </c>
      <c r="B1" s="37" t="s">
        <v>1724</v>
      </c>
      <c r="C1" s="37" t="s">
        <v>1725</v>
      </c>
      <c r="D1" s="37" t="s">
        <v>1727</v>
      </c>
      <c r="E1" s="37" t="s">
        <v>1729</v>
      </c>
      <c r="F1" s="37" t="s">
        <v>1730</v>
      </c>
    </row>
    <row r="2">
      <c r="A2" s="37" t="s">
        <v>1869</v>
      </c>
      <c r="B2" s="54">
        <v>1.0</v>
      </c>
      <c r="C2" s="54">
        <v>0.0</v>
      </c>
      <c r="D2" s="54">
        <v>1.0</v>
      </c>
      <c r="E2" s="37" t="s">
        <v>1750</v>
      </c>
      <c r="F2" s="37" t="s">
        <v>1872</v>
      </c>
    </row>
    <row r="3">
      <c r="A3" s="37" t="s">
        <v>1874</v>
      </c>
      <c r="B3" s="54">
        <v>1.0</v>
      </c>
      <c r="C3" s="54">
        <v>0.0</v>
      </c>
      <c r="D3" s="54">
        <v>1.0</v>
      </c>
      <c r="E3" s="37" t="s">
        <v>1750</v>
      </c>
      <c r="F3" s="37" t="s">
        <v>1872</v>
      </c>
    </row>
    <row r="4">
      <c r="A4" s="37" t="s">
        <v>1875</v>
      </c>
      <c r="B4" s="54">
        <v>1.0</v>
      </c>
      <c r="C4" s="54">
        <v>0.0</v>
      </c>
      <c r="D4" s="54">
        <v>1.0</v>
      </c>
      <c r="E4" s="37" t="s">
        <v>1750</v>
      </c>
      <c r="F4" s="37" t="s">
        <v>1872</v>
      </c>
    </row>
    <row r="5">
      <c r="A5" s="37" t="s">
        <v>1876</v>
      </c>
      <c r="B5" s="54">
        <v>1.0</v>
      </c>
      <c r="C5" s="54">
        <v>0.0</v>
      </c>
      <c r="D5" s="54">
        <v>1.0</v>
      </c>
      <c r="E5" s="37" t="s">
        <v>1750</v>
      </c>
      <c r="F5" s="37" t="s">
        <v>1872</v>
      </c>
    </row>
    <row r="6">
      <c r="A6" s="37" t="s">
        <v>1880</v>
      </c>
      <c r="B6" s="54">
        <v>1.0</v>
      </c>
      <c r="C6" s="54">
        <v>0.0</v>
      </c>
      <c r="D6" s="54">
        <v>1.0</v>
      </c>
      <c r="E6" s="37" t="s">
        <v>1774</v>
      </c>
      <c r="F6" s="37" t="s">
        <v>1882</v>
      </c>
    </row>
    <row r="7">
      <c r="A7" s="37" t="s">
        <v>1883</v>
      </c>
      <c r="B7" s="54">
        <v>1.0</v>
      </c>
      <c r="C7" s="54">
        <v>0.0</v>
      </c>
      <c r="D7" s="54">
        <v>1.0</v>
      </c>
      <c r="E7" s="37" t="s">
        <v>1753</v>
      </c>
      <c r="F7" s="37" t="s">
        <v>1884</v>
      </c>
    </row>
    <row r="8">
      <c r="A8" s="37" t="s">
        <v>1885</v>
      </c>
      <c r="B8" s="54">
        <v>1.0</v>
      </c>
      <c r="C8" s="54">
        <v>0.0</v>
      </c>
      <c r="D8" s="54">
        <v>1.0</v>
      </c>
      <c r="E8" s="37" t="s">
        <v>1774</v>
      </c>
      <c r="F8" s="37" t="s">
        <v>1882</v>
      </c>
    </row>
    <row r="9">
      <c r="A9" s="37" t="s">
        <v>1887</v>
      </c>
      <c r="B9" s="54">
        <v>1.0</v>
      </c>
      <c r="C9" s="54">
        <v>0.0</v>
      </c>
      <c r="D9" s="54">
        <v>1.0</v>
      </c>
      <c r="E9" s="37" t="s">
        <v>1753</v>
      </c>
      <c r="F9" s="37" t="s">
        <v>1884</v>
      </c>
    </row>
    <row r="10">
      <c r="A10" s="37" t="s">
        <v>1889</v>
      </c>
      <c r="B10" s="54">
        <v>1.0</v>
      </c>
      <c r="C10" s="54">
        <v>0.0</v>
      </c>
      <c r="D10" s="54">
        <v>1.0</v>
      </c>
      <c r="E10" s="37" t="s">
        <v>1757</v>
      </c>
      <c r="F10" s="37" t="s">
        <v>1891</v>
      </c>
    </row>
    <row r="11">
      <c r="A11" s="37" t="s">
        <v>1889</v>
      </c>
      <c r="B11" s="54">
        <v>1.0</v>
      </c>
      <c r="C11" s="54">
        <v>0.0</v>
      </c>
      <c r="D11" s="54">
        <v>1.0</v>
      </c>
      <c r="E11" s="37" t="s">
        <v>1762</v>
      </c>
    </row>
    <row r="12">
      <c r="A12" s="37" t="s">
        <v>1894</v>
      </c>
      <c r="B12" s="54">
        <v>1.0</v>
      </c>
      <c r="C12" s="54">
        <v>0.0</v>
      </c>
      <c r="D12" s="54">
        <v>1.0</v>
      </c>
      <c r="E12" s="37" t="s">
        <v>1757</v>
      </c>
      <c r="F12" s="37" t="s">
        <v>1891</v>
      </c>
    </row>
    <row r="13">
      <c r="A13" s="37" t="s">
        <v>1894</v>
      </c>
      <c r="B13" s="54">
        <v>1.0</v>
      </c>
      <c r="C13" s="54">
        <v>0.0</v>
      </c>
      <c r="D13" s="54">
        <v>1.0</v>
      </c>
      <c r="E13" s="37" t="s">
        <v>1762</v>
      </c>
    </row>
    <row r="14">
      <c r="A14" s="37" t="s">
        <v>1897</v>
      </c>
      <c r="B14" s="54">
        <v>1.0</v>
      </c>
      <c r="C14" s="54">
        <v>0.0</v>
      </c>
      <c r="D14" s="54">
        <v>1.0</v>
      </c>
      <c r="E14" s="37" t="s">
        <v>1781</v>
      </c>
      <c r="F14" s="37" t="s">
        <v>1898</v>
      </c>
    </row>
    <row r="15">
      <c r="A15" s="37" t="s">
        <v>1900</v>
      </c>
      <c r="B15" s="54">
        <v>1.0</v>
      </c>
      <c r="C15" s="54">
        <v>0.0</v>
      </c>
      <c r="D15" s="54">
        <v>1.0</v>
      </c>
      <c r="E15" s="37" t="s">
        <v>1781</v>
      </c>
      <c r="F15" s="37" t="s">
        <v>1898</v>
      </c>
    </row>
    <row r="16">
      <c r="A16" s="37" t="s">
        <v>1901</v>
      </c>
      <c r="B16" s="54">
        <v>1.0</v>
      </c>
      <c r="C16" s="54">
        <v>0.0</v>
      </c>
      <c r="D16" s="54">
        <v>1.0</v>
      </c>
      <c r="E16" s="37" t="s">
        <v>1750</v>
      </c>
      <c r="F16" s="37" t="s">
        <v>1902</v>
      </c>
    </row>
    <row r="17">
      <c r="A17" s="37" t="s">
        <v>1903</v>
      </c>
      <c r="B17" s="54">
        <v>1.0</v>
      </c>
      <c r="C17" s="54">
        <v>0.0</v>
      </c>
      <c r="D17" s="54">
        <v>1.0</v>
      </c>
      <c r="E17" s="37" t="s">
        <v>1750</v>
      </c>
      <c r="F17" s="37" t="s">
        <v>1902</v>
      </c>
    </row>
    <row r="18">
      <c r="A18" s="37" t="s">
        <v>1905</v>
      </c>
      <c r="B18" s="54">
        <v>1.0</v>
      </c>
      <c r="C18" s="54">
        <v>0.0</v>
      </c>
      <c r="D18" s="54">
        <v>1.0</v>
      </c>
      <c r="E18" s="37" t="s">
        <v>1750</v>
      </c>
      <c r="F18" s="37" t="s">
        <v>1902</v>
      </c>
    </row>
    <row r="19">
      <c r="A19" s="37" t="s">
        <v>1906</v>
      </c>
      <c r="B19" s="54">
        <v>1.0</v>
      </c>
      <c r="C19" s="54">
        <v>0.0</v>
      </c>
      <c r="D19" s="54">
        <v>1.0</v>
      </c>
      <c r="E19" s="37" t="s">
        <v>1750</v>
      </c>
      <c r="F19" s="37" t="s">
        <v>1902</v>
      </c>
    </row>
    <row r="20">
      <c r="A20" s="37" t="s">
        <v>1908</v>
      </c>
      <c r="B20" s="54">
        <v>1.0</v>
      </c>
      <c r="C20" s="54">
        <v>0.0</v>
      </c>
      <c r="D20" s="54">
        <v>1.0</v>
      </c>
      <c r="E20" s="37" t="s">
        <v>1771</v>
      </c>
      <c r="F20" s="37" t="s">
        <v>1910</v>
      </c>
    </row>
    <row r="21">
      <c r="A21" s="37" t="s">
        <v>1911</v>
      </c>
      <c r="B21" s="54">
        <v>1.0</v>
      </c>
      <c r="C21" s="54">
        <v>0.0</v>
      </c>
      <c r="D21" s="54">
        <v>1.0</v>
      </c>
      <c r="E21" s="37" t="s">
        <v>1771</v>
      </c>
      <c r="F21" s="37" t="s">
        <v>1910</v>
      </c>
    </row>
    <row r="22">
      <c r="A22" s="37" t="s">
        <v>1913</v>
      </c>
      <c r="B22" s="54">
        <v>1.0</v>
      </c>
      <c r="C22" s="54">
        <v>0.0</v>
      </c>
      <c r="D22" s="54">
        <v>1.0</v>
      </c>
      <c r="E22" s="37" t="s">
        <v>1774</v>
      </c>
      <c r="F22" s="37" t="s">
        <v>1915</v>
      </c>
    </row>
    <row r="23">
      <c r="A23" s="37" t="s">
        <v>1916</v>
      </c>
      <c r="B23" s="54">
        <v>1.0</v>
      </c>
      <c r="C23" s="54">
        <v>0.0</v>
      </c>
      <c r="D23" s="54">
        <v>1.0</v>
      </c>
      <c r="E23" s="37" t="s">
        <v>1774</v>
      </c>
      <c r="F23" s="37" t="s">
        <v>1915</v>
      </c>
    </row>
    <row r="24">
      <c r="A24" s="37" t="s">
        <v>1918</v>
      </c>
      <c r="B24" s="54">
        <v>1.0</v>
      </c>
      <c r="C24" s="54">
        <v>0.0</v>
      </c>
      <c r="D24" s="54">
        <v>1.0</v>
      </c>
      <c r="E24" s="37" t="s">
        <v>1762</v>
      </c>
      <c r="F24" s="37" t="s">
        <v>1919</v>
      </c>
    </row>
    <row r="25">
      <c r="A25" s="37" t="s">
        <v>1920</v>
      </c>
      <c r="B25" s="54">
        <v>1.0</v>
      </c>
      <c r="C25" s="54">
        <v>0.0</v>
      </c>
      <c r="D25" s="54">
        <v>1.0</v>
      </c>
      <c r="E25" s="37" t="s">
        <v>1762</v>
      </c>
      <c r="F25" s="37" t="s">
        <v>1919</v>
      </c>
    </row>
    <row r="26">
      <c r="A26" s="37" t="s">
        <v>1923</v>
      </c>
      <c r="B26" s="54">
        <v>1.0</v>
      </c>
      <c r="C26" s="54">
        <v>0.0</v>
      </c>
      <c r="D26" s="54">
        <v>1.0</v>
      </c>
      <c r="E26" s="37" t="s">
        <v>1757</v>
      </c>
    </row>
    <row r="27">
      <c r="A27" s="37" t="s">
        <v>1924</v>
      </c>
      <c r="B27" s="54">
        <v>1.0</v>
      </c>
      <c r="C27" s="54">
        <v>0.0</v>
      </c>
      <c r="D27" s="54">
        <v>1.0</v>
      </c>
      <c r="E27" s="37" t="s">
        <v>1757</v>
      </c>
    </row>
    <row r="28">
      <c r="A28" s="37" t="s">
        <v>1926</v>
      </c>
      <c r="B28" s="54">
        <v>1.0</v>
      </c>
      <c r="C28" s="54">
        <v>0.0</v>
      </c>
      <c r="D28" s="54">
        <v>1.0</v>
      </c>
      <c r="E28" s="37" t="s">
        <v>1750</v>
      </c>
      <c r="F28" s="37" t="s">
        <v>1927</v>
      </c>
    </row>
    <row r="29">
      <c r="A29" s="37" t="s">
        <v>1928</v>
      </c>
      <c r="B29" s="54">
        <v>1.0</v>
      </c>
      <c r="C29" s="54">
        <v>0.0</v>
      </c>
      <c r="D29" s="54">
        <v>1.0</v>
      </c>
      <c r="E29" s="37" t="s">
        <v>1750</v>
      </c>
      <c r="F29" s="37" t="s">
        <v>1927</v>
      </c>
    </row>
    <row r="30">
      <c r="A30" s="37" t="s">
        <v>1932</v>
      </c>
      <c r="B30" s="54">
        <v>1.0</v>
      </c>
      <c r="C30" s="54">
        <v>0.0</v>
      </c>
      <c r="D30" s="54">
        <v>1.0</v>
      </c>
      <c r="E30" s="37" t="s">
        <v>1750</v>
      </c>
      <c r="F30" s="37" t="s">
        <v>1927</v>
      </c>
    </row>
    <row r="31">
      <c r="A31" s="37" t="s">
        <v>1933</v>
      </c>
      <c r="B31" s="54">
        <v>1.0</v>
      </c>
      <c r="C31" s="54">
        <v>0.0</v>
      </c>
      <c r="D31" s="54">
        <v>1.0</v>
      </c>
      <c r="E31" s="37" t="s">
        <v>1750</v>
      </c>
      <c r="F31" s="37" t="s">
        <v>1927</v>
      </c>
    </row>
    <row r="32">
      <c r="A32" s="37" t="s">
        <v>1935</v>
      </c>
      <c r="B32" s="54">
        <v>1.0</v>
      </c>
      <c r="C32" s="54">
        <v>0.0</v>
      </c>
      <c r="D32" s="54">
        <v>1.0</v>
      </c>
      <c r="E32" s="37" t="s">
        <v>1771</v>
      </c>
      <c r="F32" s="37" t="s">
        <v>1936</v>
      </c>
    </row>
    <row r="33">
      <c r="A33" s="37" t="s">
        <v>1937</v>
      </c>
      <c r="B33" s="54">
        <v>1.0</v>
      </c>
      <c r="C33" s="54">
        <v>0.0</v>
      </c>
      <c r="D33" s="54">
        <v>1.0</v>
      </c>
      <c r="E33" s="37" t="s">
        <v>1771</v>
      </c>
      <c r="F33" s="37" t="s">
        <v>1936</v>
      </c>
    </row>
    <row r="34">
      <c r="A34" s="37" t="s">
        <v>1941</v>
      </c>
      <c r="B34" s="54">
        <v>1.0</v>
      </c>
      <c r="C34" s="54">
        <v>0.0</v>
      </c>
      <c r="D34" s="54">
        <v>1.0</v>
      </c>
      <c r="E34" s="37" t="s">
        <v>1753</v>
      </c>
      <c r="F34" s="37" t="s">
        <v>1944</v>
      </c>
    </row>
    <row r="35">
      <c r="A35" s="37" t="s">
        <v>1945</v>
      </c>
      <c r="B35" s="54">
        <v>1.0</v>
      </c>
      <c r="C35" s="54">
        <v>0.0</v>
      </c>
      <c r="D35" s="54">
        <v>1.0</v>
      </c>
      <c r="E35" s="37" t="s">
        <v>1753</v>
      </c>
      <c r="F35" s="37" t="s">
        <v>1944</v>
      </c>
    </row>
    <row r="36">
      <c r="A36" s="37" t="s">
        <v>1947</v>
      </c>
      <c r="B36" s="54">
        <v>1.0</v>
      </c>
      <c r="C36" s="54">
        <v>0.0</v>
      </c>
      <c r="D36" s="54">
        <v>1.0</v>
      </c>
      <c r="E36" s="37" t="s">
        <v>1753</v>
      </c>
      <c r="F36" s="37" t="s">
        <v>1944</v>
      </c>
    </row>
    <row r="37">
      <c r="A37" s="37" t="s">
        <v>1948</v>
      </c>
      <c r="B37" s="54">
        <v>1.0</v>
      </c>
      <c r="C37" s="54">
        <v>0.0</v>
      </c>
      <c r="D37" s="54">
        <v>1.0</v>
      </c>
      <c r="E37" s="37" t="s">
        <v>1753</v>
      </c>
      <c r="F37" s="37" t="s">
        <v>1944</v>
      </c>
    </row>
    <row r="38">
      <c r="A38" s="37" t="s">
        <v>1947</v>
      </c>
      <c r="B38" s="54">
        <v>1.0</v>
      </c>
      <c r="C38" s="54">
        <v>0.0</v>
      </c>
      <c r="D38" s="54">
        <v>1.0</v>
      </c>
      <c r="E38" s="37" t="s">
        <v>1757</v>
      </c>
      <c r="F38" s="37" t="s">
        <v>1952</v>
      </c>
    </row>
    <row r="39">
      <c r="A39" s="37" t="s">
        <v>1948</v>
      </c>
      <c r="B39" s="54">
        <v>1.0</v>
      </c>
      <c r="C39" s="54">
        <v>0.0</v>
      </c>
      <c r="D39" s="54">
        <v>1.0</v>
      </c>
      <c r="E39" s="37" t="s">
        <v>1757</v>
      </c>
      <c r="F39" s="37" t="s">
        <v>1952</v>
      </c>
    </row>
    <row r="40">
      <c r="A40" s="37" t="s">
        <v>1954</v>
      </c>
      <c r="B40" s="54">
        <v>1.0</v>
      </c>
      <c r="C40" s="54">
        <v>0.0</v>
      </c>
      <c r="D40" s="54">
        <v>1.0</v>
      </c>
      <c r="E40" s="37" t="s">
        <v>1762</v>
      </c>
    </row>
    <row r="41">
      <c r="A41" s="37" t="s">
        <v>1955</v>
      </c>
      <c r="B41" s="54">
        <v>1.0</v>
      </c>
      <c r="C41" s="54">
        <v>0.0</v>
      </c>
      <c r="D41" s="54">
        <v>1.0</v>
      </c>
      <c r="E41" s="37" t="s">
        <v>1762</v>
      </c>
    </row>
    <row r="42">
      <c r="A42" s="37" t="s">
        <v>1958</v>
      </c>
      <c r="B42" s="54">
        <v>1.0</v>
      </c>
      <c r="C42" s="54">
        <v>0.0</v>
      </c>
      <c r="D42" s="54">
        <v>1.0</v>
      </c>
      <c r="E42" s="37" t="s">
        <v>1755</v>
      </c>
    </row>
    <row r="43">
      <c r="A43" s="37" t="s">
        <v>1960</v>
      </c>
      <c r="B43" s="54">
        <v>1.0</v>
      </c>
      <c r="C43" s="54">
        <v>0.0</v>
      </c>
      <c r="D43" s="54">
        <v>1.0</v>
      </c>
      <c r="E43" s="37" t="s">
        <v>1755</v>
      </c>
    </row>
    <row r="44">
      <c r="A44" s="37" t="s">
        <v>1962</v>
      </c>
      <c r="B44" s="54">
        <v>1.0</v>
      </c>
      <c r="C44" s="54">
        <v>0.0</v>
      </c>
      <c r="D44" s="54">
        <v>1.0</v>
      </c>
      <c r="E44" s="37" t="s">
        <v>1762</v>
      </c>
    </row>
    <row r="45">
      <c r="A45" s="37" t="s">
        <v>1964</v>
      </c>
      <c r="B45" s="54">
        <v>1.0</v>
      </c>
      <c r="C45" s="54">
        <v>0.0</v>
      </c>
      <c r="D45" s="54">
        <v>1.0</v>
      </c>
      <c r="E45" s="37" t="s">
        <v>1762</v>
      </c>
    </row>
    <row r="46">
      <c r="A46" s="37" t="s">
        <v>1965</v>
      </c>
      <c r="B46" s="54">
        <v>1.0</v>
      </c>
      <c r="C46" s="54">
        <v>0.0</v>
      </c>
      <c r="D46" s="54">
        <v>1.0</v>
      </c>
      <c r="E46" s="37" t="s">
        <v>1781</v>
      </c>
      <c r="F46" s="37" t="s">
        <v>1966</v>
      </c>
    </row>
    <row r="47">
      <c r="A47" s="37" t="s">
        <v>1969</v>
      </c>
      <c r="B47" s="54">
        <v>1.0</v>
      </c>
      <c r="C47" s="54">
        <v>0.0</v>
      </c>
      <c r="D47" s="54">
        <v>1.0</v>
      </c>
      <c r="E47" s="37" t="s">
        <v>1781</v>
      </c>
      <c r="F47" s="37" t="s">
        <v>1966</v>
      </c>
    </row>
    <row r="48">
      <c r="A48" s="37" t="s">
        <v>1972</v>
      </c>
      <c r="B48" s="54">
        <v>1.0</v>
      </c>
      <c r="C48" s="54">
        <v>0.0</v>
      </c>
      <c r="D48" s="54">
        <v>1.0</v>
      </c>
      <c r="E48" s="37" t="s">
        <v>1750</v>
      </c>
      <c r="F48" s="37" t="s">
        <v>1973</v>
      </c>
    </row>
    <row r="49">
      <c r="A49" s="37" t="s">
        <v>1975</v>
      </c>
      <c r="B49" s="54">
        <v>1.0</v>
      </c>
      <c r="C49" s="54">
        <v>0.0</v>
      </c>
      <c r="D49" s="54">
        <v>1.0</v>
      </c>
      <c r="E49" s="37" t="s">
        <v>1750</v>
      </c>
      <c r="F49" s="37" t="s">
        <v>1973</v>
      </c>
    </row>
    <row r="50">
      <c r="A50" s="37" t="s">
        <v>1976</v>
      </c>
      <c r="B50" s="54">
        <v>1.0</v>
      </c>
      <c r="C50" s="54">
        <v>0.0</v>
      </c>
      <c r="D50" s="54">
        <v>1.0</v>
      </c>
      <c r="E50" s="37" t="s">
        <v>1750</v>
      </c>
      <c r="F50" s="37" t="s">
        <v>1973</v>
      </c>
    </row>
    <row r="51">
      <c r="A51" s="37" t="s">
        <v>1980</v>
      </c>
      <c r="B51" s="54">
        <v>1.0</v>
      </c>
      <c r="C51" s="54">
        <v>0.0</v>
      </c>
      <c r="D51" s="54">
        <v>1.0</v>
      </c>
      <c r="E51" s="37" t="s">
        <v>1750</v>
      </c>
      <c r="F51" s="37" t="s">
        <v>1973</v>
      </c>
    </row>
    <row r="52">
      <c r="A52" s="37" t="s">
        <v>1981</v>
      </c>
      <c r="B52" s="54">
        <v>1.0</v>
      </c>
      <c r="C52" s="54">
        <v>0.0</v>
      </c>
      <c r="D52" s="54">
        <v>1.0</v>
      </c>
      <c r="E52" s="37" t="s">
        <v>1982</v>
      </c>
      <c r="F52" s="37" t="s">
        <v>1984</v>
      </c>
    </row>
    <row r="53">
      <c r="A53" s="37" t="s">
        <v>1985</v>
      </c>
      <c r="B53" s="54">
        <v>1.0</v>
      </c>
      <c r="C53" s="54">
        <v>0.0</v>
      </c>
      <c r="D53" s="54">
        <v>1.0</v>
      </c>
      <c r="E53" s="37" t="s">
        <v>1982</v>
      </c>
      <c r="F53" s="37" t="s">
        <v>1984</v>
      </c>
    </row>
    <row r="54">
      <c r="A54" s="37" t="s">
        <v>1986</v>
      </c>
      <c r="B54" s="54">
        <v>1.0</v>
      </c>
      <c r="C54" s="54">
        <v>0.0</v>
      </c>
      <c r="D54" s="54">
        <v>1.0</v>
      </c>
      <c r="E54" s="37" t="s">
        <v>1750</v>
      </c>
      <c r="F54" s="37" t="s">
        <v>1989</v>
      </c>
    </row>
    <row r="55">
      <c r="A55" s="37" t="s">
        <v>1990</v>
      </c>
      <c r="B55" s="54">
        <v>1.0</v>
      </c>
      <c r="C55" s="54">
        <v>0.0</v>
      </c>
      <c r="D55" s="54">
        <v>1.0</v>
      </c>
      <c r="E55" s="37" t="s">
        <v>1750</v>
      </c>
      <c r="F55" s="37" t="s">
        <v>1989</v>
      </c>
    </row>
    <row r="56">
      <c r="A56" s="37" t="s">
        <v>1991</v>
      </c>
      <c r="B56" s="54">
        <v>1.0</v>
      </c>
      <c r="C56" s="54">
        <v>0.0</v>
      </c>
      <c r="D56" s="54">
        <v>1.0</v>
      </c>
      <c r="E56" s="37" t="s">
        <v>1750</v>
      </c>
      <c r="F56" s="37" t="s">
        <v>1989</v>
      </c>
    </row>
    <row r="57">
      <c r="A57" s="37" t="s">
        <v>1994</v>
      </c>
      <c r="B57" s="54">
        <v>1.0</v>
      </c>
      <c r="C57" s="54">
        <v>0.0</v>
      </c>
      <c r="D57" s="54">
        <v>1.0</v>
      </c>
      <c r="E57" s="37" t="s">
        <v>1750</v>
      </c>
      <c r="F57" s="37" t="s">
        <v>1989</v>
      </c>
    </row>
    <row r="58">
      <c r="A58" s="37" t="s">
        <v>1996</v>
      </c>
      <c r="B58" s="54">
        <v>1.0</v>
      </c>
      <c r="C58" s="54">
        <v>0.0</v>
      </c>
      <c r="D58" s="54">
        <v>1.0</v>
      </c>
      <c r="E58" s="37" t="s">
        <v>1778</v>
      </c>
      <c r="F58" s="37" t="s">
        <v>1997</v>
      </c>
    </row>
    <row r="59">
      <c r="A59" s="37" t="s">
        <v>1998</v>
      </c>
      <c r="B59" s="54">
        <v>1.0</v>
      </c>
      <c r="C59" s="54">
        <v>0.0</v>
      </c>
      <c r="D59" s="54">
        <v>1.0</v>
      </c>
      <c r="E59" s="37" t="s">
        <v>1778</v>
      </c>
      <c r="F59" s="37" t="s">
        <v>1997</v>
      </c>
    </row>
    <row r="60">
      <c r="A60" s="37" t="s">
        <v>2000</v>
      </c>
      <c r="B60" s="54">
        <v>1.0</v>
      </c>
      <c r="C60" s="54">
        <v>0.0</v>
      </c>
      <c r="D60" s="54">
        <v>1.0</v>
      </c>
      <c r="E60" s="37" t="s">
        <v>1778</v>
      </c>
      <c r="F60" s="37" t="s">
        <v>1997</v>
      </c>
    </row>
    <row r="61">
      <c r="A61" s="37" t="s">
        <v>2002</v>
      </c>
      <c r="B61" s="54">
        <v>1.0</v>
      </c>
      <c r="C61" s="54">
        <v>0.0</v>
      </c>
      <c r="D61" s="54">
        <v>1.0</v>
      </c>
      <c r="E61" s="37" t="s">
        <v>1778</v>
      </c>
      <c r="F61" s="37" t="s">
        <v>1997</v>
      </c>
    </row>
    <row r="62">
      <c r="A62" s="37" t="s">
        <v>2003</v>
      </c>
      <c r="B62" s="54">
        <v>1.0</v>
      </c>
      <c r="C62" s="54">
        <v>0.0</v>
      </c>
      <c r="D62" s="54">
        <v>1.0</v>
      </c>
      <c r="E62" s="37" t="s">
        <v>1778</v>
      </c>
      <c r="F62" s="37" t="s">
        <v>2005</v>
      </c>
    </row>
    <row r="63">
      <c r="A63" s="37" t="s">
        <v>2007</v>
      </c>
      <c r="B63" s="54">
        <v>1.0</v>
      </c>
      <c r="C63" s="54">
        <v>0.0</v>
      </c>
      <c r="D63" s="54">
        <v>1.0</v>
      </c>
      <c r="E63" s="37" t="s">
        <v>1778</v>
      </c>
      <c r="F63" s="37" t="s">
        <v>2005</v>
      </c>
    </row>
    <row r="64">
      <c r="A64" s="37" t="s">
        <v>2009</v>
      </c>
      <c r="B64" s="54">
        <v>1.0</v>
      </c>
      <c r="C64" s="54">
        <v>0.0</v>
      </c>
      <c r="D64" s="54">
        <v>1.0</v>
      </c>
      <c r="E64" s="37" t="s">
        <v>1755</v>
      </c>
    </row>
    <row r="65">
      <c r="A65" s="37" t="s">
        <v>2010</v>
      </c>
      <c r="B65" s="54">
        <v>1.0</v>
      </c>
      <c r="C65" s="54">
        <v>0.0</v>
      </c>
      <c r="D65" s="54">
        <v>1.0</v>
      </c>
      <c r="E65" s="37" t="s">
        <v>1755</v>
      </c>
    </row>
    <row r="66">
      <c r="A66" s="37" t="s">
        <v>2012</v>
      </c>
      <c r="B66" s="54">
        <v>1.0</v>
      </c>
      <c r="C66" s="54">
        <v>0.0</v>
      </c>
      <c r="D66" s="54">
        <v>1.0</v>
      </c>
      <c r="E66" s="37" t="s">
        <v>1755</v>
      </c>
    </row>
    <row r="67">
      <c r="A67" s="37" t="s">
        <v>2013</v>
      </c>
      <c r="B67" s="54">
        <v>1.0</v>
      </c>
      <c r="C67" s="54">
        <v>0.0</v>
      </c>
      <c r="D67" s="54">
        <v>1.0</v>
      </c>
      <c r="E67" s="37" t="s">
        <v>1755</v>
      </c>
    </row>
    <row r="68">
      <c r="A68" s="37" t="s">
        <v>2009</v>
      </c>
      <c r="B68" s="54">
        <v>1.0</v>
      </c>
      <c r="C68" s="54">
        <v>0.0</v>
      </c>
      <c r="D68" s="54">
        <v>1.0</v>
      </c>
      <c r="E68" s="37" t="s">
        <v>1767</v>
      </c>
    </row>
    <row r="69">
      <c r="A69" s="37" t="s">
        <v>2010</v>
      </c>
      <c r="B69" s="54">
        <v>1.0</v>
      </c>
      <c r="C69" s="54">
        <v>0.0</v>
      </c>
      <c r="D69" s="54">
        <v>1.0</v>
      </c>
      <c r="E69" s="37" t="s">
        <v>1767</v>
      </c>
    </row>
    <row r="70">
      <c r="A70" s="37" t="s">
        <v>2016</v>
      </c>
      <c r="B70" s="54">
        <v>1.0</v>
      </c>
      <c r="C70" s="54">
        <v>0.0</v>
      </c>
      <c r="D70" s="54">
        <v>1.0</v>
      </c>
      <c r="E70" s="37" t="s">
        <v>1767</v>
      </c>
    </row>
    <row r="71">
      <c r="A71" s="37" t="s">
        <v>2018</v>
      </c>
      <c r="B71" s="54">
        <v>1.0</v>
      </c>
      <c r="C71" s="54">
        <v>0.0</v>
      </c>
      <c r="D71" s="54">
        <v>1.0</v>
      </c>
      <c r="E71" s="37" t="s">
        <v>1767</v>
      </c>
    </row>
    <row r="72">
      <c r="A72" s="37" t="s">
        <v>2009</v>
      </c>
      <c r="B72" s="54">
        <v>1.0</v>
      </c>
      <c r="C72" s="54">
        <v>0.0</v>
      </c>
      <c r="D72" s="54">
        <v>1.0</v>
      </c>
      <c r="E72" s="37" t="s">
        <v>1769</v>
      </c>
    </row>
    <row r="73">
      <c r="A73" s="37" t="s">
        <v>2010</v>
      </c>
      <c r="B73" s="54">
        <v>1.0</v>
      </c>
      <c r="C73" s="54">
        <v>0.0</v>
      </c>
      <c r="D73" s="54">
        <v>1.0</v>
      </c>
      <c r="E73" s="37" t="s">
        <v>1769</v>
      </c>
    </row>
    <row r="74">
      <c r="A74" s="37" t="s">
        <v>2020</v>
      </c>
      <c r="B74" s="54">
        <v>1.0</v>
      </c>
      <c r="C74" s="54">
        <v>0.0</v>
      </c>
      <c r="D74" s="54">
        <v>1.0</v>
      </c>
      <c r="E74" s="37" t="s">
        <v>1765</v>
      </c>
    </row>
    <row r="75">
      <c r="A75" s="37" t="s">
        <v>2021</v>
      </c>
      <c r="B75" s="54">
        <v>1.0</v>
      </c>
      <c r="C75" s="54">
        <v>0.0</v>
      </c>
      <c r="D75" s="54">
        <v>1.0</v>
      </c>
      <c r="E75" s="37" t="s">
        <v>1765</v>
      </c>
    </row>
    <row r="76">
      <c r="A76" s="37" t="s">
        <v>2023</v>
      </c>
      <c r="B76" s="54">
        <v>1.0</v>
      </c>
      <c r="C76" s="54">
        <v>0.0</v>
      </c>
      <c r="D76" s="54">
        <v>1.0</v>
      </c>
      <c r="E76" s="37" t="s">
        <v>1765</v>
      </c>
    </row>
    <row r="77">
      <c r="A77" s="37" t="s">
        <v>2024</v>
      </c>
      <c r="B77" s="54">
        <v>1.0</v>
      </c>
      <c r="C77" s="54">
        <v>0.0</v>
      </c>
      <c r="D77" s="54">
        <v>1.0</v>
      </c>
      <c r="E77" s="37" t="s">
        <v>1765</v>
      </c>
    </row>
    <row r="78">
      <c r="A78" s="37" t="s">
        <v>2026</v>
      </c>
      <c r="B78" s="54">
        <v>1.0</v>
      </c>
      <c r="C78" s="54">
        <v>0.0</v>
      </c>
      <c r="D78" s="54">
        <v>1.0</v>
      </c>
      <c r="E78" s="37" t="s">
        <v>1765</v>
      </c>
      <c r="F78" s="37" t="s">
        <v>2028</v>
      </c>
    </row>
    <row r="79">
      <c r="A79" s="37" t="s">
        <v>2029</v>
      </c>
      <c r="B79" s="54">
        <v>1.0</v>
      </c>
      <c r="C79" s="54">
        <v>0.0</v>
      </c>
      <c r="D79" s="54">
        <v>1.0</v>
      </c>
      <c r="E79" s="37" t="s">
        <v>1765</v>
      </c>
      <c r="F79" s="37" t="s">
        <v>2028</v>
      </c>
    </row>
    <row r="80">
      <c r="A80" s="37" t="s">
        <v>2030</v>
      </c>
      <c r="B80" s="54">
        <v>1.0</v>
      </c>
      <c r="C80" s="54">
        <v>0.0</v>
      </c>
      <c r="D80" s="54">
        <v>1.0</v>
      </c>
      <c r="E80" s="37" t="s">
        <v>1765</v>
      </c>
      <c r="F80" s="37" t="s">
        <v>2032</v>
      </c>
    </row>
    <row r="81">
      <c r="A81" s="37" t="s">
        <v>2033</v>
      </c>
      <c r="B81" s="54">
        <v>1.0</v>
      </c>
      <c r="C81" s="54">
        <v>0.0</v>
      </c>
      <c r="D81" s="54">
        <v>1.0</v>
      </c>
      <c r="E81" s="37" t="s">
        <v>1765</v>
      </c>
      <c r="F81" s="37" t="s">
        <v>2032</v>
      </c>
    </row>
    <row r="82">
      <c r="A82" s="37" t="s">
        <v>2034</v>
      </c>
      <c r="B82" s="54">
        <v>1.0</v>
      </c>
      <c r="C82" s="54">
        <v>0.0</v>
      </c>
      <c r="D82" s="54">
        <v>1.0</v>
      </c>
      <c r="E82" s="37" t="s">
        <v>1757</v>
      </c>
      <c r="F82" s="37" t="s">
        <v>2036</v>
      </c>
    </row>
    <row r="83">
      <c r="A83" s="37" t="s">
        <v>2038</v>
      </c>
      <c r="B83" s="54">
        <v>1.0</v>
      </c>
      <c r="C83" s="54">
        <v>0.0</v>
      </c>
      <c r="D83" s="54">
        <v>1.0</v>
      </c>
      <c r="E83" s="37" t="s">
        <v>1757</v>
      </c>
      <c r="F83" s="37" t="s">
        <v>2036</v>
      </c>
    </row>
    <row r="84">
      <c r="A84" s="37" t="s">
        <v>2040</v>
      </c>
      <c r="B84" s="54">
        <v>1.0</v>
      </c>
      <c r="C84" s="54">
        <v>0.0</v>
      </c>
      <c r="D84" s="54">
        <v>1.0</v>
      </c>
      <c r="E84" s="37" t="s">
        <v>1760</v>
      </c>
      <c r="F84" s="37" t="s">
        <v>2041</v>
      </c>
    </row>
    <row r="85">
      <c r="A85" s="37" t="s">
        <v>2042</v>
      </c>
      <c r="B85" s="54">
        <v>1.0</v>
      </c>
      <c r="C85" s="54">
        <v>0.0</v>
      </c>
      <c r="D85" s="54">
        <v>1.0</v>
      </c>
      <c r="E85" s="37" t="s">
        <v>1760</v>
      </c>
      <c r="F85" s="37" t="s">
        <v>2041</v>
      </c>
    </row>
    <row r="86">
      <c r="A86" s="37" t="s">
        <v>2043</v>
      </c>
      <c r="B86" s="54">
        <v>1.0</v>
      </c>
      <c r="C86" s="54">
        <v>0.0</v>
      </c>
      <c r="D86" s="54">
        <v>1.0</v>
      </c>
      <c r="E86" s="37" t="s">
        <v>1788</v>
      </c>
      <c r="F86" s="37" t="s">
        <v>2045</v>
      </c>
    </row>
    <row r="87">
      <c r="A87" s="37" t="s">
        <v>2046</v>
      </c>
      <c r="B87" s="54">
        <v>1.0</v>
      </c>
      <c r="C87" s="54">
        <v>0.0</v>
      </c>
      <c r="D87" s="54">
        <v>1.0</v>
      </c>
      <c r="E87" s="37" t="s">
        <v>1788</v>
      </c>
      <c r="F87" s="37" t="s">
        <v>2045</v>
      </c>
    </row>
    <row r="88">
      <c r="A88" s="37" t="s">
        <v>2047</v>
      </c>
      <c r="B88" s="54">
        <v>1.0</v>
      </c>
      <c r="C88" s="54">
        <v>0.0</v>
      </c>
      <c r="D88" s="54">
        <v>1.0</v>
      </c>
      <c r="E88" s="37" t="s">
        <v>1785</v>
      </c>
      <c r="F88" s="37" t="s">
        <v>2048</v>
      </c>
    </row>
    <row r="89">
      <c r="A89" s="37" t="s">
        <v>2049</v>
      </c>
      <c r="B89" s="54">
        <v>1.0</v>
      </c>
      <c r="C89" s="54">
        <v>0.0</v>
      </c>
      <c r="D89" s="54">
        <v>1.0</v>
      </c>
      <c r="E89" s="37" t="s">
        <v>1785</v>
      </c>
      <c r="F89" s="37" t="s">
        <v>2048</v>
      </c>
    </row>
    <row r="90">
      <c r="A90" s="37" t="s">
        <v>2050</v>
      </c>
      <c r="B90" s="54">
        <v>1.0</v>
      </c>
      <c r="C90" s="54">
        <v>0.0</v>
      </c>
      <c r="D90" s="54">
        <v>1.0</v>
      </c>
      <c r="E90" s="37" t="s">
        <v>1785</v>
      </c>
      <c r="F90" s="37" t="s">
        <v>2051</v>
      </c>
    </row>
    <row r="91">
      <c r="A91" s="37" t="s">
        <v>2053</v>
      </c>
      <c r="B91" s="54">
        <v>1.0</v>
      </c>
      <c r="C91" s="54">
        <v>0.0</v>
      </c>
      <c r="D91" s="54">
        <v>1.0</v>
      </c>
      <c r="E91" s="37" t="s">
        <v>1785</v>
      </c>
      <c r="F91" s="37" t="s">
        <v>2051</v>
      </c>
    </row>
    <row r="92">
      <c r="A92" s="37" t="s">
        <v>2054</v>
      </c>
      <c r="B92" s="54">
        <v>1.0</v>
      </c>
      <c r="C92" s="54">
        <v>0.0</v>
      </c>
      <c r="D92" s="54">
        <v>1.0</v>
      </c>
      <c r="E92" s="37" t="s">
        <v>1771</v>
      </c>
      <c r="F92" s="37" t="s">
        <v>2055</v>
      </c>
    </row>
    <row r="93">
      <c r="A93" s="37" t="s">
        <v>2056</v>
      </c>
      <c r="B93" s="54">
        <v>1.0</v>
      </c>
      <c r="C93" s="54">
        <v>0.0</v>
      </c>
      <c r="D93" s="54">
        <v>1.0</v>
      </c>
      <c r="E93" s="37" t="s">
        <v>1771</v>
      </c>
      <c r="F93" s="37" t="s">
        <v>2055</v>
      </c>
    </row>
    <row r="94">
      <c r="A94" s="37" t="s">
        <v>2057</v>
      </c>
      <c r="B94" s="54">
        <v>1.0</v>
      </c>
      <c r="C94" s="54">
        <v>0.0</v>
      </c>
      <c r="D94" s="54">
        <v>1.0</v>
      </c>
      <c r="E94" s="37" t="s">
        <v>1788</v>
      </c>
      <c r="F94" s="37" t="s">
        <v>2058</v>
      </c>
    </row>
    <row r="95">
      <c r="A95" s="37" t="s">
        <v>2059</v>
      </c>
      <c r="B95" s="54">
        <v>1.0</v>
      </c>
      <c r="C95" s="54">
        <v>0.0</v>
      </c>
      <c r="D95" s="54">
        <v>1.0</v>
      </c>
      <c r="E95" s="37" t="s">
        <v>1788</v>
      </c>
      <c r="F95" s="37" t="s">
        <v>2058</v>
      </c>
    </row>
    <row r="96">
      <c r="A96" s="37" t="s">
        <v>2061</v>
      </c>
      <c r="B96" s="54">
        <v>1.0</v>
      </c>
      <c r="C96" s="54">
        <v>0.0</v>
      </c>
      <c r="D96" s="54">
        <v>1.0</v>
      </c>
      <c r="E96" s="37" t="s">
        <v>1750</v>
      </c>
      <c r="F96" s="37" t="s">
        <v>2062</v>
      </c>
    </row>
    <row r="97">
      <c r="A97" s="37" t="s">
        <v>2063</v>
      </c>
      <c r="B97" s="54">
        <v>1.0</v>
      </c>
      <c r="C97" s="54">
        <v>0.0</v>
      </c>
      <c r="D97" s="54">
        <v>1.0</v>
      </c>
      <c r="E97" s="37" t="s">
        <v>1750</v>
      </c>
      <c r="F97" s="37" t="s">
        <v>2062</v>
      </c>
    </row>
    <row r="98">
      <c r="A98" s="37" t="s">
        <v>2066</v>
      </c>
      <c r="B98" s="54">
        <v>1.0</v>
      </c>
      <c r="C98" s="54">
        <v>0.0</v>
      </c>
      <c r="D98" s="54">
        <v>1.0</v>
      </c>
      <c r="E98" s="37" t="s">
        <v>1750</v>
      </c>
      <c r="F98" s="37" t="s">
        <v>2062</v>
      </c>
    </row>
    <row r="99">
      <c r="A99" s="37" t="s">
        <v>2067</v>
      </c>
      <c r="B99" s="54">
        <v>1.0</v>
      </c>
      <c r="C99" s="54">
        <v>0.0</v>
      </c>
      <c r="D99" s="54">
        <v>1.0</v>
      </c>
      <c r="E99" s="37" t="s">
        <v>1750</v>
      </c>
      <c r="F99" s="37" t="s">
        <v>2062</v>
      </c>
    </row>
    <row r="100">
      <c r="A100" s="37" t="s">
        <v>2069</v>
      </c>
      <c r="B100" s="54">
        <v>1.0</v>
      </c>
      <c r="C100" s="54">
        <v>0.0</v>
      </c>
      <c r="D100" s="54">
        <v>1.0</v>
      </c>
      <c r="E100" s="37" t="s">
        <v>1750</v>
      </c>
      <c r="F100" s="37" t="s">
        <v>2070</v>
      </c>
    </row>
    <row r="101">
      <c r="A101" s="37" t="s">
        <v>2071</v>
      </c>
      <c r="B101" s="54">
        <v>1.0</v>
      </c>
      <c r="C101" s="54">
        <v>0.0</v>
      </c>
      <c r="D101" s="54">
        <v>1.0</v>
      </c>
      <c r="E101" s="37" t="s">
        <v>1750</v>
      </c>
      <c r="F101" s="37" t="s">
        <v>2070</v>
      </c>
    </row>
    <row r="102">
      <c r="A102" s="37" t="s">
        <v>2072</v>
      </c>
      <c r="B102" s="54">
        <v>1.0</v>
      </c>
      <c r="C102" s="54">
        <v>0.0</v>
      </c>
      <c r="D102" s="54">
        <v>1.0</v>
      </c>
      <c r="E102" s="37" t="s">
        <v>1750</v>
      </c>
      <c r="F102" s="37" t="s">
        <v>2070</v>
      </c>
    </row>
    <row r="103">
      <c r="A103" s="37" t="s">
        <v>2073</v>
      </c>
      <c r="B103" s="54">
        <v>1.0</v>
      </c>
      <c r="C103" s="54">
        <v>0.0</v>
      </c>
      <c r="D103" s="54">
        <v>1.0</v>
      </c>
      <c r="E103" s="37" t="s">
        <v>1750</v>
      </c>
      <c r="F103" s="37" t="s">
        <v>2070</v>
      </c>
    </row>
    <row r="104">
      <c r="A104" s="37" t="s">
        <v>2074</v>
      </c>
      <c r="B104" s="54">
        <v>1.0</v>
      </c>
      <c r="C104" s="54">
        <v>0.0</v>
      </c>
      <c r="D104" s="54">
        <v>1.0</v>
      </c>
      <c r="E104" s="37" t="s">
        <v>1750</v>
      </c>
      <c r="F104" s="37" t="s">
        <v>2076</v>
      </c>
    </row>
    <row r="105">
      <c r="A105" s="37" t="s">
        <v>2077</v>
      </c>
      <c r="B105" s="54">
        <v>1.0</v>
      </c>
      <c r="C105" s="54">
        <v>0.0</v>
      </c>
      <c r="D105" s="54">
        <v>1.0</v>
      </c>
      <c r="E105" s="37" t="s">
        <v>1750</v>
      </c>
      <c r="F105" s="37" t="s">
        <v>2076</v>
      </c>
    </row>
    <row r="106">
      <c r="A106" s="37" t="s">
        <v>2078</v>
      </c>
      <c r="B106" s="54">
        <v>1.0</v>
      </c>
      <c r="C106" s="54">
        <v>0.0</v>
      </c>
      <c r="D106" s="54">
        <v>1.0</v>
      </c>
      <c r="E106" s="37" t="s">
        <v>1750</v>
      </c>
      <c r="F106" s="37" t="s">
        <v>2076</v>
      </c>
    </row>
    <row r="107">
      <c r="A107" s="37" t="s">
        <v>2080</v>
      </c>
      <c r="B107" s="54">
        <v>1.0</v>
      </c>
      <c r="C107" s="54">
        <v>0.0</v>
      </c>
      <c r="D107" s="54">
        <v>1.0</v>
      </c>
      <c r="E107" s="37" t="s">
        <v>1750</v>
      </c>
      <c r="F107" s="37" t="s">
        <v>2076</v>
      </c>
    </row>
    <row r="108">
      <c r="A108" s="37" t="s">
        <v>2081</v>
      </c>
      <c r="B108" s="54">
        <v>0.0</v>
      </c>
      <c r="C108" s="54">
        <v>1.0</v>
      </c>
      <c r="D108" s="54">
        <v>1.0</v>
      </c>
      <c r="E108" s="37" t="s">
        <v>1753</v>
      </c>
    </row>
    <row r="109">
      <c r="A109" s="37" t="s">
        <v>2083</v>
      </c>
      <c r="B109" s="54">
        <v>0.0</v>
      </c>
      <c r="C109" s="54">
        <v>1.0</v>
      </c>
      <c r="D109" s="54">
        <v>1.0</v>
      </c>
      <c r="E109" s="37" t="s">
        <v>1753</v>
      </c>
    </row>
    <row r="110">
      <c r="A110" s="37" t="s">
        <v>2084</v>
      </c>
      <c r="B110" s="54">
        <v>0.0</v>
      </c>
      <c r="C110" s="54">
        <v>1.0</v>
      </c>
      <c r="D110" s="54">
        <v>1.0</v>
      </c>
      <c r="E110" s="37" t="s">
        <v>1753</v>
      </c>
      <c r="F110" s="37" t="s">
        <v>2085</v>
      </c>
    </row>
    <row r="111">
      <c r="A111" s="37" t="s">
        <v>2086</v>
      </c>
      <c r="B111" s="54">
        <v>1.0</v>
      </c>
      <c r="C111" s="54">
        <v>0.0</v>
      </c>
      <c r="D111" s="54">
        <v>1.0</v>
      </c>
      <c r="E111" s="37" t="s">
        <v>1753</v>
      </c>
      <c r="F111" s="37" t="s">
        <v>2085</v>
      </c>
    </row>
    <row r="112">
      <c r="A112" s="37" t="s">
        <v>2081</v>
      </c>
      <c r="B112" s="54">
        <v>1.0</v>
      </c>
      <c r="C112" s="54">
        <v>0.0</v>
      </c>
      <c r="D112" s="54">
        <v>1.0</v>
      </c>
      <c r="E112" s="37" t="s">
        <v>1755</v>
      </c>
      <c r="F112" s="37" t="s">
        <v>2089</v>
      </c>
    </row>
    <row r="113">
      <c r="A113" s="37" t="s">
        <v>2083</v>
      </c>
      <c r="B113" s="54">
        <v>1.0</v>
      </c>
      <c r="C113" s="54">
        <v>0.0</v>
      </c>
      <c r="D113" s="54">
        <v>1.0</v>
      </c>
      <c r="E113" s="37" t="s">
        <v>1755</v>
      </c>
      <c r="F113" s="37" t="s">
        <v>2089</v>
      </c>
    </row>
    <row r="114">
      <c r="A114" s="37" t="s">
        <v>2084</v>
      </c>
      <c r="B114" s="54">
        <v>0.0</v>
      </c>
      <c r="C114" s="54">
        <v>1.0</v>
      </c>
      <c r="D114" s="54">
        <v>1.0</v>
      </c>
      <c r="E114" s="37" t="s">
        <v>1755</v>
      </c>
      <c r="F114" s="37" t="s">
        <v>2092</v>
      </c>
    </row>
    <row r="115">
      <c r="A115" s="37" t="s">
        <v>2086</v>
      </c>
      <c r="B115" s="54">
        <v>1.0</v>
      </c>
      <c r="C115" s="54">
        <v>0.0</v>
      </c>
      <c r="D115" s="54">
        <v>1.0</v>
      </c>
      <c r="E115" s="37" t="s">
        <v>1755</v>
      </c>
      <c r="F115" s="37" t="s">
        <v>2092</v>
      </c>
    </row>
    <row r="116">
      <c r="A116" s="37" t="s">
        <v>2094</v>
      </c>
      <c r="B116" s="54">
        <v>0.0</v>
      </c>
      <c r="C116" s="54">
        <v>1.0</v>
      </c>
      <c r="D116" s="54">
        <v>1.0</v>
      </c>
      <c r="E116" s="37" t="s">
        <v>1760</v>
      </c>
    </row>
    <row r="117">
      <c r="A117" s="37" t="s">
        <v>2095</v>
      </c>
      <c r="B117" s="54">
        <v>0.0</v>
      </c>
      <c r="C117" s="54">
        <v>1.0</v>
      </c>
      <c r="D117" s="54">
        <v>1.0</v>
      </c>
      <c r="E117" s="37" t="s">
        <v>1760</v>
      </c>
    </row>
    <row r="118">
      <c r="A118" s="37" t="s">
        <v>2081</v>
      </c>
      <c r="B118" s="54">
        <v>0.0</v>
      </c>
      <c r="C118" s="54">
        <v>1.0</v>
      </c>
      <c r="D118" s="54">
        <v>1.0</v>
      </c>
      <c r="E118" s="37" t="s">
        <v>1762</v>
      </c>
    </row>
    <row r="119">
      <c r="A119" s="37" t="s">
        <v>2083</v>
      </c>
      <c r="B119" s="54">
        <v>0.0</v>
      </c>
      <c r="C119" s="54">
        <v>1.0</v>
      </c>
      <c r="D119" s="54">
        <v>1.0</v>
      </c>
      <c r="E119" s="37" t="s">
        <v>1762</v>
      </c>
    </row>
    <row r="120">
      <c r="A120" s="37" t="s">
        <v>2099</v>
      </c>
      <c r="B120" s="54">
        <v>0.0</v>
      </c>
      <c r="C120" s="54">
        <v>1.0</v>
      </c>
      <c r="D120" s="54">
        <v>1.0</v>
      </c>
      <c r="E120" s="37" t="s">
        <v>1762</v>
      </c>
    </row>
    <row r="121">
      <c r="A121" s="37" t="s">
        <v>2102</v>
      </c>
      <c r="B121" s="54">
        <v>0.0</v>
      </c>
      <c r="C121" s="54">
        <v>1.0</v>
      </c>
      <c r="D121" s="54">
        <v>1.0</v>
      </c>
      <c r="E121" s="37" t="s">
        <v>1762</v>
      </c>
    </row>
    <row r="122">
      <c r="A122" s="37" t="s">
        <v>2104</v>
      </c>
      <c r="B122" s="54">
        <v>1.0</v>
      </c>
      <c r="C122" s="54">
        <v>0.0</v>
      </c>
      <c r="D122" s="54">
        <v>1.0</v>
      </c>
      <c r="E122" s="37" t="s">
        <v>1785</v>
      </c>
      <c r="F122" s="37" t="s">
        <v>2105</v>
      </c>
    </row>
    <row r="123">
      <c r="A123" s="37" t="s">
        <v>2106</v>
      </c>
      <c r="B123" s="54">
        <v>1.0</v>
      </c>
      <c r="C123" s="54">
        <v>0.0</v>
      </c>
      <c r="D123" s="54">
        <v>1.0</v>
      </c>
      <c r="E123" s="37" t="s">
        <v>1785</v>
      </c>
      <c r="F123" s="37" t="s">
        <v>2105</v>
      </c>
    </row>
    <row r="124">
      <c r="A124" s="37" t="s">
        <v>2107</v>
      </c>
      <c r="B124" s="54">
        <v>1.0</v>
      </c>
      <c r="C124" s="54">
        <v>0.0</v>
      </c>
      <c r="D124" s="54">
        <v>1.0</v>
      </c>
      <c r="E124" s="37" t="s">
        <v>1750</v>
      </c>
      <c r="F124" s="37" t="s">
        <v>2111</v>
      </c>
    </row>
    <row r="125">
      <c r="A125" s="37" t="s">
        <v>2113</v>
      </c>
      <c r="B125" s="54">
        <v>1.0</v>
      </c>
      <c r="C125" s="54">
        <v>0.0</v>
      </c>
      <c r="D125" s="54">
        <v>1.0</v>
      </c>
      <c r="E125" s="37" t="s">
        <v>1750</v>
      </c>
      <c r="F125" s="37" t="s">
        <v>2111</v>
      </c>
    </row>
    <row r="126">
      <c r="A126" s="37" t="s">
        <v>2114</v>
      </c>
      <c r="B126" s="54">
        <v>1.0</v>
      </c>
      <c r="C126" s="54">
        <v>0.0</v>
      </c>
      <c r="D126" s="54">
        <v>1.0</v>
      </c>
      <c r="E126" s="37" t="s">
        <v>1750</v>
      </c>
      <c r="F126" s="37" t="s">
        <v>2111</v>
      </c>
    </row>
    <row r="127">
      <c r="A127" s="37" t="s">
        <v>2116</v>
      </c>
      <c r="B127" s="54">
        <v>1.0</v>
      </c>
      <c r="C127" s="54">
        <v>0.0</v>
      </c>
      <c r="D127" s="54">
        <v>1.0</v>
      </c>
      <c r="E127" s="37" t="s">
        <v>1750</v>
      </c>
      <c r="F127" s="37" t="s">
        <v>2111</v>
      </c>
    </row>
    <row r="128">
      <c r="A128" s="37" t="s">
        <v>2117</v>
      </c>
      <c r="B128" s="54">
        <v>1.0</v>
      </c>
      <c r="C128" s="54">
        <v>0.0</v>
      </c>
      <c r="D128" s="54">
        <v>1.0</v>
      </c>
      <c r="E128" s="37" t="s">
        <v>1750</v>
      </c>
      <c r="F128" s="37" t="s">
        <v>2119</v>
      </c>
    </row>
    <row r="129">
      <c r="A129" s="37" t="s">
        <v>2120</v>
      </c>
      <c r="B129" s="54">
        <v>1.0</v>
      </c>
      <c r="C129" s="54">
        <v>0.0</v>
      </c>
      <c r="D129" s="54">
        <v>1.0</v>
      </c>
      <c r="E129" s="37" t="s">
        <v>1750</v>
      </c>
      <c r="F129" s="37" t="s">
        <v>2119</v>
      </c>
    </row>
    <row r="130">
      <c r="A130" s="37" t="s">
        <v>2123</v>
      </c>
      <c r="B130" s="54">
        <v>1.0</v>
      </c>
      <c r="C130" s="54">
        <v>0.0</v>
      </c>
      <c r="D130" s="54">
        <v>1.0</v>
      </c>
      <c r="E130" s="37" t="s">
        <v>1750</v>
      </c>
      <c r="F130" s="37" t="s">
        <v>2119</v>
      </c>
    </row>
    <row r="131">
      <c r="A131" s="37" t="s">
        <v>2124</v>
      </c>
      <c r="B131" s="54">
        <v>1.0</v>
      </c>
      <c r="C131" s="54">
        <v>0.0</v>
      </c>
      <c r="D131" s="54">
        <v>1.0</v>
      </c>
      <c r="E131" s="37" t="s">
        <v>1750</v>
      </c>
      <c r="F131" s="37" t="s">
        <v>2119</v>
      </c>
    </row>
    <row r="132">
      <c r="A132" s="37" t="s">
        <v>2125</v>
      </c>
      <c r="B132" s="54">
        <v>1.0</v>
      </c>
      <c r="C132" s="54">
        <v>0.0</v>
      </c>
      <c r="D132" s="54">
        <v>1.0</v>
      </c>
      <c r="E132" s="37" t="s">
        <v>1771</v>
      </c>
      <c r="F132" s="37" t="s">
        <v>2127</v>
      </c>
    </row>
    <row r="133">
      <c r="A133" s="37" t="s">
        <v>2128</v>
      </c>
      <c r="B133" s="54">
        <v>1.0</v>
      </c>
      <c r="C133" s="54">
        <v>0.0</v>
      </c>
      <c r="D133" s="54">
        <v>1.0</v>
      </c>
      <c r="E133" s="37" t="s">
        <v>1771</v>
      </c>
      <c r="F133" s="37" t="s">
        <v>2127</v>
      </c>
    </row>
    <row r="134">
      <c r="A134" s="37" t="s">
        <v>2129</v>
      </c>
      <c r="B134" s="54">
        <v>1.0</v>
      </c>
      <c r="C134" s="54">
        <v>0.0</v>
      </c>
      <c r="D134" s="54">
        <v>1.0</v>
      </c>
      <c r="E134" s="37" t="s">
        <v>1771</v>
      </c>
      <c r="F134" s="37" t="s">
        <v>2127</v>
      </c>
    </row>
    <row r="135">
      <c r="A135" s="37" t="s">
        <v>2130</v>
      </c>
      <c r="B135" s="54">
        <v>1.0</v>
      </c>
      <c r="C135" s="54">
        <v>0.0</v>
      </c>
      <c r="D135" s="54">
        <v>1.0</v>
      </c>
      <c r="E135" s="37" t="s">
        <v>1771</v>
      </c>
      <c r="F135" s="37" t="s">
        <v>2127</v>
      </c>
    </row>
    <row r="136">
      <c r="A136" s="37" t="s">
        <v>2131</v>
      </c>
      <c r="B136" s="54">
        <v>1.0</v>
      </c>
      <c r="C136" s="54">
        <v>0.0</v>
      </c>
      <c r="D136" s="54">
        <v>1.0</v>
      </c>
      <c r="E136" s="37" t="s">
        <v>1785</v>
      </c>
      <c r="F136" s="37" t="s">
        <v>2133</v>
      </c>
    </row>
    <row r="137">
      <c r="A137" s="37" t="s">
        <v>2134</v>
      </c>
      <c r="B137" s="54">
        <v>1.0</v>
      </c>
      <c r="C137" s="54">
        <v>0.0</v>
      </c>
      <c r="D137" s="54">
        <v>1.0</v>
      </c>
      <c r="E137" s="37" t="s">
        <v>1785</v>
      </c>
      <c r="F137" s="37" t="s">
        <v>2133</v>
      </c>
    </row>
    <row r="138">
      <c r="A138" s="37" t="s">
        <v>2125</v>
      </c>
      <c r="B138" s="54">
        <v>1.0</v>
      </c>
      <c r="C138" s="54">
        <v>0.0</v>
      </c>
      <c r="D138" s="54">
        <v>1.0</v>
      </c>
      <c r="E138" s="37" t="s">
        <v>1788</v>
      </c>
      <c r="F138" s="37" t="s">
        <v>2135</v>
      </c>
    </row>
    <row r="139">
      <c r="A139" s="37" t="s">
        <v>2128</v>
      </c>
      <c r="B139" s="54">
        <v>1.0</v>
      </c>
      <c r="C139" s="54">
        <v>0.0</v>
      </c>
      <c r="D139" s="54">
        <v>1.0</v>
      </c>
      <c r="E139" s="37" t="s">
        <v>1788</v>
      </c>
      <c r="F139" s="37" t="s">
        <v>2135</v>
      </c>
    </row>
    <row r="140">
      <c r="A140" s="37" t="s">
        <v>2129</v>
      </c>
      <c r="B140" s="54">
        <v>1.0</v>
      </c>
      <c r="C140" s="54">
        <v>0.0</v>
      </c>
      <c r="D140" s="54">
        <v>1.0</v>
      </c>
      <c r="E140" s="37" t="s">
        <v>1788</v>
      </c>
      <c r="F140" s="37" t="s">
        <v>2135</v>
      </c>
    </row>
    <row r="141">
      <c r="A141" s="37" t="s">
        <v>2138</v>
      </c>
      <c r="B141" s="54">
        <v>1.0</v>
      </c>
      <c r="C141" s="54">
        <v>0.0</v>
      </c>
      <c r="D141" s="54">
        <v>1.0</v>
      </c>
      <c r="E141" s="37" t="s">
        <v>1750</v>
      </c>
      <c r="F141" s="37" t="s">
        <v>2139</v>
      </c>
    </row>
    <row r="142">
      <c r="A142" s="37" t="s">
        <v>2141</v>
      </c>
      <c r="B142" s="54">
        <v>1.0</v>
      </c>
      <c r="C142" s="54">
        <v>0.0</v>
      </c>
      <c r="D142" s="54">
        <v>1.0</v>
      </c>
      <c r="E142" s="37" t="s">
        <v>1750</v>
      </c>
      <c r="F142" s="37" t="s">
        <v>2139</v>
      </c>
    </row>
    <row r="143">
      <c r="A143" s="37" t="s">
        <v>2142</v>
      </c>
      <c r="B143" s="54">
        <v>1.0</v>
      </c>
      <c r="C143" s="54">
        <v>0.0</v>
      </c>
      <c r="D143" s="54">
        <v>1.0</v>
      </c>
      <c r="E143" s="37" t="s">
        <v>1750</v>
      </c>
      <c r="F143" s="37" t="s">
        <v>2139</v>
      </c>
    </row>
    <row r="144">
      <c r="A144" s="37" t="s">
        <v>2143</v>
      </c>
      <c r="B144" s="54">
        <v>1.0</v>
      </c>
      <c r="C144" s="54">
        <v>0.0</v>
      </c>
      <c r="D144" s="54">
        <v>1.0</v>
      </c>
      <c r="E144" s="37" t="s">
        <v>1750</v>
      </c>
      <c r="F144" s="37" t="s">
        <v>2139</v>
      </c>
    </row>
    <row r="145">
      <c r="A145" s="37" t="s">
        <v>2144</v>
      </c>
      <c r="B145" s="54">
        <v>1.0</v>
      </c>
      <c r="C145" s="54">
        <v>0.0</v>
      </c>
      <c r="D145" s="54">
        <v>1.0</v>
      </c>
      <c r="E145" s="37" t="s">
        <v>1750</v>
      </c>
      <c r="F145" s="37" t="s">
        <v>2146</v>
      </c>
    </row>
    <row r="146">
      <c r="A146" s="37" t="s">
        <v>2147</v>
      </c>
      <c r="B146" s="54">
        <v>1.0</v>
      </c>
      <c r="C146" s="54">
        <v>0.0</v>
      </c>
      <c r="D146" s="54">
        <v>1.0</v>
      </c>
      <c r="E146" s="37" t="s">
        <v>1750</v>
      </c>
      <c r="F146" s="37" t="s">
        <v>2146</v>
      </c>
    </row>
    <row r="147">
      <c r="A147" s="37" t="s">
        <v>2149</v>
      </c>
      <c r="B147" s="54">
        <v>1.0</v>
      </c>
      <c r="C147" s="54">
        <v>0.0</v>
      </c>
      <c r="D147" s="54">
        <v>1.0</v>
      </c>
      <c r="E147" s="37" t="s">
        <v>1750</v>
      </c>
      <c r="F147" s="37" t="s">
        <v>2146</v>
      </c>
    </row>
    <row r="148">
      <c r="A148" s="37" t="s">
        <v>2150</v>
      </c>
      <c r="B148" s="54">
        <v>1.0</v>
      </c>
      <c r="C148" s="54">
        <v>0.0</v>
      </c>
      <c r="D148" s="54">
        <v>1.0</v>
      </c>
      <c r="E148" s="37" t="s">
        <v>1750</v>
      </c>
      <c r="F148" s="37" t="s">
        <v>2146</v>
      </c>
    </row>
    <row r="149">
      <c r="A149" s="37" t="s">
        <v>2151</v>
      </c>
      <c r="B149" s="54">
        <v>0.0</v>
      </c>
      <c r="C149" s="54">
        <v>1.0</v>
      </c>
      <c r="D149" s="54">
        <v>1.0</v>
      </c>
      <c r="E149" s="37" t="s">
        <v>1753</v>
      </c>
    </row>
    <row r="150">
      <c r="A150" s="37" t="s">
        <v>2152</v>
      </c>
      <c r="B150" s="54">
        <v>0.0</v>
      </c>
      <c r="C150" s="54">
        <v>1.0</v>
      </c>
      <c r="D150" s="54">
        <v>1.0</v>
      </c>
      <c r="E150" s="37" t="s">
        <v>1753</v>
      </c>
    </row>
    <row r="151">
      <c r="A151" s="37" t="s">
        <v>2154</v>
      </c>
      <c r="B151" s="54">
        <v>0.0</v>
      </c>
      <c r="C151" s="54">
        <v>1.0</v>
      </c>
      <c r="D151" s="54">
        <v>1.0</v>
      </c>
      <c r="E151" s="37" t="s">
        <v>1753</v>
      </c>
    </row>
    <row r="152">
      <c r="A152" s="37" t="s">
        <v>2155</v>
      </c>
      <c r="B152" s="54">
        <v>0.0</v>
      </c>
      <c r="C152" s="54">
        <v>1.0</v>
      </c>
      <c r="D152" s="54">
        <v>1.0</v>
      </c>
      <c r="E152" s="37" t="s">
        <v>1753</v>
      </c>
    </row>
    <row r="153">
      <c r="A153" s="37" t="s">
        <v>2157</v>
      </c>
      <c r="B153" s="54">
        <v>0.0</v>
      </c>
      <c r="C153" s="54">
        <v>1.0</v>
      </c>
      <c r="D153" s="54">
        <v>1.0</v>
      </c>
      <c r="E153" s="37" t="s">
        <v>1753</v>
      </c>
    </row>
    <row r="154">
      <c r="A154" s="37" t="s">
        <v>2159</v>
      </c>
      <c r="B154" s="54">
        <v>0.0</v>
      </c>
      <c r="C154" s="54">
        <v>1.0</v>
      </c>
      <c r="D154" s="54">
        <v>1.0</v>
      </c>
      <c r="E154" s="37" t="s">
        <v>1753</v>
      </c>
    </row>
    <row r="155">
      <c r="A155" s="37" t="s">
        <v>2151</v>
      </c>
      <c r="B155" s="54">
        <v>0.0</v>
      </c>
      <c r="C155" s="54">
        <v>1.0</v>
      </c>
      <c r="D155" s="54">
        <v>1.0</v>
      </c>
      <c r="E155" s="37" t="s">
        <v>1755</v>
      </c>
    </row>
    <row r="156">
      <c r="A156" s="37" t="s">
        <v>2152</v>
      </c>
      <c r="B156" s="54">
        <v>0.0</v>
      </c>
      <c r="C156" s="54">
        <v>1.0</v>
      </c>
      <c r="D156" s="54">
        <v>1.0</v>
      </c>
      <c r="E156" s="37" t="s">
        <v>1755</v>
      </c>
    </row>
    <row r="157">
      <c r="A157" s="37" t="s">
        <v>2157</v>
      </c>
      <c r="B157" s="54">
        <v>1.0</v>
      </c>
      <c r="C157" s="54">
        <v>0.0</v>
      </c>
      <c r="D157" s="54">
        <v>1.0</v>
      </c>
      <c r="E157" s="37" t="s">
        <v>1753</v>
      </c>
      <c r="F157" s="37" t="s">
        <v>2161</v>
      </c>
    </row>
    <row r="158">
      <c r="A158" s="37" t="s">
        <v>2159</v>
      </c>
      <c r="B158" s="54">
        <v>1.0</v>
      </c>
      <c r="C158" s="54">
        <v>0.0</v>
      </c>
      <c r="D158" s="54">
        <v>1.0</v>
      </c>
      <c r="E158" s="37" t="s">
        <v>1753</v>
      </c>
      <c r="F158" s="37" t="s">
        <v>2161</v>
      </c>
    </row>
    <row r="159">
      <c r="A159" s="37" t="s">
        <v>2154</v>
      </c>
      <c r="B159" s="54">
        <v>0.0</v>
      </c>
      <c r="C159" s="54">
        <v>1.0</v>
      </c>
      <c r="D159" s="54">
        <v>1.0</v>
      </c>
      <c r="E159" s="37" t="s">
        <v>1753</v>
      </c>
      <c r="F159" s="37" t="s">
        <v>2162</v>
      </c>
    </row>
    <row r="160">
      <c r="A160" s="37" t="s">
        <v>2155</v>
      </c>
      <c r="B160" s="54">
        <v>1.0</v>
      </c>
      <c r="C160" s="54">
        <v>0.0</v>
      </c>
      <c r="D160" s="54">
        <v>1.0</v>
      </c>
      <c r="E160" s="37" t="s">
        <v>1753</v>
      </c>
      <c r="F160" s="37" t="s">
        <v>2162</v>
      </c>
    </row>
    <row r="161">
      <c r="A161" s="37" t="s">
        <v>2151</v>
      </c>
      <c r="B161" s="54">
        <v>1.0</v>
      </c>
      <c r="C161" s="54">
        <v>0.0</v>
      </c>
      <c r="D161" s="54">
        <v>1.0</v>
      </c>
      <c r="E161" s="37" t="s">
        <v>1753</v>
      </c>
      <c r="F161" s="37" t="s">
        <v>2165</v>
      </c>
    </row>
    <row r="162">
      <c r="A162" s="37" t="s">
        <v>2152</v>
      </c>
      <c r="B162" s="54">
        <v>0.0</v>
      </c>
      <c r="C162" s="54">
        <v>1.0</v>
      </c>
      <c r="D162" s="54">
        <v>1.0</v>
      </c>
      <c r="E162" s="37" t="s">
        <v>1753</v>
      </c>
      <c r="F162" s="37" t="s">
        <v>2165</v>
      </c>
    </row>
    <row r="163">
      <c r="A163" s="37" t="s">
        <v>2154</v>
      </c>
      <c r="B163" s="54">
        <v>1.0</v>
      </c>
      <c r="C163" s="54">
        <v>0.0</v>
      </c>
      <c r="D163" s="54">
        <v>1.0</v>
      </c>
      <c r="E163" s="37" t="s">
        <v>1753</v>
      </c>
      <c r="F163" s="37" t="s">
        <v>2162</v>
      </c>
    </row>
    <row r="164">
      <c r="A164" s="37" t="s">
        <v>2152</v>
      </c>
      <c r="B164" s="54">
        <v>1.0</v>
      </c>
      <c r="C164" s="54">
        <v>0.0</v>
      </c>
      <c r="D164" s="54">
        <v>1.0</v>
      </c>
      <c r="E164" s="37" t="s">
        <v>1753</v>
      </c>
      <c r="F164" s="37" t="s">
        <v>2165</v>
      </c>
    </row>
    <row r="165">
      <c r="A165" s="37" t="s">
        <v>2151</v>
      </c>
      <c r="B165" s="54">
        <v>1.0</v>
      </c>
      <c r="C165" s="54">
        <v>0.0</v>
      </c>
      <c r="D165" s="54">
        <v>1.0</v>
      </c>
      <c r="E165" s="37" t="s">
        <v>1755</v>
      </c>
      <c r="F165" s="37" t="s">
        <v>2170</v>
      </c>
    </row>
    <row r="166">
      <c r="A166" s="37" t="s">
        <v>2152</v>
      </c>
      <c r="B166" s="54">
        <v>1.0</v>
      </c>
      <c r="C166" s="54">
        <v>0.0</v>
      </c>
      <c r="D166" s="54">
        <v>1.0</v>
      </c>
      <c r="E166" s="37" t="s">
        <v>1755</v>
      </c>
      <c r="F166" s="37" t="s">
        <v>2170</v>
      </c>
    </row>
    <row r="167">
      <c r="A167" s="37" t="s">
        <v>2171</v>
      </c>
      <c r="B167" s="54">
        <v>0.0</v>
      </c>
      <c r="C167" s="54">
        <v>1.0</v>
      </c>
      <c r="D167" s="54">
        <v>1.0</v>
      </c>
      <c r="E167" s="37" t="s">
        <v>1771</v>
      </c>
    </row>
    <row r="168">
      <c r="A168" s="37" t="s">
        <v>2172</v>
      </c>
      <c r="B168" s="54">
        <v>0.0</v>
      </c>
      <c r="C168" s="54">
        <v>1.0</v>
      </c>
      <c r="D168" s="54">
        <v>1.0</v>
      </c>
      <c r="E168" s="37" t="s">
        <v>1771</v>
      </c>
    </row>
    <row r="169">
      <c r="A169" s="37" t="s">
        <v>2174</v>
      </c>
      <c r="B169" s="54">
        <v>0.0</v>
      </c>
      <c r="C169" s="54">
        <v>1.0</v>
      </c>
      <c r="D169" s="54">
        <v>1.0</v>
      </c>
      <c r="E169" s="37" t="s">
        <v>1774</v>
      </c>
    </row>
    <row r="170">
      <c r="A170" s="37" t="s">
        <v>2175</v>
      </c>
      <c r="B170" s="54">
        <v>0.0</v>
      </c>
      <c r="C170" s="54">
        <v>1.0</v>
      </c>
      <c r="D170" s="54">
        <v>1.0</v>
      </c>
      <c r="E170" s="37" t="s">
        <v>1774</v>
      </c>
    </row>
    <row r="171">
      <c r="A171" s="37" t="s">
        <v>2176</v>
      </c>
      <c r="B171" s="54">
        <v>0.0</v>
      </c>
      <c r="C171" s="54">
        <v>1.0</v>
      </c>
      <c r="D171" s="54">
        <v>1.0</v>
      </c>
      <c r="E171" s="37" t="s">
        <v>1755</v>
      </c>
    </row>
    <row r="172">
      <c r="A172" s="37" t="s">
        <v>2178</v>
      </c>
      <c r="B172" s="54">
        <v>0.0</v>
      </c>
      <c r="C172" s="54">
        <v>1.0</v>
      </c>
      <c r="D172" s="54">
        <v>1.0</v>
      </c>
      <c r="E172" s="37" t="s">
        <v>1755</v>
      </c>
    </row>
    <row r="173">
      <c r="A173" s="37" t="s">
        <v>2179</v>
      </c>
      <c r="B173" s="54">
        <v>0.0</v>
      </c>
      <c r="C173" s="54">
        <v>1.0</v>
      </c>
      <c r="D173" s="54">
        <v>1.0</v>
      </c>
      <c r="E173" s="37" t="s">
        <v>1755</v>
      </c>
    </row>
    <row r="174">
      <c r="A174" s="37" t="s">
        <v>2180</v>
      </c>
      <c r="B174" s="54">
        <v>0.0</v>
      </c>
      <c r="C174" s="54">
        <v>1.0</v>
      </c>
      <c r="D174" s="54">
        <v>1.0</v>
      </c>
      <c r="E174" s="37" t="s">
        <v>1755</v>
      </c>
    </row>
    <row r="175">
      <c r="A175" s="37" t="s">
        <v>2181</v>
      </c>
      <c r="B175" s="54">
        <v>0.0</v>
      </c>
      <c r="C175" s="54">
        <v>1.0</v>
      </c>
      <c r="D175" s="54">
        <v>1.0</v>
      </c>
      <c r="E175" s="37" t="s">
        <v>1762</v>
      </c>
    </row>
    <row r="176">
      <c r="A176" s="37" t="s">
        <v>2182</v>
      </c>
      <c r="B176" s="54">
        <v>0.0</v>
      </c>
      <c r="C176" s="54">
        <v>1.0</v>
      </c>
      <c r="D176" s="54">
        <v>1.0</v>
      </c>
      <c r="E176" s="37" t="s">
        <v>1762</v>
      </c>
    </row>
    <row r="177">
      <c r="A177" s="37" t="s">
        <v>2184</v>
      </c>
      <c r="B177" s="54">
        <v>0.0</v>
      </c>
      <c r="C177" s="54">
        <v>1.0</v>
      </c>
      <c r="D177" s="54">
        <v>1.0</v>
      </c>
      <c r="E177" s="37" t="s">
        <v>1762</v>
      </c>
    </row>
    <row r="178">
      <c r="A178" s="37" t="s">
        <v>2185</v>
      </c>
      <c r="B178" s="54">
        <v>0.0</v>
      </c>
      <c r="C178" s="54">
        <v>1.0</v>
      </c>
      <c r="D178" s="54">
        <v>1.0</v>
      </c>
      <c r="E178" s="37" t="s">
        <v>1762</v>
      </c>
    </row>
    <row r="179">
      <c r="A179" s="37" t="s">
        <v>2186</v>
      </c>
      <c r="B179" s="54">
        <v>0.0</v>
      </c>
      <c r="C179" s="54">
        <v>1.0</v>
      </c>
      <c r="D179" s="54">
        <v>1.0</v>
      </c>
      <c r="E179" s="37" t="s">
        <v>1762</v>
      </c>
    </row>
    <row r="180">
      <c r="A180" s="37" t="s">
        <v>2188</v>
      </c>
      <c r="B180" s="54">
        <v>0.0</v>
      </c>
      <c r="C180" s="54">
        <v>1.0</v>
      </c>
      <c r="D180" s="54">
        <v>1.0</v>
      </c>
      <c r="E180" s="37" t="s">
        <v>1762</v>
      </c>
    </row>
    <row r="181">
      <c r="A181" s="37" t="s">
        <v>2190</v>
      </c>
      <c r="B181" s="54">
        <v>0.0</v>
      </c>
      <c r="C181" s="54">
        <v>1.0</v>
      </c>
      <c r="D181" s="54">
        <v>1.0</v>
      </c>
      <c r="E181" s="37" t="s">
        <v>2191</v>
      </c>
    </row>
    <row r="182">
      <c r="A182" s="37" t="s">
        <v>2192</v>
      </c>
      <c r="B182" s="54">
        <v>0.0</v>
      </c>
      <c r="C182" s="54">
        <v>1.0</v>
      </c>
      <c r="D182" s="54">
        <v>1.0</v>
      </c>
      <c r="E182" s="37" t="s">
        <v>2191</v>
      </c>
    </row>
    <row r="183">
      <c r="A183" s="37" t="s">
        <v>2193</v>
      </c>
      <c r="B183" s="54">
        <v>0.0</v>
      </c>
      <c r="C183" s="54">
        <v>1.0</v>
      </c>
      <c r="D183" s="54">
        <v>1.0</v>
      </c>
      <c r="E183" s="37" t="s">
        <v>2191</v>
      </c>
    </row>
    <row r="184">
      <c r="A184" s="37" t="s">
        <v>2194</v>
      </c>
      <c r="B184" s="54">
        <v>0.0</v>
      </c>
      <c r="C184" s="54">
        <v>1.0</v>
      </c>
      <c r="D184" s="54">
        <v>1.0</v>
      </c>
      <c r="E184" s="37" t="s">
        <v>2191</v>
      </c>
    </row>
    <row r="185">
      <c r="A185" s="37" t="s">
        <v>2195</v>
      </c>
      <c r="B185" s="54">
        <v>0.0</v>
      </c>
      <c r="C185" s="54">
        <v>1.0</v>
      </c>
      <c r="D185" s="54">
        <v>1.0</v>
      </c>
      <c r="E185" s="37" t="s">
        <v>1750</v>
      </c>
    </row>
    <row r="186">
      <c r="A186" s="37" t="s">
        <v>2197</v>
      </c>
      <c r="B186" s="54">
        <v>0.0</v>
      </c>
      <c r="C186" s="54">
        <v>1.0</v>
      </c>
      <c r="D186" s="54">
        <v>1.0</v>
      </c>
      <c r="E186" s="37" t="s">
        <v>1750</v>
      </c>
    </row>
    <row r="187">
      <c r="A187" s="37" t="s">
        <v>2199</v>
      </c>
      <c r="B187" s="54">
        <v>0.0</v>
      </c>
      <c r="C187" s="54">
        <v>1.0</v>
      </c>
      <c r="D187" s="54">
        <v>1.0</v>
      </c>
      <c r="E187" s="37" t="s">
        <v>1750</v>
      </c>
    </row>
    <row r="188">
      <c r="A188" s="37" t="s">
        <v>2200</v>
      </c>
      <c r="B188" s="54">
        <v>0.0</v>
      </c>
      <c r="C188" s="54">
        <v>1.0</v>
      </c>
      <c r="D188" s="54">
        <v>1.0</v>
      </c>
      <c r="E188" s="37" t="s">
        <v>1750</v>
      </c>
    </row>
    <row r="189">
      <c r="A189" s="37" t="s">
        <v>2201</v>
      </c>
      <c r="B189" s="54">
        <v>0.0</v>
      </c>
      <c r="C189" s="54">
        <v>1.0</v>
      </c>
      <c r="D189" s="54">
        <v>1.0</v>
      </c>
      <c r="E189" s="37" t="s">
        <v>1750</v>
      </c>
    </row>
    <row r="190">
      <c r="A190" s="37" t="s">
        <v>2204</v>
      </c>
      <c r="B190" s="54">
        <v>0.0</v>
      </c>
      <c r="C190" s="54">
        <v>1.0</v>
      </c>
      <c r="D190" s="54">
        <v>1.0</v>
      </c>
      <c r="E190" s="37" t="s">
        <v>1750</v>
      </c>
    </row>
    <row r="191">
      <c r="A191" s="37" t="s">
        <v>2206</v>
      </c>
      <c r="B191" s="54">
        <v>0.0</v>
      </c>
      <c r="C191" s="54">
        <v>1.0</v>
      </c>
      <c r="D191" s="54">
        <v>1.0</v>
      </c>
      <c r="E191" s="37" t="s">
        <v>1750</v>
      </c>
    </row>
    <row r="192">
      <c r="A192" s="37" t="s">
        <v>2207</v>
      </c>
      <c r="B192" s="54">
        <v>0.0</v>
      </c>
      <c r="C192" s="54">
        <v>1.0</v>
      </c>
      <c r="D192" s="54">
        <v>1.0</v>
      </c>
      <c r="E192" s="37" t="s">
        <v>1750</v>
      </c>
    </row>
    <row r="193">
      <c r="A193" s="37" t="s">
        <v>2209</v>
      </c>
      <c r="B193" s="54">
        <v>0.0</v>
      </c>
      <c r="C193" s="54">
        <v>1.0</v>
      </c>
      <c r="D193" s="54">
        <v>1.0</v>
      </c>
      <c r="E193" s="37" t="s">
        <v>1750</v>
      </c>
    </row>
    <row r="194">
      <c r="A194" s="37" t="s">
        <v>2211</v>
      </c>
      <c r="B194" s="54">
        <v>0.0</v>
      </c>
      <c r="C194" s="54">
        <v>1.0</v>
      </c>
      <c r="D194" s="54">
        <v>1.0</v>
      </c>
      <c r="E194" s="37" t="s">
        <v>1750</v>
      </c>
    </row>
    <row r="195">
      <c r="A195" s="37" t="s">
        <v>2212</v>
      </c>
      <c r="B195" s="54">
        <v>0.0</v>
      </c>
      <c r="C195" s="54">
        <v>1.0</v>
      </c>
      <c r="D195" s="54">
        <v>1.0</v>
      </c>
      <c r="E195" s="37" t="s">
        <v>1750</v>
      </c>
    </row>
    <row r="196">
      <c r="A196" s="37" t="s">
        <v>2214</v>
      </c>
      <c r="B196" s="54">
        <v>0.0</v>
      </c>
      <c r="C196" s="54">
        <v>1.0</v>
      </c>
      <c r="D196" s="54">
        <v>1.0</v>
      </c>
      <c r="E196" s="37" t="s">
        <v>1750</v>
      </c>
    </row>
    <row r="197">
      <c r="A197" s="37" t="s">
        <v>2215</v>
      </c>
      <c r="B197" s="54">
        <v>0.0</v>
      </c>
      <c r="C197" s="54">
        <v>1.0</v>
      </c>
      <c r="D197" s="54">
        <v>1.0</v>
      </c>
      <c r="E197" s="37" t="s">
        <v>1750</v>
      </c>
    </row>
    <row r="198">
      <c r="A198" s="37" t="s">
        <v>2216</v>
      </c>
      <c r="B198" s="54">
        <v>0.0</v>
      </c>
      <c r="C198" s="54">
        <v>1.0</v>
      </c>
      <c r="D198" s="54">
        <v>1.0</v>
      </c>
      <c r="E198" s="37" t="s">
        <v>1750</v>
      </c>
    </row>
    <row r="199">
      <c r="A199" s="37" t="s">
        <v>2217</v>
      </c>
      <c r="B199" s="54">
        <v>0.0</v>
      </c>
      <c r="C199" s="54">
        <v>1.0</v>
      </c>
      <c r="D199" s="54">
        <v>1.0</v>
      </c>
      <c r="E199" s="37" t="s">
        <v>1750</v>
      </c>
    </row>
    <row r="200">
      <c r="A200" s="37" t="s">
        <v>2219</v>
      </c>
      <c r="B200" s="54">
        <v>0.0</v>
      </c>
      <c r="C200" s="54">
        <v>1.0</v>
      </c>
      <c r="D200" s="54">
        <v>1.0</v>
      </c>
      <c r="E200" s="37" t="s">
        <v>1750</v>
      </c>
    </row>
    <row r="201">
      <c r="A201" s="37" t="s">
        <v>2220</v>
      </c>
      <c r="B201" s="54">
        <v>0.0</v>
      </c>
      <c r="C201" s="54">
        <v>1.0</v>
      </c>
      <c r="D201" s="54">
        <v>1.0</v>
      </c>
      <c r="E201" s="37" t="s">
        <v>1750</v>
      </c>
    </row>
    <row r="202">
      <c r="A202" s="37" t="s">
        <v>2221</v>
      </c>
      <c r="B202" s="54">
        <v>0.0</v>
      </c>
      <c r="C202" s="54">
        <v>1.0</v>
      </c>
      <c r="D202" s="54">
        <v>1.0</v>
      </c>
      <c r="E202" s="37" t="s">
        <v>1750</v>
      </c>
    </row>
    <row r="203">
      <c r="A203" s="37" t="s">
        <v>2222</v>
      </c>
      <c r="B203" s="54">
        <v>0.0</v>
      </c>
      <c r="C203" s="54">
        <v>1.0</v>
      </c>
      <c r="D203" s="54">
        <v>1.0</v>
      </c>
      <c r="E203" s="37" t="s">
        <v>1750</v>
      </c>
    </row>
    <row r="204">
      <c r="A204" s="37" t="s">
        <v>2224</v>
      </c>
      <c r="B204" s="54">
        <v>0.0</v>
      </c>
      <c r="C204" s="54">
        <v>1.0</v>
      </c>
      <c r="D204" s="54">
        <v>1.0</v>
      </c>
      <c r="E204" s="37" t="s">
        <v>1750</v>
      </c>
    </row>
    <row r="205">
      <c r="A205" s="37" t="s">
        <v>2226</v>
      </c>
      <c r="B205" s="54">
        <v>0.0</v>
      </c>
      <c r="C205" s="54">
        <v>1.0</v>
      </c>
      <c r="D205" s="54">
        <v>1.0</v>
      </c>
      <c r="E205" s="37" t="s">
        <v>1750</v>
      </c>
    </row>
    <row r="206">
      <c r="A206" s="37" t="s">
        <v>2227</v>
      </c>
      <c r="B206" s="54">
        <v>0.0</v>
      </c>
      <c r="C206" s="54">
        <v>1.0</v>
      </c>
      <c r="D206" s="54">
        <v>1.0</v>
      </c>
      <c r="E206" s="37" t="s">
        <v>1750</v>
      </c>
    </row>
    <row r="207">
      <c r="A207" s="37" t="s">
        <v>2229</v>
      </c>
      <c r="B207" s="54">
        <v>0.0</v>
      </c>
      <c r="C207" s="54">
        <v>1.0</v>
      </c>
      <c r="D207" s="54">
        <v>1.0</v>
      </c>
      <c r="E207" s="37" t="s">
        <v>1750</v>
      </c>
    </row>
    <row r="208">
      <c r="A208" s="37" t="s">
        <v>2230</v>
      </c>
      <c r="B208" s="54">
        <v>0.0</v>
      </c>
      <c r="C208" s="54">
        <v>1.0</v>
      </c>
      <c r="D208" s="54">
        <v>1.0</v>
      </c>
      <c r="E208" s="37" t="s">
        <v>1750</v>
      </c>
    </row>
    <row r="209">
      <c r="A209" s="37" t="s">
        <v>2171</v>
      </c>
      <c r="B209" s="54">
        <v>1.0</v>
      </c>
      <c r="C209" s="54">
        <v>0.0</v>
      </c>
      <c r="D209" s="54">
        <v>1.0</v>
      </c>
      <c r="E209" s="37" t="s">
        <v>1771</v>
      </c>
      <c r="F209" s="37" t="s">
        <v>2232</v>
      </c>
    </row>
    <row r="210">
      <c r="A210" s="37" t="s">
        <v>2172</v>
      </c>
      <c r="B210" s="54">
        <v>1.0</v>
      </c>
      <c r="C210" s="54">
        <v>0.0</v>
      </c>
      <c r="D210" s="54">
        <v>1.0</v>
      </c>
      <c r="E210" s="37" t="s">
        <v>1771</v>
      </c>
      <c r="F210" s="37" t="s">
        <v>2232</v>
      </c>
    </row>
    <row r="211">
      <c r="A211" s="37" t="s">
        <v>2174</v>
      </c>
      <c r="B211" s="54">
        <v>1.0</v>
      </c>
      <c r="C211" s="54">
        <v>0.0</v>
      </c>
      <c r="D211" s="54">
        <v>1.0</v>
      </c>
      <c r="E211" s="37" t="s">
        <v>1774</v>
      </c>
      <c r="F211" s="37" t="s">
        <v>2234</v>
      </c>
    </row>
    <row r="212">
      <c r="A212" s="37" t="s">
        <v>2175</v>
      </c>
      <c r="B212" s="54">
        <v>1.0</v>
      </c>
      <c r="C212" s="54">
        <v>0.0</v>
      </c>
      <c r="D212" s="54">
        <v>1.0</v>
      </c>
      <c r="E212" s="37" t="s">
        <v>1774</v>
      </c>
      <c r="F212" s="37" t="s">
        <v>2234</v>
      </c>
    </row>
    <row r="213">
      <c r="A213" s="37" t="s">
        <v>2176</v>
      </c>
      <c r="B213" s="54">
        <v>1.0</v>
      </c>
      <c r="C213" s="54">
        <v>0.0</v>
      </c>
      <c r="D213" s="54">
        <v>1.0</v>
      </c>
      <c r="E213" s="37" t="s">
        <v>1755</v>
      </c>
      <c r="F213" s="37" t="s">
        <v>2236</v>
      </c>
    </row>
    <row r="214">
      <c r="A214" s="37" t="s">
        <v>2178</v>
      </c>
      <c r="B214" s="54">
        <v>1.0</v>
      </c>
      <c r="C214" s="54">
        <v>0.0</v>
      </c>
      <c r="D214" s="54">
        <v>1.0</v>
      </c>
      <c r="E214" s="37" t="s">
        <v>1755</v>
      </c>
      <c r="F214" s="37" t="s">
        <v>2236</v>
      </c>
    </row>
    <row r="215">
      <c r="A215" s="37" t="s">
        <v>2179</v>
      </c>
      <c r="B215" s="54">
        <v>1.0</v>
      </c>
      <c r="C215" s="54">
        <v>0.0</v>
      </c>
      <c r="D215" s="54">
        <v>1.0</v>
      </c>
      <c r="E215" s="37" t="s">
        <v>1755</v>
      </c>
      <c r="F215" s="37" t="s">
        <v>2237</v>
      </c>
    </row>
    <row r="216">
      <c r="A216" s="37" t="s">
        <v>2180</v>
      </c>
      <c r="B216" s="54">
        <v>0.0</v>
      </c>
      <c r="C216" s="54">
        <v>1.0</v>
      </c>
      <c r="D216" s="54">
        <v>1.0</v>
      </c>
      <c r="E216" s="37" t="s">
        <v>1755</v>
      </c>
      <c r="F216" s="37" t="s">
        <v>2237</v>
      </c>
    </row>
    <row r="217">
      <c r="A217" s="37" t="s">
        <v>2193</v>
      </c>
      <c r="B217" s="54">
        <v>1.0</v>
      </c>
      <c r="C217" s="54">
        <v>0.0</v>
      </c>
      <c r="D217" s="54">
        <v>1.0</v>
      </c>
      <c r="E217" s="37" t="s">
        <v>2191</v>
      </c>
      <c r="F217" s="37" t="s">
        <v>2239</v>
      </c>
    </row>
    <row r="218">
      <c r="A218" s="37" t="s">
        <v>2194</v>
      </c>
      <c r="B218" s="54">
        <v>1.0</v>
      </c>
      <c r="C218" s="54">
        <v>0.0</v>
      </c>
      <c r="D218" s="54">
        <v>1.0</v>
      </c>
      <c r="E218" s="37" t="s">
        <v>2191</v>
      </c>
      <c r="F218" s="37" t="s">
        <v>2239</v>
      </c>
    </row>
    <row r="219">
      <c r="A219" s="37" t="s">
        <v>2195</v>
      </c>
      <c r="B219" s="54">
        <v>1.0</v>
      </c>
      <c r="C219" s="54">
        <v>0.0</v>
      </c>
      <c r="D219" s="54">
        <v>1.0</v>
      </c>
      <c r="E219" s="37" t="s">
        <v>1750</v>
      </c>
      <c r="F219" s="37" t="s">
        <v>2241</v>
      </c>
    </row>
    <row r="220">
      <c r="A220" s="37" t="s">
        <v>2197</v>
      </c>
      <c r="B220" s="54">
        <v>0.0</v>
      </c>
      <c r="C220" s="54">
        <v>1.0</v>
      </c>
      <c r="D220" s="54">
        <v>1.0</v>
      </c>
      <c r="E220" s="37" t="s">
        <v>1750</v>
      </c>
      <c r="F220" s="37" t="s">
        <v>2241</v>
      </c>
    </row>
    <row r="221">
      <c r="A221" s="37" t="s">
        <v>2199</v>
      </c>
      <c r="B221" s="54">
        <v>0.0</v>
      </c>
      <c r="C221" s="54">
        <v>1.0</v>
      </c>
      <c r="D221" s="54">
        <v>1.0</v>
      </c>
      <c r="E221" s="37" t="s">
        <v>1750</v>
      </c>
      <c r="F221" s="37" t="s">
        <v>2241</v>
      </c>
    </row>
    <row r="222">
      <c r="A222" s="37" t="s">
        <v>2200</v>
      </c>
      <c r="B222" s="54">
        <v>0.0</v>
      </c>
      <c r="C222" s="54">
        <v>1.0</v>
      </c>
      <c r="D222" s="54">
        <v>1.0</v>
      </c>
      <c r="E222" s="37" t="s">
        <v>1750</v>
      </c>
      <c r="F222" s="37" t="s">
        <v>2241</v>
      </c>
    </row>
    <row r="223">
      <c r="A223" s="37" t="s">
        <v>2201</v>
      </c>
      <c r="B223" s="54">
        <v>0.0</v>
      </c>
      <c r="C223" s="54">
        <v>1.0</v>
      </c>
      <c r="D223" s="54">
        <v>1.0</v>
      </c>
      <c r="E223" s="37" t="s">
        <v>1750</v>
      </c>
      <c r="F223" s="37" t="s">
        <v>2241</v>
      </c>
    </row>
    <row r="224">
      <c r="A224" s="37" t="s">
        <v>2204</v>
      </c>
      <c r="B224" s="54">
        <v>0.0</v>
      </c>
      <c r="C224" s="54">
        <v>1.0</v>
      </c>
      <c r="D224" s="54">
        <v>1.0</v>
      </c>
      <c r="E224" s="37" t="s">
        <v>1750</v>
      </c>
      <c r="F224" s="37" t="s">
        <v>2241</v>
      </c>
    </row>
    <row r="225">
      <c r="A225" s="37" t="s">
        <v>2206</v>
      </c>
      <c r="B225" s="54">
        <v>1.0</v>
      </c>
      <c r="C225" s="54">
        <v>0.0</v>
      </c>
      <c r="D225" s="54">
        <v>1.0</v>
      </c>
      <c r="E225" s="37" t="s">
        <v>1750</v>
      </c>
      <c r="F225" s="37" t="s">
        <v>2241</v>
      </c>
    </row>
    <row r="226">
      <c r="A226" s="37" t="s">
        <v>2207</v>
      </c>
      <c r="B226" s="54">
        <v>1.0</v>
      </c>
      <c r="C226" s="54">
        <v>0.0</v>
      </c>
      <c r="D226" s="54">
        <v>1.0</v>
      </c>
      <c r="E226" s="37" t="s">
        <v>1750</v>
      </c>
      <c r="F226" s="37" t="s">
        <v>2241</v>
      </c>
    </row>
    <row r="227">
      <c r="A227" s="37" t="s">
        <v>2209</v>
      </c>
      <c r="B227" s="54">
        <v>1.0</v>
      </c>
      <c r="C227" s="54">
        <v>0.0</v>
      </c>
      <c r="D227" s="54">
        <v>1.0</v>
      </c>
      <c r="E227" s="37" t="s">
        <v>1750</v>
      </c>
      <c r="F227" s="37" t="s">
        <v>2246</v>
      </c>
    </row>
    <row r="228">
      <c r="A228" s="37" t="s">
        <v>2211</v>
      </c>
      <c r="B228" s="54">
        <v>1.0</v>
      </c>
      <c r="C228" s="54">
        <v>0.0</v>
      </c>
      <c r="D228" s="54">
        <v>1.0</v>
      </c>
      <c r="E228" s="37" t="s">
        <v>1750</v>
      </c>
      <c r="F228" s="37" t="s">
        <v>2246</v>
      </c>
    </row>
    <row r="229">
      <c r="A229" s="37" t="s">
        <v>2212</v>
      </c>
      <c r="B229" s="54">
        <v>1.0</v>
      </c>
      <c r="C229" s="54">
        <v>0.0</v>
      </c>
      <c r="D229" s="54">
        <v>1.0</v>
      </c>
      <c r="E229" s="37" t="s">
        <v>1750</v>
      </c>
      <c r="F229" s="37" t="s">
        <v>2246</v>
      </c>
    </row>
    <row r="230">
      <c r="A230" s="37" t="s">
        <v>2214</v>
      </c>
      <c r="B230" s="54">
        <v>1.0</v>
      </c>
      <c r="C230" s="54">
        <v>0.0</v>
      </c>
      <c r="D230" s="54">
        <v>1.0</v>
      </c>
      <c r="E230" s="37" t="s">
        <v>1750</v>
      </c>
      <c r="F230" s="37" t="s">
        <v>2246</v>
      </c>
    </row>
    <row r="231">
      <c r="A231" s="37" t="s">
        <v>2215</v>
      </c>
      <c r="B231" s="54">
        <v>1.0</v>
      </c>
      <c r="C231" s="54">
        <v>0.0</v>
      </c>
      <c r="D231" s="54">
        <v>1.0</v>
      </c>
      <c r="E231" s="37" t="s">
        <v>1750</v>
      </c>
      <c r="F231" s="37" t="s">
        <v>2246</v>
      </c>
    </row>
    <row r="232">
      <c r="A232" s="37" t="s">
        <v>2216</v>
      </c>
      <c r="B232" s="54">
        <v>1.0</v>
      </c>
      <c r="C232" s="54">
        <v>0.0</v>
      </c>
      <c r="D232" s="54">
        <v>1.0</v>
      </c>
      <c r="E232" s="37" t="s">
        <v>1750</v>
      </c>
      <c r="F232" s="37" t="s">
        <v>2246</v>
      </c>
    </row>
    <row r="233">
      <c r="A233" s="37" t="s">
        <v>2217</v>
      </c>
      <c r="B233" s="54">
        <v>1.0</v>
      </c>
      <c r="C233" s="54">
        <v>0.0</v>
      </c>
      <c r="D233" s="54">
        <v>1.0</v>
      </c>
      <c r="E233" s="37" t="s">
        <v>1750</v>
      </c>
      <c r="F233" s="37" t="s">
        <v>2246</v>
      </c>
    </row>
    <row r="234">
      <c r="A234" s="37" t="s">
        <v>2219</v>
      </c>
      <c r="B234" s="54">
        <v>1.0</v>
      </c>
      <c r="C234" s="54">
        <v>0.0</v>
      </c>
      <c r="D234" s="54">
        <v>1.0</v>
      </c>
      <c r="E234" s="37" t="s">
        <v>1750</v>
      </c>
      <c r="F234" s="37" t="s">
        <v>2246</v>
      </c>
    </row>
    <row r="235">
      <c r="A235" s="37" t="s">
        <v>2220</v>
      </c>
      <c r="B235" s="54">
        <v>1.0</v>
      </c>
      <c r="C235" s="54">
        <v>0.0</v>
      </c>
      <c r="D235" s="54">
        <v>1.0</v>
      </c>
      <c r="E235" s="37" t="s">
        <v>1750</v>
      </c>
      <c r="F235" s="37" t="s">
        <v>2249</v>
      </c>
    </row>
    <row r="236">
      <c r="A236" s="37" t="s">
        <v>2221</v>
      </c>
      <c r="B236" s="54">
        <v>1.0</v>
      </c>
      <c r="C236" s="54">
        <v>0.0</v>
      </c>
      <c r="D236" s="54">
        <v>1.0</v>
      </c>
      <c r="E236" s="37" t="s">
        <v>1750</v>
      </c>
      <c r="F236" s="37" t="s">
        <v>2249</v>
      </c>
    </row>
    <row r="237">
      <c r="A237" s="37" t="s">
        <v>2222</v>
      </c>
      <c r="B237" s="54">
        <v>1.0</v>
      </c>
      <c r="C237" s="54">
        <v>0.0</v>
      </c>
      <c r="D237" s="54">
        <v>1.0</v>
      </c>
      <c r="E237" s="37" t="s">
        <v>1750</v>
      </c>
      <c r="F237" s="37" t="s">
        <v>2249</v>
      </c>
    </row>
    <row r="238">
      <c r="A238" s="37" t="s">
        <v>2224</v>
      </c>
      <c r="B238" s="54">
        <v>1.0</v>
      </c>
      <c r="C238" s="54">
        <v>0.0</v>
      </c>
      <c r="D238" s="54">
        <v>1.0</v>
      </c>
      <c r="E238" s="37" t="s">
        <v>1750</v>
      </c>
      <c r="F238" s="37" t="s">
        <v>2249</v>
      </c>
    </row>
    <row r="239">
      <c r="A239" s="37" t="s">
        <v>2226</v>
      </c>
      <c r="B239" s="54">
        <v>1.0</v>
      </c>
      <c r="C239" s="54">
        <v>0.0</v>
      </c>
      <c r="D239" s="54">
        <v>1.0</v>
      </c>
      <c r="E239" s="37" t="s">
        <v>1750</v>
      </c>
      <c r="F239" s="37" t="s">
        <v>2249</v>
      </c>
    </row>
    <row r="240">
      <c r="A240" s="37" t="s">
        <v>2227</v>
      </c>
      <c r="B240" s="54">
        <v>1.0</v>
      </c>
      <c r="C240" s="54">
        <v>0.0</v>
      </c>
      <c r="D240" s="54">
        <v>1.0</v>
      </c>
      <c r="E240" s="37" t="s">
        <v>1750</v>
      </c>
      <c r="F240" s="37" t="s">
        <v>2249</v>
      </c>
    </row>
    <row r="241">
      <c r="A241" s="37" t="s">
        <v>2229</v>
      </c>
      <c r="B241" s="54">
        <v>1.0</v>
      </c>
      <c r="C241" s="54">
        <v>0.0</v>
      </c>
      <c r="D241" s="54">
        <v>1.0</v>
      </c>
      <c r="E241" s="37" t="s">
        <v>1750</v>
      </c>
      <c r="F241" s="37" t="s">
        <v>2249</v>
      </c>
    </row>
    <row r="242">
      <c r="A242" s="37" t="s">
        <v>2230</v>
      </c>
      <c r="B242" s="54">
        <v>1.0</v>
      </c>
      <c r="C242" s="54">
        <v>0.0</v>
      </c>
      <c r="D242" s="54">
        <v>1.0</v>
      </c>
      <c r="E242" s="37" t="s">
        <v>1750</v>
      </c>
      <c r="F242" s="37" t="s">
        <v>2249</v>
      </c>
    </row>
    <row r="243">
      <c r="A243" s="37" t="s">
        <v>2201</v>
      </c>
      <c r="B243" s="54">
        <v>1.0</v>
      </c>
      <c r="C243" s="54">
        <v>0.0</v>
      </c>
      <c r="D243" s="54">
        <v>1.0</v>
      </c>
      <c r="E243" s="37" t="s">
        <v>1750</v>
      </c>
      <c r="F243" s="37" t="s">
        <v>2241</v>
      </c>
    </row>
    <row r="244">
      <c r="A244" s="37" t="s">
        <v>2204</v>
      </c>
      <c r="B244" s="54">
        <v>1.0</v>
      </c>
      <c r="C244" s="54">
        <v>0.0</v>
      </c>
      <c r="D244" s="54">
        <v>1.0</v>
      </c>
      <c r="E244" s="37" t="s">
        <v>1750</v>
      </c>
      <c r="F244" s="37" t="s">
        <v>2241</v>
      </c>
    </row>
    <row r="245">
      <c r="A245" s="37" t="s">
        <v>2200</v>
      </c>
      <c r="B245" s="54">
        <v>1.0</v>
      </c>
      <c r="C245" s="54">
        <v>0.0</v>
      </c>
      <c r="D245" s="54">
        <v>1.0</v>
      </c>
      <c r="E245" s="37" t="s">
        <v>1750</v>
      </c>
      <c r="F245" s="37" t="s">
        <v>2241</v>
      </c>
    </row>
    <row r="246">
      <c r="A246" s="37" t="s">
        <v>2199</v>
      </c>
      <c r="B246" s="54">
        <v>1.0</v>
      </c>
      <c r="C246" s="54">
        <v>0.0</v>
      </c>
      <c r="D246" s="54">
        <v>1.0</v>
      </c>
      <c r="E246" s="37" t="s">
        <v>1750</v>
      </c>
      <c r="F246" s="37" t="s">
        <v>2241</v>
      </c>
    </row>
    <row r="247">
      <c r="A247" s="37" t="s">
        <v>2184</v>
      </c>
      <c r="B247" s="54">
        <v>0.0</v>
      </c>
      <c r="C247" s="54">
        <v>1.0</v>
      </c>
      <c r="D247" s="54">
        <v>1.0</v>
      </c>
      <c r="E247" s="37" t="s">
        <v>1762</v>
      </c>
      <c r="F247" s="37" t="s">
        <v>2256</v>
      </c>
    </row>
    <row r="248">
      <c r="A248" s="37" t="s">
        <v>2185</v>
      </c>
      <c r="B248" s="54">
        <v>1.0</v>
      </c>
      <c r="C248" s="54">
        <v>0.0</v>
      </c>
      <c r="D248" s="54">
        <v>1.0</v>
      </c>
      <c r="E248" s="37" t="s">
        <v>1762</v>
      </c>
      <c r="F248" s="37" t="s">
        <v>2256</v>
      </c>
    </row>
    <row r="249">
      <c r="A249" s="37" t="s">
        <v>2258</v>
      </c>
      <c r="B249" s="54">
        <v>1.0</v>
      </c>
      <c r="C249" s="54">
        <v>0.0</v>
      </c>
      <c r="D249" s="54">
        <v>1.0</v>
      </c>
      <c r="E249" s="37" t="s">
        <v>1785</v>
      </c>
      <c r="F249" s="37" t="s">
        <v>2259</v>
      </c>
    </row>
    <row r="250">
      <c r="A250" s="37" t="s">
        <v>2260</v>
      </c>
      <c r="B250" s="54">
        <v>0.0</v>
      </c>
      <c r="C250" s="54">
        <v>1.0</v>
      </c>
      <c r="D250" s="54">
        <v>1.0</v>
      </c>
      <c r="E250" s="37" t="s">
        <v>1785</v>
      </c>
      <c r="F250" s="37" t="s">
        <v>2259</v>
      </c>
    </row>
    <row r="251">
      <c r="A251" s="37" t="s">
        <v>2261</v>
      </c>
      <c r="B251" s="54">
        <v>1.0</v>
      </c>
      <c r="C251" s="54">
        <v>0.0</v>
      </c>
      <c r="D251" s="54">
        <v>1.0</v>
      </c>
      <c r="E251" s="37" t="s">
        <v>1785</v>
      </c>
      <c r="F251" s="37" t="s">
        <v>2259</v>
      </c>
    </row>
    <row r="252">
      <c r="A252" s="37" t="s">
        <v>2263</v>
      </c>
      <c r="B252" s="54">
        <v>0.0</v>
      </c>
      <c r="C252" s="54">
        <v>1.0</v>
      </c>
      <c r="D252" s="54">
        <v>1.0</v>
      </c>
      <c r="E252" s="37" t="s">
        <v>1785</v>
      </c>
      <c r="F252" s="37" t="s">
        <v>2259</v>
      </c>
    </row>
    <row r="253">
      <c r="A253" s="37" t="s">
        <v>2265</v>
      </c>
      <c r="B253" s="54">
        <v>0.0</v>
      </c>
      <c r="C253" s="54">
        <v>1.0</v>
      </c>
      <c r="D253" s="54">
        <v>1.0</v>
      </c>
      <c r="E253" s="37" t="s">
        <v>1783</v>
      </c>
      <c r="F253" s="37" t="s">
        <v>2268</v>
      </c>
    </row>
    <row r="254">
      <c r="A254" s="37" t="s">
        <v>2269</v>
      </c>
      <c r="B254" s="54">
        <v>1.0</v>
      </c>
      <c r="C254" s="54">
        <v>0.0</v>
      </c>
      <c r="D254" s="54">
        <v>1.0</v>
      </c>
      <c r="E254" s="37" t="s">
        <v>1783</v>
      </c>
      <c r="F254" s="37" t="s">
        <v>2268</v>
      </c>
    </row>
    <row r="255">
      <c r="A255" s="37" t="s">
        <v>2270</v>
      </c>
      <c r="B255" s="54">
        <v>0.0</v>
      </c>
      <c r="C255" s="54">
        <v>1.0</v>
      </c>
      <c r="D255" s="54">
        <v>1.0</v>
      </c>
      <c r="E255" s="37" t="s">
        <v>1783</v>
      </c>
      <c r="F255" s="37" t="s">
        <v>2271</v>
      </c>
    </row>
    <row r="256">
      <c r="A256" s="37" t="s">
        <v>2272</v>
      </c>
      <c r="B256" s="54">
        <v>1.0</v>
      </c>
      <c r="C256" s="54">
        <v>0.0</v>
      </c>
      <c r="D256" s="54">
        <v>1.0</v>
      </c>
      <c r="E256" s="37" t="s">
        <v>1783</v>
      </c>
      <c r="F256" s="37" t="s">
        <v>2271</v>
      </c>
    </row>
    <row r="257">
      <c r="A257" s="37" t="s">
        <v>2265</v>
      </c>
      <c r="B257" s="54">
        <v>1.0</v>
      </c>
      <c r="C257" s="54">
        <v>0.0</v>
      </c>
      <c r="D257" s="54">
        <v>1.0</v>
      </c>
      <c r="E257" s="37" t="s">
        <v>1783</v>
      </c>
      <c r="F257" s="37" t="s">
        <v>2268</v>
      </c>
    </row>
    <row r="258">
      <c r="A258" s="37" t="s">
        <v>2270</v>
      </c>
      <c r="B258" s="54">
        <v>1.0</v>
      </c>
      <c r="C258" s="54">
        <v>0.0</v>
      </c>
      <c r="D258" s="54">
        <v>1.0</v>
      </c>
      <c r="E258" s="37" t="s">
        <v>1783</v>
      </c>
      <c r="F258" s="37" t="s">
        <v>2271</v>
      </c>
    </row>
    <row r="259">
      <c r="A259" s="37" t="s">
        <v>2275</v>
      </c>
      <c r="B259" s="54">
        <v>0.0</v>
      </c>
      <c r="C259" s="54">
        <v>1.0</v>
      </c>
      <c r="D259" s="54">
        <v>1.0</v>
      </c>
      <c r="E259" s="37" t="s">
        <v>1776</v>
      </c>
    </row>
    <row r="260">
      <c r="A260" s="37" t="s">
        <v>2276</v>
      </c>
      <c r="B260" s="54">
        <v>0.0</v>
      </c>
      <c r="C260" s="54">
        <v>1.0</v>
      </c>
      <c r="D260" s="54">
        <v>1.0</v>
      </c>
      <c r="E260" s="37" t="s">
        <v>1776</v>
      </c>
    </row>
    <row r="261">
      <c r="A261" s="37" t="s">
        <v>2263</v>
      </c>
      <c r="B261" s="54">
        <v>1.0</v>
      </c>
      <c r="C261" s="54">
        <v>0.0</v>
      </c>
      <c r="D261" s="54">
        <v>1.0</v>
      </c>
      <c r="E261" s="37" t="s">
        <v>1785</v>
      </c>
      <c r="F261" s="37" t="s">
        <v>2259</v>
      </c>
    </row>
    <row r="262">
      <c r="A262" s="37" t="s">
        <v>2171</v>
      </c>
      <c r="B262" s="54">
        <v>1.0</v>
      </c>
      <c r="C262" s="54">
        <v>0.0</v>
      </c>
      <c r="D262" s="54">
        <v>1.0</v>
      </c>
      <c r="E262" s="37" t="s">
        <v>1771</v>
      </c>
      <c r="F262" s="37" t="s">
        <v>2278</v>
      </c>
    </row>
    <row r="263">
      <c r="A263" s="37" t="s">
        <v>2172</v>
      </c>
      <c r="B263" s="54">
        <v>0.0</v>
      </c>
      <c r="C263" s="54">
        <v>1.0</v>
      </c>
      <c r="D263" s="54">
        <v>1.0</v>
      </c>
      <c r="E263" s="37" t="s">
        <v>1771</v>
      </c>
      <c r="F263" s="37" t="s">
        <v>2278</v>
      </c>
    </row>
    <row r="264">
      <c r="A264" s="37" t="s">
        <v>2172</v>
      </c>
      <c r="B264" s="54">
        <v>1.0</v>
      </c>
      <c r="C264" s="54">
        <v>0.0</v>
      </c>
      <c r="D264" s="54">
        <v>1.0</v>
      </c>
      <c r="E264" s="37" t="s">
        <v>1771</v>
      </c>
      <c r="F264" s="37" t="s">
        <v>2278</v>
      </c>
    </row>
    <row r="265">
      <c r="A265" s="37" t="s">
        <v>2180</v>
      </c>
      <c r="B265" s="54">
        <v>1.0</v>
      </c>
      <c r="C265" s="54">
        <v>0.0</v>
      </c>
      <c r="D265" s="54">
        <v>1.0</v>
      </c>
      <c r="E265" s="37" t="s">
        <v>1755</v>
      </c>
      <c r="F265" s="37" t="s">
        <v>2237</v>
      </c>
    </row>
    <row r="266">
      <c r="A266" s="37" t="s">
        <v>2171</v>
      </c>
      <c r="B266" s="54">
        <v>1.0</v>
      </c>
      <c r="C266" s="54">
        <v>0.0</v>
      </c>
      <c r="D266" s="54">
        <v>1.0</v>
      </c>
      <c r="E266" s="37" t="s">
        <v>1788</v>
      </c>
      <c r="F266" s="37" t="s">
        <v>2281</v>
      </c>
    </row>
    <row r="267">
      <c r="A267" s="37" t="s">
        <v>2172</v>
      </c>
      <c r="B267" s="54">
        <v>1.0</v>
      </c>
      <c r="C267" s="54">
        <v>0.0</v>
      </c>
      <c r="D267" s="54">
        <v>1.0</v>
      </c>
      <c r="E267" s="37" t="s">
        <v>1788</v>
      </c>
      <c r="F267" s="37" t="s">
        <v>2281</v>
      </c>
    </row>
    <row r="268">
      <c r="A268" s="37" t="s">
        <v>2275</v>
      </c>
      <c r="B268" s="54">
        <v>0.0</v>
      </c>
      <c r="C268" s="54">
        <v>1.0</v>
      </c>
      <c r="D268" s="54">
        <v>1.0</v>
      </c>
      <c r="E268" s="37" t="s">
        <v>1776</v>
      </c>
      <c r="F268" s="37" t="s">
        <v>2282</v>
      </c>
    </row>
    <row r="269">
      <c r="A269" s="37" t="s">
        <v>2276</v>
      </c>
      <c r="B269" s="54">
        <v>1.0</v>
      </c>
      <c r="C269" s="54">
        <v>0.0</v>
      </c>
      <c r="D269" s="54">
        <v>1.0</v>
      </c>
      <c r="E269" s="37" t="s">
        <v>1776</v>
      </c>
      <c r="F269" s="37" t="s">
        <v>2282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5" max="5" width="25.88"/>
    <col customWidth="1" min="6" max="6" width="25.0"/>
  </cols>
  <sheetData>
    <row r="1">
      <c r="A1" s="35" t="s">
        <v>1723</v>
      </c>
      <c r="B1" s="35" t="s">
        <v>1724</v>
      </c>
      <c r="C1" s="35" t="s">
        <v>1725</v>
      </c>
      <c r="D1" s="35" t="s">
        <v>1727</v>
      </c>
      <c r="E1" s="35" t="s">
        <v>1729</v>
      </c>
      <c r="F1" s="35" t="s">
        <v>1730</v>
      </c>
    </row>
    <row r="2">
      <c r="A2" s="37" t="s">
        <v>2151</v>
      </c>
      <c r="B2" s="54">
        <v>1.0</v>
      </c>
      <c r="C2" s="54">
        <v>0.0</v>
      </c>
      <c r="D2" s="54">
        <v>1.0</v>
      </c>
      <c r="E2" s="37" t="s">
        <v>1753</v>
      </c>
      <c r="F2" s="37" t="s">
        <v>2165</v>
      </c>
    </row>
    <row r="3">
      <c r="A3" s="37" t="s">
        <v>2152</v>
      </c>
      <c r="B3" s="54">
        <v>1.0</v>
      </c>
      <c r="C3" s="54">
        <v>0.0</v>
      </c>
      <c r="D3" s="54">
        <v>1.0</v>
      </c>
      <c r="E3" s="37" t="s">
        <v>1753</v>
      </c>
      <c r="F3" s="37" t="s">
        <v>2165</v>
      </c>
    </row>
    <row r="4">
      <c r="A4" s="37" t="s">
        <v>2154</v>
      </c>
      <c r="B4" s="54">
        <v>1.0</v>
      </c>
      <c r="C4" s="54">
        <v>0.0</v>
      </c>
      <c r="D4" s="54">
        <v>1.0</v>
      </c>
      <c r="E4" s="37" t="s">
        <v>1753</v>
      </c>
      <c r="F4" s="37" t="s">
        <v>2162</v>
      </c>
    </row>
    <row r="5">
      <c r="A5" s="37" t="s">
        <v>2155</v>
      </c>
      <c r="B5" s="54">
        <v>1.0</v>
      </c>
      <c r="C5" s="54">
        <v>0.0</v>
      </c>
      <c r="D5" s="54">
        <v>1.0</v>
      </c>
      <c r="E5" s="37" t="s">
        <v>1753</v>
      </c>
      <c r="F5" s="37" t="s">
        <v>2162</v>
      </c>
    </row>
    <row r="6">
      <c r="A6" s="37" t="s">
        <v>2157</v>
      </c>
      <c r="B6" s="54">
        <v>1.0</v>
      </c>
      <c r="C6" s="54">
        <v>0.0</v>
      </c>
      <c r="D6" s="54">
        <v>1.0</v>
      </c>
      <c r="E6" s="37" t="s">
        <v>1753</v>
      </c>
      <c r="F6" s="37" t="s">
        <v>2161</v>
      </c>
    </row>
    <row r="7">
      <c r="A7" s="37" t="s">
        <v>2159</v>
      </c>
      <c r="B7" s="54">
        <v>1.0</v>
      </c>
      <c r="C7" s="54">
        <v>0.0</v>
      </c>
      <c r="D7" s="54">
        <v>1.0</v>
      </c>
      <c r="E7" s="37" t="s">
        <v>1753</v>
      </c>
      <c r="F7" s="37" t="s">
        <v>2161</v>
      </c>
    </row>
    <row r="8">
      <c r="A8" s="37" t="s">
        <v>2151</v>
      </c>
      <c r="B8" s="54">
        <v>1.0</v>
      </c>
      <c r="C8" s="54">
        <v>0.0</v>
      </c>
      <c r="D8" s="54">
        <v>1.0</v>
      </c>
      <c r="E8" s="37" t="s">
        <v>1755</v>
      </c>
      <c r="F8" s="37" t="s">
        <v>2170</v>
      </c>
    </row>
    <row r="9">
      <c r="A9" s="37" t="s">
        <v>2152</v>
      </c>
      <c r="B9" s="54">
        <v>1.0</v>
      </c>
      <c r="C9" s="54">
        <v>0.0</v>
      </c>
      <c r="D9" s="54">
        <v>1.0</v>
      </c>
      <c r="E9" s="37" t="s">
        <v>1755</v>
      </c>
      <c r="F9" s="37" t="s">
        <v>2170</v>
      </c>
    </row>
    <row r="10">
      <c r="A10" s="37" t="s">
        <v>2171</v>
      </c>
      <c r="B10" s="54">
        <v>1.0</v>
      </c>
      <c r="C10" s="54">
        <v>0.0</v>
      </c>
      <c r="D10" s="54">
        <v>1.0</v>
      </c>
      <c r="E10" s="37" t="s">
        <v>1771</v>
      </c>
      <c r="F10" s="37" t="s">
        <v>2232</v>
      </c>
    </row>
    <row r="11">
      <c r="A11" s="37" t="s">
        <v>2172</v>
      </c>
      <c r="B11" s="54">
        <v>1.0</v>
      </c>
      <c r="C11" s="54">
        <v>0.0</v>
      </c>
      <c r="D11" s="54">
        <v>1.0</v>
      </c>
      <c r="E11" s="37" t="s">
        <v>1771</v>
      </c>
      <c r="F11" s="37" t="s">
        <v>2232</v>
      </c>
    </row>
    <row r="12">
      <c r="A12" s="37" t="s">
        <v>2174</v>
      </c>
      <c r="B12" s="54">
        <v>1.0</v>
      </c>
      <c r="C12" s="54">
        <v>0.0</v>
      </c>
      <c r="D12" s="54">
        <v>1.0</v>
      </c>
      <c r="E12" s="37" t="s">
        <v>1774</v>
      </c>
      <c r="F12" s="37" t="s">
        <v>2234</v>
      </c>
    </row>
    <row r="13">
      <c r="A13" s="37" t="s">
        <v>2175</v>
      </c>
      <c r="B13" s="54">
        <v>1.0</v>
      </c>
      <c r="C13" s="54">
        <v>0.0</v>
      </c>
      <c r="D13" s="54">
        <v>1.0</v>
      </c>
      <c r="E13" s="37" t="s">
        <v>1774</v>
      </c>
      <c r="F13" s="37" t="s">
        <v>2234</v>
      </c>
    </row>
    <row r="14">
      <c r="A14" s="37" t="s">
        <v>2176</v>
      </c>
      <c r="B14" s="54">
        <v>1.0</v>
      </c>
      <c r="C14" s="54">
        <v>0.0</v>
      </c>
      <c r="D14" s="54">
        <v>1.0</v>
      </c>
      <c r="E14" s="37" t="s">
        <v>1755</v>
      </c>
      <c r="F14" s="37" t="s">
        <v>2236</v>
      </c>
    </row>
    <row r="15">
      <c r="A15" s="37" t="s">
        <v>2178</v>
      </c>
      <c r="B15" s="54">
        <v>1.0</v>
      </c>
      <c r="C15" s="54">
        <v>0.0</v>
      </c>
      <c r="D15" s="54">
        <v>1.0</v>
      </c>
      <c r="E15" s="37" t="s">
        <v>1755</v>
      </c>
      <c r="F15" s="37" t="s">
        <v>2236</v>
      </c>
    </row>
    <row r="16">
      <c r="A16" s="37" t="s">
        <v>2179</v>
      </c>
      <c r="B16" s="54">
        <v>1.0</v>
      </c>
      <c r="C16" s="54">
        <v>0.0</v>
      </c>
      <c r="D16" s="54">
        <v>1.0</v>
      </c>
      <c r="E16" s="37" t="s">
        <v>1755</v>
      </c>
      <c r="F16" s="37" t="s">
        <v>2237</v>
      </c>
    </row>
    <row r="17">
      <c r="A17" s="37" t="s">
        <v>2180</v>
      </c>
      <c r="B17" s="54">
        <v>1.0</v>
      </c>
      <c r="C17" s="54">
        <v>0.0</v>
      </c>
      <c r="D17" s="54">
        <v>1.0</v>
      </c>
      <c r="E17" s="37" t="s">
        <v>1755</v>
      </c>
      <c r="F17" s="37" t="s">
        <v>2237</v>
      </c>
    </row>
    <row r="18">
      <c r="A18" s="37" t="s">
        <v>2184</v>
      </c>
      <c r="B18" s="37">
        <v>1.0</v>
      </c>
      <c r="C18" s="54">
        <v>0.0</v>
      </c>
      <c r="D18" s="54">
        <v>1.0</v>
      </c>
      <c r="E18" s="37" t="s">
        <v>1762</v>
      </c>
      <c r="F18" s="37" t="s">
        <v>2256</v>
      </c>
    </row>
    <row r="19">
      <c r="A19" s="37" t="s">
        <v>2185</v>
      </c>
      <c r="B19" s="54">
        <v>1.0</v>
      </c>
      <c r="C19" s="54">
        <v>0.0</v>
      </c>
      <c r="D19" s="54">
        <v>1.0</v>
      </c>
      <c r="E19" s="37" t="s">
        <v>1762</v>
      </c>
      <c r="F19" s="37" t="s">
        <v>2256</v>
      </c>
    </row>
    <row r="20">
      <c r="A20" s="37" t="s">
        <v>2186</v>
      </c>
      <c r="B20" s="37">
        <v>1.0</v>
      </c>
      <c r="C20" s="54">
        <v>0.0</v>
      </c>
      <c r="D20" s="54">
        <v>1.0</v>
      </c>
      <c r="E20" s="37" t="s">
        <v>1762</v>
      </c>
    </row>
    <row r="21">
      <c r="A21" s="37" t="s">
        <v>2188</v>
      </c>
      <c r="B21" s="37">
        <v>1.0</v>
      </c>
      <c r="C21" s="54">
        <v>0.0</v>
      </c>
      <c r="D21" s="54">
        <v>1.0</v>
      </c>
      <c r="E21" s="37" t="s">
        <v>1762</v>
      </c>
    </row>
    <row r="22">
      <c r="A22" s="37" t="s">
        <v>2190</v>
      </c>
      <c r="B22" s="37">
        <v>1.0</v>
      </c>
      <c r="C22" s="54">
        <v>0.0</v>
      </c>
      <c r="D22" s="54">
        <v>1.0</v>
      </c>
      <c r="E22" s="37" t="s">
        <v>2191</v>
      </c>
    </row>
    <row r="23">
      <c r="A23" s="37" t="s">
        <v>2192</v>
      </c>
      <c r="B23" s="37">
        <v>1.0</v>
      </c>
      <c r="C23" s="54">
        <v>0.0</v>
      </c>
      <c r="D23" s="54">
        <v>1.0</v>
      </c>
      <c r="E23" s="37" t="s">
        <v>2191</v>
      </c>
    </row>
    <row r="24">
      <c r="A24" s="37" t="s">
        <v>2193</v>
      </c>
      <c r="B24" s="54">
        <v>1.0</v>
      </c>
      <c r="C24" s="54">
        <v>0.0</v>
      </c>
      <c r="D24" s="54">
        <v>1.0</v>
      </c>
      <c r="E24" s="37" t="s">
        <v>2191</v>
      </c>
      <c r="F24" s="37" t="s">
        <v>2239</v>
      </c>
    </row>
    <row r="25">
      <c r="A25" s="37" t="s">
        <v>2194</v>
      </c>
      <c r="B25" s="54">
        <v>1.0</v>
      </c>
      <c r="C25" s="54">
        <v>0.0</v>
      </c>
      <c r="D25" s="54">
        <v>1.0</v>
      </c>
      <c r="E25" s="37" t="s">
        <v>2191</v>
      </c>
      <c r="F25" s="37" t="s">
        <v>2239</v>
      </c>
    </row>
    <row r="26">
      <c r="A26" s="37" t="s">
        <v>2195</v>
      </c>
      <c r="B26" s="54">
        <v>1.0</v>
      </c>
      <c r="C26" s="54">
        <v>0.0</v>
      </c>
      <c r="D26" s="54">
        <v>1.0</v>
      </c>
      <c r="E26" s="37" t="s">
        <v>1750</v>
      </c>
      <c r="F26" s="37" t="s">
        <v>2241</v>
      </c>
    </row>
    <row r="27">
      <c r="A27" s="37" t="s">
        <v>2199</v>
      </c>
      <c r="B27" s="54">
        <v>1.0</v>
      </c>
      <c r="C27" s="54">
        <v>0.0</v>
      </c>
      <c r="D27" s="54">
        <v>1.0</v>
      </c>
      <c r="E27" s="37" t="s">
        <v>1750</v>
      </c>
      <c r="F27" s="37" t="s">
        <v>2241</v>
      </c>
    </row>
    <row r="28">
      <c r="A28" s="37" t="s">
        <v>2200</v>
      </c>
      <c r="B28" s="54">
        <v>1.0</v>
      </c>
      <c r="C28" s="54">
        <v>0.0</v>
      </c>
      <c r="D28" s="54">
        <v>1.0</v>
      </c>
      <c r="E28" s="37" t="s">
        <v>1750</v>
      </c>
      <c r="F28" s="37" t="s">
        <v>2241</v>
      </c>
    </row>
    <row r="29">
      <c r="A29" s="37" t="s">
        <v>2201</v>
      </c>
      <c r="B29" s="54">
        <v>1.0</v>
      </c>
      <c r="C29" s="54">
        <v>0.0</v>
      </c>
      <c r="D29" s="54">
        <v>1.0</v>
      </c>
      <c r="E29" s="37" t="s">
        <v>1750</v>
      </c>
      <c r="F29" s="37" t="s">
        <v>2241</v>
      </c>
    </row>
    <row r="30">
      <c r="A30" s="37" t="s">
        <v>2204</v>
      </c>
      <c r="B30" s="54">
        <v>1.0</v>
      </c>
      <c r="C30" s="54">
        <v>0.0</v>
      </c>
      <c r="D30" s="54">
        <v>1.0</v>
      </c>
      <c r="E30" s="37" t="s">
        <v>1750</v>
      </c>
      <c r="F30" s="37" t="s">
        <v>2241</v>
      </c>
    </row>
    <row r="31">
      <c r="A31" s="37" t="s">
        <v>2206</v>
      </c>
      <c r="B31" s="54">
        <v>1.0</v>
      </c>
      <c r="C31" s="54">
        <v>0.0</v>
      </c>
      <c r="D31" s="54">
        <v>1.0</v>
      </c>
      <c r="E31" s="37" t="s">
        <v>1750</v>
      </c>
      <c r="F31" s="37" t="s">
        <v>2241</v>
      </c>
    </row>
    <row r="32">
      <c r="A32" s="37" t="s">
        <v>2207</v>
      </c>
      <c r="B32" s="54">
        <v>1.0</v>
      </c>
      <c r="C32" s="54">
        <v>0.0</v>
      </c>
      <c r="D32" s="54">
        <v>1.0</v>
      </c>
      <c r="E32" s="37" t="s">
        <v>1750</v>
      </c>
      <c r="F32" s="37" t="s">
        <v>2241</v>
      </c>
    </row>
    <row r="33">
      <c r="A33" s="37" t="s">
        <v>2209</v>
      </c>
      <c r="B33" s="54">
        <v>1.0</v>
      </c>
      <c r="C33" s="54">
        <v>0.0</v>
      </c>
      <c r="D33" s="54">
        <v>1.0</v>
      </c>
      <c r="E33" s="37" t="s">
        <v>1750</v>
      </c>
      <c r="F33" s="37" t="s">
        <v>2246</v>
      </c>
    </row>
    <row r="34">
      <c r="A34" s="37" t="s">
        <v>2211</v>
      </c>
      <c r="B34" s="54">
        <v>1.0</v>
      </c>
      <c r="C34" s="54">
        <v>0.0</v>
      </c>
      <c r="D34" s="54">
        <v>1.0</v>
      </c>
      <c r="E34" s="37" t="s">
        <v>1750</v>
      </c>
      <c r="F34" s="37" t="s">
        <v>2246</v>
      </c>
    </row>
    <row r="35">
      <c r="A35" s="37" t="s">
        <v>2212</v>
      </c>
      <c r="B35" s="54">
        <v>1.0</v>
      </c>
      <c r="C35" s="54">
        <v>0.0</v>
      </c>
      <c r="D35" s="54">
        <v>1.0</v>
      </c>
      <c r="E35" s="37" t="s">
        <v>1750</v>
      </c>
      <c r="F35" s="37" t="s">
        <v>2246</v>
      </c>
    </row>
    <row r="36">
      <c r="A36" s="37" t="s">
        <v>2214</v>
      </c>
      <c r="B36" s="54">
        <v>1.0</v>
      </c>
      <c r="C36" s="54">
        <v>0.0</v>
      </c>
      <c r="D36" s="54">
        <v>1.0</v>
      </c>
      <c r="E36" s="37" t="s">
        <v>1750</v>
      </c>
      <c r="F36" s="37" t="s">
        <v>2246</v>
      </c>
    </row>
    <row r="37">
      <c r="A37" s="37" t="s">
        <v>2215</v>
      </c>
      <c r="B37" s="54">
        <v>1.0</v>
      </c>
      <c r="C37" s="54">
        <v>0.0</v>
      </c>
      <c r="D37" s="54">
        <v>1.0</v>
      </c>
      <c r="E37" s="37" t="s">
        <v>1750</v>
      </c>
      <c r="F37" s="37" t="s">
        <v>2246</v>
      </c>
    </row>
    <row r="38">
      <c r="A38" s="37" t="s">
        <v>2216</v>
      </c>
      <c r="B38" s="54">
        <v>1.0</v>
      </c>
      <c r="C38" s="54">
        <v>0.0</v>
      </c>
      <c r="D38" s="54">
        <v>1.0</v>
      </c>
      <c r="E38" s="37" t="s">
        <v>1750</v>
      </c>
      <c r="F38" s="37" t="s">
        <v>2246</v>
      </c>
    </row>
    <row r="39">
      <c r="A39" s="37" t="s">
        <v>2217</v>
      </c>
      <c r="B39" s="54">
        <v>1.0</v>
      </c>
      <c r="C39" s="54">
        <v>0.0</v>
      </c>
      <c r="D39" s="54">
        <v>1.0</v>
      </c>
      <c r="E39" s="37" t="s">
        <v>1750</v>
      </c>
      <c r="F39" s="37" t="s">
        <v>2246</v>
      </c>
    </row>
    <row r="40">
      <c r="A40" s="37" t="s">
        <v>2219</v>
      </c>
      <c r="B40" s="54">
        <v>1.0</v>
      </c>
      <c r="C40" s="54">
        <v>0.0</v>
      </c>
      <c r="D40" s="54">
        <v>1.0</v>
      </c>
      <c r="E40" s="37" t="s">
        <v>1750</v>
      </c>
      <c r="F40" s="37" t="s">
        <v>2246</v>
      </c>
    </row>
    <row r="41">
      <c r="A41" s="37" t="s">
        <v>2220</v>
      </c>
      <c r="B41" s="54">
        <v>1.0</v>
      </c>
      <c r="C41" s="54">
        <v>0.0</v>
      </c>
      <c r="D41" s="54">
        <v>1.0</v>
      </c>
      <c r="E41" s="37" t="s">
        <v>1750</v>
      </c>
      <c r="F41" s="37" t="s">
        <v>2249</v>
      </c>
    </row>
    <row r="42">
      <c r="A42" s="37" t="s">
        <v>2221</v>
      </c>
      <c r="B42" s="54">
        <v>1.0</v>
      </c>
      <c r="C42" s="54">
        <v>0.0</v>
      </c>
      <c r="D42" s="54">
        <v>1.0</v>
      </c>
      <c r="E42" s="37" t="s">
        <v>1750</v>
      </c>
      <c r="F42" s="37" t="s">
        <v>2249</v>
      </c>
    </row>
    <row r="43">
      <c r="A43" s="37" t="s">
        <v>2222</v>
      </c>
      <c r="B43" s="54">
        <v>1.0</v>
      </c>
      <c r="C43" s="54">
        <v>0.0</v>
      </c>
      <c r="D43" s="54">
        <v>1.0</v>
      </c>
      <c r="E43" s="37" t="s">
        <v>1750</v>
      </c>
      <c r="F43" s="37" t="s">
        <v>2249</v>
      </c>
    </row>
    <row r="44">
      <c r="A44" s="37" t="s">
        <v>2224</v>
      </c>
      <c r="B44" s="54">
        <v>1.0</v>
      </c>
      <c r="C44" s="54">
        <v>0.0</v>
      </c>
      <c r="D44" s="54">
        <v>1.0</v>
      </c>
      <c r="E44" s="37" t="s">
        <v>1750</v>
      </c>
      <c r="F44" s="37" t="s">
        <v>2249</v>
      </c>
    </row>
    <row r="45">
      <c r="A45" s="37" t="s">
        <v>2226</v>
      </c>
      <c r="B45" s="54">
        <v>1.0</v>
      </c>
      <c r="C45" s="54">
        <v>0.0</v>
      </c>
      <c r="D45" s="54">
        <v>1.0</v>
      </c>
      <c r="E45" s="37" t="s">
        <v>1750</v>
      </c>
      <c r="F45" s="37" t="s">
        <v>2249</v>
      </c>
    </row>
    <row r="46">
      <c r="A46" s="37" t="s">
        <v>2227</v>
      </c>
      <c r="B46" s="54">
        <v>1.0</v>
      </c>
      <c r="C46" s="54">
        <v>0.0</v>
      </c>
      <c r="D46" s="54">
        <v>1.0</v>
      </c>
      <c r="E46" s="37" t="s">
        <v>1750</v>
      </c>
      <c r="F46" s="37" t="s">
        <v>2249</v>
      </c>
    </row>
    <row r="47">
      <c r="A47" s="37" t="s">
        <v>2229</v>
      </c>
      <c r="B47" s="54">
        <v>1.0</v>
      </c>
      <c r="C47" s="54">
        <v>0.0</v>
      </c>
      <c r="D47" s="54">
        <v>1.0</v>
      </c>
      <c r="E47" s="37" t="s">
        <v>1750</v>
      </c>
      <c r="F47" s="37" t="s">
        <v>2249</v>
      </c>
    </row>
    <row r="48">
      <c r="A48" s="37" t="s">
        <v>2230</v>
      </c>
      <c r="B48" s="54">
        <v>1.0</v>
      </c>
      <c r="C48" s="54">
        <v>0.0</v>
      </c>
      <c r="D48" s="54">
        <v>1.0</v>
      </c>
      <c r="E48" s="37" t="s">
        <v>1750</v>
      </c>
      <c r="F48" s="37" t="s">
        <v>2249</v>
      </c>
    </row>
    <row r="49">
      <c r="A49" s="37" t="s">
        <v>2258</v>
      </c>
      <c r="B49" s="54">
        <v>1.0</v>
      </c>
      <c r="C49" s="54">
        <v>0.0</v>
      </c>
      <c r="D49" s="54">
        <v>1.0</v>
      </c>
      <c r="E49" s="37" t="s">
        <v>1785</v>
      </c>
      <c r="F49" s="37" t="s">
        <v>2259</v>
      </c>
    </row>
    <row r="50">
      <c r="A50" s="37" t="s">
        <v>2261</v>
      </c>
      <c r="B50" s="54">
        <v>1.0</v>
      </c>
      <c r="C50" s="54">
        <v>0.0</v>
      </c>
      <c r="D50" s="54">
        <v>1.0</v>
      </c>
      <c r="E50" s="37" t="s">
        <v>1785</v>
      </c>
      <c r="F50" s="37" t="s">
        <v>2259</v>
      </c>
    </row>
    <row r="51">
      <c r="A51" s="37" t="s">
        <v>2263</v>
      </c>
      <c r="B51" s="54">
        <v>1.0</v>
      </c>
      <c r="C51" s="54">
        <v>0.0</v>
      </c>
      <c r="D51" s="54">
        <v>1.0</v>
      </c>
      <c r="E51" s="37" t="s">
        <v>1785</v>
      </c>
      <c r="F51" s="37" t="s">
        <v>2259</v>
      </c>
    </row>
    <row r="52">
      <c r="A52" s="37" t="s">
        <v>2265</v>
      </c>
      <c r="B52" s="54">
        <v>1.0</v>
      </c>
      <c r="C52" s="54">
        <v>0.0</v>
      </c>
      <c r="D52" s="54">
        <v>1.0</v>
      </c>
      <c r="E52" s="37" t="s">
        <v>1783</v>
      </c>
      <c r="F52" s="37" t="s">
        <v>2268</v>
      </c>
    </row>
    <row r="53">
      <c r="A53" s="37" t="s">
        <v>2269</v>
      </c>
      <c r="B53" s="54">
        <v>1.0</v>
      </c>
      <c r="C53" s="54">
        <v>0.0</v>
      </c>
      <c r="D53" s="54">
        <v>1.0</v>
      </c>
      <c r="E53" s="37" t="s">
        <v>1783</v>
      </c>
      <c r="F53" s="37" t="s">
        <v>2268</v>
      </c>
    </row>
    <row r="54">
      <c r="A54" s="37" t="s">
        <v>2270</v>
      </c>
      <c r="B54" s="54">
        <v>1.0</v>
      </c>
      <c r="C54" s="54">
        <v>0.0</v>
      </c>
      <c r="D54" s="54">
        <v>1.0</v>
      </c>
      <c r="E54" s="37" t="s">
        <v>1783</v>
      </c>
      <c r="F54" s="37" t="s">
        <v>2271</v>
      </c>
    </row>
    <row r="55">
      <c r="A55" s="37" t="s">
        <v>2272</v>
      </c>
      <c r="B55" s="54">
        <v>1.0</v>
      </c>
      <c r="C55" s="54">
        <v>0.0</v>
      </c>
      <c r="D55" s="54">
        <v>1.0</v>
      </c>
      <c r="E55" s="37" t="s">
        <v>1783</v>
      </c>
      <c r="F55" s="37" t="s">
        <v>2271</v>
      </c>
    </row>
    <row r="56">
      <c r="A56" s="37" t="s">
        <v>2171</v>
      </c>
      <c r="B56" s="54">
        <v>1.0</v>
      </c>
      <c r="C56" s="54">
        <v>0.0</v>
      </c>
      <c r="D56" s="54">
        <v>1.0</v>
      </c>
      <c r="E56" s="37" t="s">
        <v>1771</v>
      </c>
      <c r="F56" s="37" t="s">
        <v>2278</v>
      </c>
    </row>
    <row r="57">
      <c r="A57" s="37" t="s">
        <v>2172</v>
      </c>
      <c r="B57" s="54">
        <v>1.0</v>
      </c>
      <c r="C57" s="54">
        <v>0.0</v>
      </c>
      <c r="D57" s="54">
        <v>1.0</v>
      </c>
      <c r="E57" s="37" t="s">
        <v>1771</v>
      </c>
      <c r="F57" s="37" t="s">
        <v>2278</v>
      </c>
    </row>
    <row r="58">
      <c r="A58" s="37" t="s">
        <v>2275</v>
      </c>
      <c r="B58" s="54">
        <v>1.0</v>
      </c>
      <c r="C58" s="54">
        <v>0.0</v>
      </c>
      <c r="D58" s="54">
        <v>1.0</v>
      </c>
      <c r="E58" s="37" t="s">
        <v>1776</v>
      </c>
      <c r="F58" s="37" t="s">
        <v>2282</v>
      </c>
    </row>
    <row r="59">
      <c r="A59" s="37" t="s">
        <v>2276</v>
      </c>
      <c r="B59" s="54">
        <v>1.0</v>
      </c>
      <c r="C59" s="54">
        <v>0.0</v>
      </c>
      <c r="D59" s="54">
        <v>1.0</v>
      </c>
      <c r="E59" s="37" t="s">
        <v>1776</v>
      </c>
      <c r="F59" s="37" t="s">
        <v>2282</v>
      </c>
    </row>
    <row r="60">
      <c r="A60" s="37" t="s">
        <v>2171</v>
      </c>
      <c r="B60" s="54">
        <v>1.0</v>
      </c>
      <c r="C60" s="54">
        <v>0.0</v>
      </c>
      <c r="D60" s="54">
        <v>1.0</v>
      </c>
      <c r="E60" s="37" t="s">
        <v>1788</v>
      </c>
      <c r="F60" s="37" t="s">
        <v>2281</v>
      </c>
    </row>
    <row r="61">
      <c r="A61" s="37" t="s">
        <v>2172</v>
      </c>
      <c r="B61" s="54">
        <v>1.0</v>
      </c>
      <c r="C61" s="54">
        <v>0.0</v>
      </c>
      <c r="D61" s="54">
        <v>1.0</v>
      </c>
      <c r="E61" s="37" t="s">
        <v>1788</v>
      </c>
      <c r="F61" s="37" t="s">
        <v>2281</v>
      </c>
    </row>
    <row r="62">
      <c r="A62" s="37" t="s">
        <v>2325</v>
      </c>
      <c r="B62" s="54">
        <v>1.0</v>
      </c>
      <c r="C62" s="54">
        <v>0.0</v>
      </c>
      <c r="D62" s="54">
        <v>1.0</v>
      </c>
      <c r="E62" s="37" t="s">
        <v>1774</v>
      </c>
      <c r="F62" s="37" t="s">
        <v>2327</v>
      </c>
    </row>
    <row r="63">
      <c r="A63" s="37" t="s">
        <v>2328</v>
      </c>
      <c r="B63" s="54">
        <v>1.0</v>
      </c>
      <c r="C63" s="54">
        <v>0.0</v>
      </c>
      <c r="D63" s="54">
        <v>1.0</v>
      </c>
      <c r="E63" s="37" t="s">
        <v>1774</v>
      </c>
      <c r="F63" s="37" t="s">
        <v>2327</v>
      </c>
    </row>
    <row r="64">
      <c r="A64" s="37" t="s">
        <v>2325</v>
      </c>
      <c r="B64" s="37">
        <v>1.0</v>
      </c>
      <c r="C64" s="54">
        <v>0.0</v>
      </c>
      <c r="D64" s="54">
        <v>1.0</v>
      </c>
      <c r="E64" s="37" t="s">
        <v>1776</v>
      </c>
    </row>
    <row r="65">
      <c r="A65" s="37" t="s">
        <v>2328</v>
      </c>
      <c r="B65" s="37">
        <v>1.0</v>
      </c>
      <c r="C65" s="54">
        <v>0.0</v>
      </c>
      <c r="D65" s="54">
        <v>1.0</v>
      </c>
      <c r="E65" s="37" t="s">
        <v>1776</v>
      </c>
    </row>
    <row r="66">
      <c r="A66" s="37" t="s">
        <v>2325</v>
      </c>
      <c r="B66" s="54">
        <v>1.0</v>
      </c>
      <c r="C66" s="54">
        <v>0.0</v>
      </c>
      <c r="D66" s="54">
        <v>1.0</v>
      </c>
      <c r="E66" s="37" t="s">
        <v>1750</v>
      </c>
      <c r="F66" s="37" t="s">
        <v>2331</v>
      </c>
    </row>
    <row r="67">
      <c r="A67" s="37" t="s">
        <v>2328</v>
      </c>
      <c r="B67" s="54">
        <v>1.0</v>
      </c>
      <c r="C67" s="54">
        <v>0.0</v>
      </c>
      <c r="D67" s="54">
        <v>1.0</v>
      </c>
      <c r="E67" s="37" t="s">
        <v>1750</v>
      </c>
      <c r="F67" s="37" t="s">
        <v>2331</v>
      </c>
    </row>
    <row r="68">
      <c r="A68" s="37" t="s">
        <v>2332</v>
      </c>
      <c r="B68" s="54">
        <v>1.0</v>
      </c>
      <c r="C68" s="54">
        <v>0.0</v>
      </c>
      <c r="D68" s="54">
        <v>1.0</v>
      </c>
      <c r="E68" s="37" t="s">
        <v>1750</v>
      </c>
      <c r="F68" s="37" t="s">
        <v>2331</v>
      </c>
    </row>
    <row r="69">
      <c r="A69" s="37" t="s">
        <v>2335</v>
      </c>
      <c r="B69" s="54">
        <v>1.0</v>
      </c>
      <c r="C69" s="54">
        <v>0.0</v>
      </c>
      <c r="D69" s="54">
        <v>1.0</v>
      </c>
      <c r="E69" s="37" t="s">
        <v>1750</v>
      </c>
      <c r="F69" s="37" t="s">
        <v>2331</v>
      </c>
    </row>
    <row r="70">
      <c r="A70" s="37" t="s">
        <v>2336</v>
      </c>
      <c r="B70" s="54">
        <v>1.0</v>
      </c>
      <c r="C70" s="54">
        <v>0.0</v>
      </c>
      <c r="D70" s="54">
        <v>1.0</v>
      </c>
      <c r="E70" s="37" t="s">
        <v>1750</v>
      </c>
      <c r="F70" s="37" t="s">
        <v>2338</v>
      </c>
    </row>
    <row r="71">
      <c r="A71" s="37" t="s">
        <v>2339</v>
      </c>
      <c r="B71" s="54">
        <v>1.0</v>
      </c>
      <c r="C71" s="54">
        <v>0.0</v>
      </c>
      <c r="D71" s="54">
        <v>1.0</v>
      </c>
      <c r="E71" s="37" t="s">
        <v>1750</v>
      </c>
      <c r="F71" s="37" t="s">
        <v>2338</v>
      </c>
    </row>
    <row r="72">
      <c r="A72" s="37" t="s">
        <v>2336</v>
      </c>
      <c r="B72" s="54">
        <v>1.0</v>
      </c>
      <c r="C72" s="54">
        <v>0.0</v>
      </c>
      <c r="D72" s="54">
        <v>1.0</v>
      </c>
      <c r="E72" s="37" t="s">
        <v>1771</v>
      </c>
      <c r="F72" s="37" t="s">
        <v>2340</v>
      </c>
    </row>
    <row r="73">
      <c r="A73" s="37" t="s">
        <v>2339</v>
      </c>
      <c r="B73" s="54">
        <v>1.0</v>
      </c>
      <c r="C73" s="54">
        <v>0.0</v>
      </c>
      <c r="D73" s="54">
        <v>1.0</v>
      </c>
      <c r="E73" s="37" t="s">
        <v>1771</v>
      </c>
      <c r="F73" s="37" t="s">
        <v>2340</v>
      </c>
    </row>
    <row r="74">
      <c r="A74" s="37" t="s">
        <v>2336</v>
      </c>
      <c r="B74" s="54">
        <v>1.0</v>
      </c>
      <c r="C74" s="54">
        <v>0.0</v>
      </c>
      <c r="D74" s="54">
        <v>1.0</v>
      </c>
      <c r="E74" s="37" t="s">
        <v>1776</v>
      </c>
      <c r="F74" s="37" t="s">
        <v>2341</v>
      </c>
    </row>
    <row r="75">
      <c r="A75" s="37" t="s">
        <v>2339</v>
      </c>
      <c r="B75" s="54">
        <v>1.0</v>
      </c>
      <c r="C75" s="54">
        <v>0.0</v>
      </c>
      <c r="D75" s="54">
        <v>1.0</v>
      </c>
      <c r="E75" s="37" t="s">
        <v>1776</v>
      </c>
      <c r="F75" s="37" t="s">
        <v>2341</v>
      </c>
    </row>
    <row r="76">
      <c r="A76" s="37" t="s">
        <v>2342</v>
      </c>
      <c r="B76" s="54">
        <v>1.0</v>
      </c>
      <c r="C76" s="54">
        <v>0.0</v>
      </c>
      <c r="D76" s="54">
        <v>1.0</v>
      </c>
      <c r="E76" s="37" t="s">
        <v>1788</v>
      </c>
      <c r="F76" s="37" t="s">
        <v>2344</v>
      </c>
    </row>
    <row r="77">
      <c r="A77" s="37" t="s">
        <v>2345</v>
      </c>
      <c r="B77" s="54">
        <v>1.0</v>
      </c>
      <c r="C77" s="54">
        <v>0.0</v>
      </c>
      <c r="D77" s="54">
        <v>1.0</v>
      </c>
      <c r="E77" s="37" t="s">
        <v>1788</v>
      </c>
      <c r="F77" s="37" t="s">
        <v>2344</v>
      </c>
    </row>
    <row r="78">
      <c r="A78" s="37" t="s">
        <v>2346</v>
      </c>
      <c r="B78" s="54">
        <v>1.0</v>
      </c>
      <c r="C78" s="54">
        <v>0.0</v>
      </c>
      <c r="D78" s="54">
        <v>1.0</v>
      </c>
      <c r="E78" s="37" t="s">
        <v>1750</v>
      </c>
      <c r="F78" s="37" t="s">
        <v>2348</v>
      </c>
    </row>
    <row r="79">
      <c r="A79" s="37" t="s">
        <v>2349</v>
      </c>
      <c r="B79" s="54">
        <v>1.0</v>
      </c>
      <c r="C79" s="54">
        <v>0.0</v>
      </c>
      <c r="D79" s="54">
        <v>1.0</v>
      </c>
      <c r="E79" s="37" t="s">
        <v>1750</v>
      </c>
      <c r="F79" s="37" t="s">
        <v>2348</v>
      </c>
    </row>
    <row r="80">
      <c r="A80" s="37" t="s">
        <v>2350</v>
      </c>
      <c r="B80" s="54">
        <v>1.0</v>
      </c>
      <c r="C80" s="54">
        <v>0.0</v>
      </c>
      <c r="D80" s="54">
        <v>1.0</v>
      </c>
      <c r="E80" s="37" t="s">
        <v>1776</v>
      </c>
      <c r="F80" s="37" t="s">
        <v>2351</v>
      </c>
    </row>
    <row r="81">
      <c r="A81" s="37" t="s">
        <v>2352</v>
      </c>
      <c r="B81" s="54">
        <v>1.0</v>
      </c>
      <c r="C81" s="54">
        <v>0.0</v>
      </c>
      <c r="D81" s="54">
        <v>1.0</v>
      </c>
      <c r="E81" s="37" t="s">
        <v>1776</v>
      </c>
      <c r="F81" s="37" t="s">
        <v>2351</v>
      </c>
    </row>
    <row r="82">
      <c r="A82" s="37" t="s">
        <v>2353</v>
      </c>
      <c r="B82" s="54">
        <v>1.0</v>
      </c>
      <c r="C82" s="54">
        <v>0.0</v>
      </c>
      <c r="D82" s="54">
        <v>1.0</v>
      </c>
      <c r="E82" s="37" t="s">
        <v>1776</v>
      </c>
      <c r="F82" s="37" t="s">
        <v>2354</v>
      </c>
    </row>
    <row r="83">
      <c r="A83" s="37" t="s">
        <v>2355</v>
      </c>
      <c r="B83" s="54">
        <v>1.0</v>
      </c>
      <c r="C83" s="54">
        <v>0.0</v>
      </c>
      <c r="D83" s="54">
        <v>1.0</v>
      </c>
      <c r="E83" s="37" t="s">
        <v>1776</v>
      </c>
      <c r="F83" s="37" t="s">
        <v>2354</v>
      </c>
    </row>
    <row r="84">
      <c r="A84" s="37" t="s">
        <v>2353</v>
      </c>
      <c r="B84" s="54">
        <v>1.0</v>
      </c>
      <c r="C84" s="54">
        <v>0.0</v>
      </c>
      <c r="D84" s="54">
        <v>1.0</v>
      </c>
      <c r="E84" s="37" t="s">
        <v>1788</v>
      </c>
      <c r="F84" s="37" t="s">
        <v>2356</v>
      </c>
    </row>
    <row r="85">
      <c r="A85" s="37" t="s">
        <v>2355</v>
      </c>
      <c r="B85" s="54">
        <v>1.0</v>
      </c>
      <c r="C85" s="54">
        <v>0.0</v>
      </c>
      <c r="D85" s="54">
        <v>1.0</v>
      </c>
      <c r="E85" s="37" t="s">
        <v>1788</v>
      </c>
      <c r="F85" s="37" t="s">
        <v>2356</v>
      </c>
    </row>
    <row r="86">
      <c r="A86" s="37" t="s">
        <v>2357</v>
      </c>
      <c r="B86" s="37">
        <v>1.0</v>
      </c>
      <c r="C86" s="54">
        <v>0.0</v>
      </c>
      <c r="D86" s="54">
        <v>1.0</v>
      </c>
      <c r="E86" s="37" t="s">
        <v>1767</v>
      </c>
    </row>
    <row r="87">
      <c r="A87" s="37" t="s">
        <v>2358</v>
      </c>
      <c r="B87" s="37">
        <v>1.0</v>
      </c>
      <c r="C87" s="54">
        <v>0.0</v>
      </c>
      <c r="D87" s="54">
        <v>1.0</v>
      </c>
      <c r="E87" s="37" t="s">
        <v>1767</v>
      </c>
    </row>
    <row r="88">
      <c r="A88" s="37" t="s">
        <v>2359</v>
      </c>
      <c r="B88" s="37">
        <v>1.0</v>
      </c>
      <c r="C88" s="37">
        <v>0.0</v>
      </c>
      <c r="D88" s="54">
        <v>1.0</v>
      </c>
      <c r="E88" s="37" t="s">
        <v>1755</v>
      </c>
      <c r="F88" s="37" t="s">
        <v>2360</v>
      </c>
    </row>
    <row r="89">
      <c r="A89" s="37" t="s">
        <v>2361</v>
      </c>
      <c r="B89" s="37">
        <v>1.0</v>
      </c>
      <c r="C89" s="37">
        <v>0.0</v>
      </c>
      <c r="D89" s="54">
        <v>1.0</v>
      </c>
      <c r="E89" s="37" t="s">
        <v>1755</v>
      </c>
      <c r="F89" s="37" t="s">
        <v>2360</v>
      </c>
    </row>
    <row r="90">
      <c r="A90" s="37" t="s">
        <v>2362</v>
      </c>
      <c r="B90" s="54">
        <v>1.0</v>
      </c>
      <c r="C90" s="54">
        <v>0.0</v>
      </c>
      <c r="D90" s="54">
        <v>1.0</v>
      </c>
      <c r="E90" s="37" t="s">
        <v>1755</v>
      </c>
      <c r="F90" s="37" t="s">
        <v>2360</v>
      </c>
    </row>
    <row r="91">
      <c r="A91" s="37" t="s">
        <v>2363</v>
      </c>
      <c r="B91" s="54">
        <v>1.0</v>
      </c>
      <c r="C91" s="54">
        <v>0.0</v>
      </c>
      <c r="D91" s="54">
        <v>1.0</v>
      </c>
      <c r="E91" s="37" t="s">
        <v>1755</v>
      </c>
      <c r="F91" s="37" t="s">
        <v>2360</v>
      </c>
    </row>
    <row r="92">
      <c r="A92" s="37" t="s">
        <v>2353</v>
      </c>
      <c r="B92" s="37">
        <v>1.0</v>
      </c>
      <c r="C92" s="37">
        <v>0.0</v>
      </c>
      <c r="D92" s="54">
        <v>1.0</v>
      </c>
      <c r="E92" s="37" t="s">
        <v>1774</v>
      </c>
    </row>
    <row r="93">
      <c r="A93" s="37" t="s">
        <v>2365</v>
      </c>
      <c r="B93" s="54">
        <v>0.0</v>
      </c>
      <c r="C93" s="54">
        <v>1.0</v>
      </c>
      <c r="D93" s="54">
        <v>1.0</v>
      </c>
      <c r="E93" s="37" t="s">
        <v>1776</v>
      </c>
    </row>
    <row r="94">
      <c r="A94" s="37" t="s">
        <v>2366</v>
      </c>
      <c r="B94" s="54">
        <v>0.0</v>
      </c>
      <c r="C94" s="54">
        <v>1.0</v>
      </c>
      <c r="D94" s="54">
        <v>1.0</v>
      </c>
      <c r="E94" s="37" t="s">
        <v>1776</v>
      </c>
    </row>
    <row r="95">
      <c r="A95" s="37" t="s">
        <v>2365</v>
      </c>
      <c r="B95" s="54">
        <v>1.0</v>
      </c>
      <c r="C95" s="54">
        <v>0.0</v>
      </c>
      <c r="D95" s="54">
        <v>1.0</v>
      </c>
      <c r="E95" s="37" t="s">
        <v>1788</v>
      </c>
      <c r="F95" s="37" t="s">
        <v>2367</v>
      </c>
    </row>
    <row r="96">
      <c r="A96" s="37" t="s">
        <v>2366</v>
      </c>
      <c r="B96" s="54">
        <v>0.0</v>
      </c>
      <c r="C96" s="54">
        <v>1.0</v>
      </c>
      <c r="D96" s="54">
        <v>1.0</v>
      </c>
      <c r="E96" s="37" t="s">
        <v>1788</v>
      </c>
      <c r="F96" s="37" t="s">
        <v>2367</v>
      </c>
    </row>
    <row r="97">
      <c r="A97" s="37" t="s">
        <v>2368</v>
      </c>
      <c r="B97" s="54">
        <v>0.0</v>
      </c>
      <c r="C97" s="54">
        <v>1.0</v>
      </c>
      <c r="D97" s="54">
        <v>1.0</v>
      </c>
      <c r="E97" s="37" t="s">
        <v>1750</v>
      </c>
      <c r="F97" s="37" t="s">
        <v>2369</v>
      </c>
    </row>
    <row r="98">
      <c r="A98" s="37" t="s">
        <v>2370</v>
      </c>
      <c r="B98" s="54">
        <v>1.0</v>
      </c>
      <c r="C98" s="54">
        <v>0.0</v>
      </c>
      <c r="D98" s="54">
        <v>1.0</v>
      </c>
      <c r="E98" s="37" t="s">
        <v>1750</v>
      </c>
      <c r="F98" s="37" t="s">
        <v>2369</v>
      </c>
    </row>
    <row r="99">
      <c r="A99" s="37" t="s">
        <v>2371</v>
      </c>
      <c r="B99" s="54">
        <v>1.0</v>
      </c>
      <c r="C99" s="54">
        <v>0.0</v>
      </c>
      <c r="D99" s="54">
        <v>1.0</v>
      </c>
      <c r="E99" s="37" t="s">
        <v>1750</v>
      </c>
      <c r="F99" s="37" t="s">
        <v>2369</v>
      </c>
    </row>
    <row r="100">
      <c r="A100" s="37" t="s">
        <v>2372</v>
      </c>
      <c r="B100" s="54">
        <v>1.0</v>
      </c>
      <c r="C100" s="54">
        <v>0.0</v>
      </c>
      <c r="D100" s="54">
        <v>1.0</v>
      </c>
      <c r="E100" s="37" t="s">
        <v>1750</v>
      </c>
      <c r="F100" s="37" t="s">
        <v>2369</v>
      </c>
    </row>
    <row r="101">
      <c r="A101" s="37" t="s">
        <v>2373</v>
      </c>
      <c r="B101" s="54">
        <v>1.0</v>
      </c>
      <c r="C101" s="54">
        <v>0.0</v>
      </c>
      <c r="D101" s="54">
        <v>1.0</v>
      </c>
      <c r="E101" s="37" t="s">
        <v>1750</v>
      </c>
      <c r="F101" s="37" t="s">
        <v>2369</v>
      </c>
    </row>
    <row r="102">
      <c r="A102" s="37" t="s">
        <v>2374</v>
      </c>
      <c r="B102" s="54">
        <v>1.0</v>
      </c>
      <c r="C102" s="54">
        <v>0.0</v>
      </c>
      <c r="D102" s="54">
        <v>1.0</v>
      </c>
      <c r="E102" s="37" t="s">
        <v>1750</v>
      </c>
      <c r="F102" s="37" t="s">
        <v>2369</v>
      </c>
    </row>
    <row r="103">
      <c r="A103" s="37" t="s">
        <v>2375</v>
      </c>
      <c r="B103" s="54">
        <v>1.0</v>
      </c>
      <c r="C103" s="54">
        <v>0.0</v>
      </c>
      <c r="D103" s="54">
        <v>1.0</v>
      </c>
      <c r="E103" s="37" t="s">
        <v>1750</v>
      </c>
      <c r="F103" s="37" t="s">
        <v>2369</v>
      </c>
    </row>
    <row r="104">
      <c r="A104" s="37" t="s">
        <v>2378</v>
      </c>
      <c r="B104" s="54">
        <v>1.0</v>
      </c>
      <c r="C104" s="54">
        <v>0.0</v>
      </c>
      <c r="D104" s="54">
        <v>1.0</v>
      </c>
      <c r="E104" s="37" t="s">
        <v>1750</v>
      </c>
      <c r="F104" s="37" t="s">
        <v>2369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3.13"/>
    <col customWidth="1" min="4" max="4" width="16.75"/>
    <col customWidth="1" min="5" max="5" width="14.38"/>
    <col customWidth="1" min="9" max="9" width="19.63"/>
    <col customWidth="1" min="10" max="11" width="23.0"/>
    <col customWidth="1" min="12" max="12" width="23.25"/>
    <col customWidth="1" min="13" max="14" width="23.0"/>
    <col customWidth="1" min="15" max="15" width="16.88"/>
    <col customWidth="1" min="16" max="16" width="19.75"/>
  </cols>
  <sheetData>
    <row r="1">
      <c r="A1" s="81" t="s">
        <v>1</v>
      </c>
      <c r="B1" s="81" t="s">
        <v>3</v>
      </c>
      <c r="C1" s="82" t="s">
        <v>2379</v>
      </c>
      <c r="D1" s="84" t="s">
        <v>2380</v>
      </c>
      <c r="E1" s="84" t="s">
        <v>1799</v>
      </c>
      <c r="F1" s="85" t="s">
        <v>2381</v>
      </c>
      <c r="G1" s="87" t="s">
        <v>1747</v>
      </c>
      <c r="H1" s="87" t="s">
        <v>17</v>
      </c>
      <c r="I1" s="88" t="s">
        <v>1795</v>
      </c>
      <c r="J1" s="88" t="s">
        <v>1796</v>
      </c>
      <c r="K1" s="89" t="s">
        <v>2382</v>
      </c>
      <c r="L1" s="89" t="s">
        <v>2383</v>
      </c>
      <c r="M1" s="89" t="s">
        <v>2384</v>
      </c>
      <c r="N1" s="89" t="s">
        <v>2385</v>
      </c>
      <c r="O1" s="91" t="s">
        <v>1804</v>
      </c>
      <c r="P1" s="92" t="s">
        <v>2387</v>
      </c>
    </row>
    <row r="2" ht="15.75" customHeight="1">
      <c r="A2" s="93" t="s">
        <v>1825</v>
      </c>
      <c r="B2" s="94" t="s">
        <v>1826</v>
      </c>
      <c r="C2" s="95" t="s">
        <v>2389</v>
      </c>
      <c r="D2" s="96" t="s">
        <v>2390</v>
      </c>
      <c r="E2" s="97" t="s">
        <v>1748</v>
      </c>
      <c r="F2" s="94">
        <v>7.3</v>
      </c>
      <c r="G2" s="94" t="s">
        <v>51</v>
      </c>
      <c r="H2" s="94" t="s">
        <v>49</v>
      </c>
      <c r="I2" s="98" t="s">
        <v>2391</v>
      </c>
      <c r="J2" s="98" t="s">
        <v>2395</v>
      </c>
      <c r="K2" s="72" t="str">
        <f t="array" ref="K2">XLOOKUP(A:A,'MLP Data'!A:A, 'MLP Data'!B:B, "Not Found")</f>
        <v>Not Found</v>
      </c>
      <c r="L2" s="72" t="str">
        <f t="array" ref="L2">XLOOKUP(A:A,'MLP Data'!A:A, 'MLP Data'!C:C, "Not Found")</f>
        <v>Not Found</v>
      </c>
      <c r="M2" s="72" t="str">
        <f t="array" ref="M2">XLOOKUP(A:A,'DLP Data'!A:A, 'DLP Data'!B:B, "Not Found")</f>
        <v>Not Found</v>
      </c>
      <c r="N2" s="72" t="str">
        <f t="array" ref="N2">XLOOKUP(A:A,'DLP Data'!A:A, 'DLP Data'!C:C, "Not Found")</f>
        <v>Not Found</v>
      </c>
      <c r="O2" s="94" t="str">
        <f t="array" ref="O2">IF(COUNTIFS(Summary!A:A,A2,Summary!L:L,"YES")&gt;0,"YES",
IFERROR(INDEX(Summary!L:L,MATCH(A2,Summary!A:A,0)),""))</f>
        <v/>
      </c>
      <c r="P2" s="94" t="s">
        <v>1833</v>
      </c>
    </row>
    <row r="3" ht="15.75" customHeight="1">
      <c r="A3" s="94" t="s">
        <v>1042</v>
      </c>
      <c r="B3" s="94" t="s">
        <v>1044</v>
      </c>
      <c r="C3" s="95" t="s">
        <v>2402</v>
      </c>
      <c r="D3" s="96" t="s">
        <v>2403</v>
      </c>
      <c r="E3" s="97" t="s">
        <v>2404</v>
      </c>
      <c r="F3" s="94">
        <v>7.71</v>
      </c>
      <c r="G3" s="94" t="s">
        <v>603</v>
      </c>
      <c r="H3" s="94" t="s">
        <v>2044</v>
      </c>
      <c r="I3" s="101" t="s">
        <v>2405</v>
      </c>
      <c r="J3" s="98" t="s">
        <v>1849</v>
      </c>
      <c r="K3" s="72" t="str">
        <f t="array" ref="K3">XLOOKUP(A:A,'MLP Data'!A:A, 'MLP Data'!B:B, "Not Found")</f>
        <v>Not Found</v>
      </c>
      <c r="L3" s="72" t="str">
        <f t="array" ref="L3">XLOOKUP(A:A,'MLP Data'!A:A, 'MLP Data'!C:C, "Not Found")</f>
        <v>Not Found</v>
      </c>
      <c r="M3" s="72" t="str">
        <f t="array" ref="M3">XLOOKUP(A:A,'DLP Data'!A:A, 'DLP Data'!B:B, "Not Found")</f>
        <v>Not Found</v>
      </c>
      <c r="N3" s="72" t="str">
        <f t="array" ref="N3">XLOOKUP(A:A,'DLP Data'!A:A, 'DLP Data'!C:C, "Not Found")</f>
        <v>Not Found</v>
      </c>
      <c r="O3" s="94" t="str">
        <f t="array" ref="O3">IF(COUNTIFS(Summary!A:A,A3,Summary!L:L,"YES")&gt;0,"YES",
IFERROR(INDEX(Summary!L:L,MATCH(A3,Summary!A:A,0)),""))</f>
        <v/>
      </c>
      <c r="P3" s="94" t="s">
        <v>1842</v>
      </c>
    </row>
    <row r="4" ht="15.75" customHeight="1">
      <c r="A4" s="94" t="s">
        <v>811</v>
      </c>
      <c r="B4" s="94" t="s">
        <v>812</v>
      </c>
      <c r="C4" s="95" t="s">
        <v>2402</v>
      </c>
      <c r="D4" s="96" t="s">
        <v>2412</v>
      </c>
      <c r="E4" s="97" t="s">
        <v>2404</v>
      </c>
      <c r="F4" s="94">
        <v>7.05</v>
      </c>
      <c r="G4" s="94" t="s">
        <v>603</v>
      </c>
      <c r="H4" s="94" t="s">
        <v>2044</v>
      </c>
      <c r="I4" s="98" t="s">
        <v>1855</v>
      </c>
      <c r="J4" s="98" t="s">
        <v>1859</v>
      </c>
      <c r="K4" s="72" t="str">
        <f t="array" ref="K4">XLOOKUP(A:A,'MLP Data'!A:A, 'MLP Data'!B:B, "Not Found")</f>
        <v>Not Found</v>
      </c>
      <c r="L4" s="72" t="str">
        <f t="array" ref="L4">XLOOKUP(A:A,'MLP Data'!A:A, 'MLP Data'!C:C, "Not Found")</f>
        <v>Not Found</v>
      </c>
      <c r="M4" s="72" t="str">
        <f t="array" ref="M4">XLOOKUP(A:A,'DLP Data'!A:A, 'DLP Data'!B:B, "Not Found")</f>
        <v>Not Found</v>
      </c>
      <c r="N4" s="72" t="str">
        <f t="array" ref="N4">XLOOKUP(A:A,'DLP Data'!A:A, 'DLP Data'!C:C, "Not Found")</f>
        <v>Not Found</v>
      </c>
      <c r="O4" s="94" t="str">
        <f t="array" ref="O4">IF(COUNTIFS(Summary!A:A,A4,Summary!L:L,"YES")&gt;0,"YES",
IFERROR(INDEX(Summary!L:L,MATCH(A4,Summary!A:A,0)),""))</f>
        <v/>
      </c>
      <c r="P4" s="94" t="s">
        <v>1833</v>
      </c>
    </row>
    <row r="5" ht="15.75" customHeight="1">
      <c r="A5" s="94" t="s">
        <v>918</v>
      </c>
      <c r="B5" s="94" t="s">
        <v>919</v>
      </c>
      <c r="C5" s="95" t="s">
        <v>2402</v>
      </c>
      <c r="D5" s="96" t="s">
        <v>2420</v>
      </c>
      <c r="E5" s="104" t="s">
        <v>1782</v>
      </c>
      <c r="F5" s="94">
        <v>7.84</v>
      </c>
      <c r="G5" s="94" t="s">
        <v>51</v>
      </c>
      <c r="H5" s="94" t="s">
        <v>2044</v>
      </c>
      <c r="I5" s="98" t="s">
        <v>1691</v>
      </c>
      <c r="J5" s="98" t="s">
        <v>1694</v>
      </c>
      <c r="K5" s="72">
        <f t="array" ref="K5">XLOOKUP(A:A,'MLP Data'!A:A, 'MLP Data'!B:B, "Not Found")</f>
        <v>41</v>
      </c>
      <c r="L5" s="72" t="str">
        <f t="array" ref="L5">XLOOKUP(A:A,'MLP Data'!A:A, 'MLP Data'!C:C, "Not Found")</f>
        <v>Good at python.
 To improve further focus on understanding algorithm and hyperparameter tuning </v>
      </c>
      <c r="M5" s="72" t="str">
        <f t="array" ref="M5">XLOOKUP(A:A,'DLP Data'!A:A, 'DLP Data'!B:B, "Not Found")</f>
        <v>Not Found</v>
      </c>
      <c r="N5" s="72" t="str">
        <f t="array" ref="N5">XLOOKUP(A:A,'DLP Data'!A:A, 'DLP Data'!C:C, "Not Found")</f>
        <v>Not Found</v>
      </c>
      <c r="O5" s="94" t="str">
        <f t="array" ref="O5">IF(COUNTIFS(Summary!A:A,A5,Summary!L:L,"YES")&gt;0,"YES",
IFERROR(INDEX(Summary!L:L,MATCH(A5,Summary!A:A,0)),""))</f>
        <v/>
      </c>
      <c r="P5" s="94" t="s">
        <v>1833</v>
      </c>
    </row>
    <row r="6" ht="15.75" customHeight="1">
      <c r="A6" s="94" t="s">
        <v>1107</v>
      </c>
      <c r="B6" s="94" t="s">
        <v>1862</v>
      </c>
      <c r="C6" s="95" t="s">
        <v>2402</v>
      </c>
      <c r="D6" s="96" t="s">
        <v>2432</v>
      </c>
      <c r="E6" s="104" t="s">
        <v>1782</v>
      </c>
      <c r="F6" s="94">
        <v>6.48</v>
      </c>
      <c r="G6" s="94" t="s">
        <v>51</v>
      </c>
      <c r="H6" s="94" t="s">
        <v>2044</v>
      </c>
      <c r="I6" s="98" t="s">
        <v>1925</v>
      </c>
      <c r="J6" s="98" t="s">
        <v>1930</v>
      </c>
      <c r="K6" s="72" t="str">
        <f t="array" ref="K6">XLOOKUP(A:A,'MLP Data'!A:A, 'MLP Data'!B:B, "Not Found")</f>
        <v>Not Found</v>
      </c>
      <c r="L6" s="72" t="str">
        <f t="array" ref="L6">XLOOKUP(A:A,'MLP Data'!A:A, 'MLP Data'!C:C, "Not Found")</f>
        <v>Not Found</v>
      </c>
      <c r="M6" s="72" t="str">
        <f t="array" ref="M6">XLOOKUP(A:A,'DLP Data'!A:A, 'DLP Data'!B:B, "Not Found")</f>
        <v>Not Found</v>
      </c>
      <c r="N6" s="72" t="str">
        <f t="array" ref="N6">XLOOKUP(A:A,'DLP Data'!A:A, 'DLP Data'!C:C, "Not Found")</f>
        <v>Not Found</v>
      </c>
      <c r="O6" s="94" t="str">
        <f t="array" ref="O6">IF(COUNTIFS(Summary!A:A,A6,Summary!L:L,"YES")&gt;0,"YES",
IFERROR(INDEX(Summary!L:L,MATCH(A6,Summary!A:A,0)),""))</f>
        <v/>
      </c>
      <c r="P6" s="94" t="s">
        <v>1842</v>
      </c>
    </row>
    <row r="7" ht="15.75" customHeight="1">
      <c r="A7" s="94" t="s">
        <v>1083</v>
      </c>
      <c r="B7" s="94" t="s">
        <v>1085</v>
      </c>
      <c r="C7" s="95" t="s">
        <v>2402</v>
      </c>
      <c r="D7" s="96" t="s">
        <v>2420</v>
      </c>
      <c r="E7" s="104" t="s">
        <v>2442</v>
      </c>
      <c r="F7" s="94">
        <v>7.31</v>
      </c>
      <c r="G7" s="94" t="s">
        <v>2444</v>
      </c>
      <c r="H7" s="94" t="s">
        <v>2044</v>
      </c>
      <c r="I7" s="98" t="s">
        <v>1877</v>
      </c>
      <c r="J7" s="98" t="s">
        <v>1881</v>
      </c>
      <c r="K7" s="72" t="str">
        <f t="array" ref="K7">XLOOKUP(A:A,'MLP Data'!A:A, 'MLP Data'!B:B, "Not Found")</f>
        <v>Not Found</v>
      </c>
      <c r="L7" s="72" t="str">
        <f t="array" ref="L7">XLOOKUP(A:A,'MLP Data'!A:A, 'MLP Data'!C:C, "Not Found")</f>
        <v>Not Found</v>
      </c>
      <c r="M7" s="72" t="str">
        <f t="array" ref="M7">XLOOKUP(A:A,'DLP Data'!A:A, 'DLP Data'!B:B, "Not Found")</f>
        <v>Not Found</v>
      </c>
      <c r="N7" s="72" t="str">
        <f t="array" ref="N7">XLOOKUP(A:A,'DLP Data'!A:A, 'DLP Data'!C:C, "Not Found")</f>
        <v>Not Found</v>
      </c>
      <c r="O7" s="94" t="str">
        <f t="array" ref="O7">IF(COUNTIFS(Summary!A:A,A7,Summary!L:L,"YES")&gt;0,"YES",
IFERROR(INDEX(Summary!L:L,MATCH(A7,Summary!A:A,0)),""))</f>
        <v/>
      </c>
      <c r="P7" s="94" t="s">
        <v>1842</v>
      </c>
    </row>
    <row r="8" ht="15.75" customHeight="1">
      <c r="A8" s="94" t="s">
        <v>1076</v>
      </c>
      <c r="B8" s="94" t="s">
        <v>1078</v>
      </c>
      <c r="C8" s="95" t="s">
        <v>2402</v>
      </c>
      <c r="D8" s="96" t="s">
        <v>2432</v>
      </c>
      <c r="E8" s="104" t="s">
        <v>2442</v>
      </c>
      <c r="F8" s="94">
        <v>8.63</v>
      </c>
      <c r="G8" s="94" t="s">
        <v>2444</v>
      </c>
      <c r="H8" s="94" t="s">
        <v>2044</v>
      </c>
      <c r="I8" s="98" t="s">
        <v>2008</v>
      </c>
      <c r="J8" s="98" t="s">
        <v>2014</v>
      </c>
      <c r="K8" s="72" t="str">
        <f t="array" ref="K8">XLOOKUP(A:A,'MLP Data'!A:A, 'MLP Data'!B:B, "Not Found")</f>
        <v>Not Found</v>
      </c>
      <c r="L8" s="72" t="str">
        <f t="array" ref="L8">XLOOKUP(A:A,'MLP Data'!A:A, 'MLP Data'!C:C, "Not Found")</f>
        <v>Not Found</v>
      </c>
      <c r="M8" s="72" t="str">
        <f t="array" ref="M8">XLOOKUP(A:A,'DLP Data'!A:A, 'DLP Data'!B:B, "Not Found")</f>
        <v>Not Found</v>
      </c>
      <c r="N8" s="72" t="str">
        <f t="array" ref="N8">XLOOKUP(A:A,'DLP Data'!A:A, 'DLP Data'!C:C, "Not Found")</f>
        <v>Not Found</v>
      </c>
      <c r="O8" s="94" t="str">
        <f t="array" ref="O8">IF(COUNTIFS(Summary!A:A,A8,Summary!L:L,"YES")&gt;0,"YES",
IFERROR(INDEX(Summary!L:L,MATCH(A8,Summary!A:A,0)),""))</f>
        <v/>
      </c>
      <c r="P8" s="94" t="s">
        <v>1842</v>
      </c>
    </row>
    <row r="9" ht="15.75" customHeight="1">
      <c r="A9" s="94" t="s">
        <v>813</v>
      </c>
      <c r="B9" s="94" t="s">
        <v>814</v>
      </c>
      <c r="C9" s="95" t="s">
        <v>2402</v>
      </c>
      <c r="D9" s="96" t="s">
        <v>2420</v>
      </c>
      <c r="E9" s="104" t="s">
        <v>2454</v>
      </c>
      <c r="F9" s="94">
        <v>8.37</v>
      </c>
      <c r="G9" s="94" t="s">
        <v>51</v>
      </c>
      <c r="H9" s="94" t="s">
        <v>2044</v>
      </c>
      <c r="I9" s="98" t="s">
        <v>1914</v>
      </c>
      <c r="J9" s="98" t="s">
        <v>1914</v>
      </c>
      <c r="K9" s="72" t="str">
        <f t="array" ref="K9">XLOOKUP(A:A,'MLP Data'!A:A, 'MLP Data'!B:B, "Not Found")</f>
        <v>Not Found</v>
      </c>
      <c r="L9" s="72" t="str">
        <f t="array" ref="L9">XLOOKUP(A:A,'MLP Data'!A:A, 'MLP Data'!C:C, "Not Found")</f>
        <v>Not Found</v>
      </c>
      <c r="M9" s="72" t="str">
        <f t="array" ref="M9">XLOOKUP(A:A,'DLP Data'!A:A, 'DLP Data'!B:B, "Not Found")</f>
        <v>Not Found</v>
      </c>
      <c r="N9" s="72" t="str">
        <f t="array" ref="N9">XLOOKUP(A:A,'DLP Data'!A:A, 'DLP Data'!C:C, "Not Found")</f>
        <v>Not Found</v>
      </c>
      <c r="O9" s="94" t="str">
        <f t="array" ref="O9">IF(COUNTIFS(Summary!A:A,A9,Summary!L:L,"YES")&gt;0,"YES",
IFERROR(INDEX(Summary!L:L,MATCH(A9,Summary!A:A,0)),""))</f>
        <v/>
      </c>
      <c r="P9" s="94" t="s">
        <v>1842</v>
      </c>
    </row>
    <row r="10" ht="15.75" customHeight="1">
      <c r="A10" s="94" t="s">
        <v>1134</v>
      </c>
      <c r="B10" s="94" t="s">
        <v>1137</v>
      </c>
      <c r="C10" s="95" t="s">
        <v>2402</v>
      </c>
      <c r="D10" s="117" t="s">
        <v>2464</v>
      </c>
      <c r="E10" s="104" t="s">
        <v>1758</v>
      </c>
      <c r="F10" s="94">
        <v>7.7</v>
      </c>
      <c r="G10" s="94" t="s">
        <v>2444</v>
      </c>
      <c r="H10" s="94" t="s">
        <v>2044</v>
      </c>
      <c r="I10" s="98" t="s">
        <v>1791</v>
      </c>
      <c r="J10" s="98" t="s">
        <v>1797</v>
      </c>
      <c r="K10" s="72" t="str">
        <f t="array" ref="K10">XLOOKUP(A:A,'MLP Data'!A:A, 'MLP Data'!B:B, "Not Found")</f>
        <v>Not Found</v>
      </c>
      <c r="L10" s="72" t="str">
        <f t="array" ref="L10">XLOOKUP(A:A,'MLP Data'!A:A, 'MLP Data'!C:C, "Not Found")</f>
        <v>Not Found</v>
      </c>
      <c r="M10" s="72" t="str">
        <f t="array" ref="M10">XLOOKUP(A:A,'DLP Data'!A:A, 'DLP Data'!B:B, "Not Found")</f>
        <v>Not Found</v>
      </c>
      <c r="N10" s="72" t="str">
        <f t="array" ref="N10">XLOOKUP(A:A,'DLP Data'!A:A, 'DLP Data'!C:C, "Not Found")</f>
        <v>Not Found</v>
      </c>
      <c r="O10" s="94" t="str">
        <f t="array" ref="O10">IF(COUNTIFS(Summary!A:A,A10,Summary!L:L,"YES")&gt;0,"YES",
IFERROR(INDEX(Summary!L:L,MATCH(A10,Summary!A:A,0)),""))</f>
        <v/>
      </c>
      <c r="P10" s="94" t="s">
        <v>1842</v>
      </c>
    </row>
    <row r="11" ht="15.75" customHeight="1">
      <c r="A11" s="94" t="s">
        <v>789</v>
      </c>
      <c r="B11" s="94" t="s">
        <v>1716</v>
      </c>
      <c r="C11" s="120" t="s">
        <v>2402</v>
      </c>
      <c r="D11" s="117" t="s">
        <v>2471</v>
      </c>
      <c r="E11" s="104" t="s">
        <v>1752</v>
      </c>
      <c r="F11" s="94">
        <v>7.73</v>
      </c>
      <c r="G11" s="94" t="s">
        <v>2444</v>
      </c>
      <c r="H11" s="94"/>
      <c r="I11" s="98" t="s">
        <v>1719</v>
      </c>
      <c r="J11" s="98" t="s">
        <v>1722</v>
      </c>
      <c r="K11" s="72">
        <f t="array" ref="K11">XLOOKUP(A:A,'MLP Data'!A:A, 'MLP Data'!B:B, "Not Found")</f>
        <v>39</v>
      </c>
      <c r="L11" s="72" t="str">
        <f t="array" ref="L11">XLOOKUP(A:A,'MLP Data'!A:A, 'MLP Data'!C:C, "Not Found")</f>
        <v>It is suggestable to perform hyperparametr tuning in at-least 2 models</v>
      </c>
      <c r="M11" s="72" t="str">
        <f t="array" ref="M11">XLOOKUP(A:A,'DLP Data'!A:A, 'DLP Data'!B:B, "Not Found")</f>
        <v>Not Found</v>
      </c>
      <c r="N11" s="72" t="str">
        <f t="array" ref="N11">XLOOKUP(A:A,'DLP Data'!A:A, 'DLP Data'!C:C, "Not Found")</f>
        <v>Not Found</v>
      </c>
      <c r="O11" s="94" t="str">
        <f t="array" ref="O11">IF(COUNTIFS(Summary!A:A,A11,Summary!L:L,"YES")&gt;0,"YES",
IFERROR(INDEX(Summary!L:L,MATCH(A11,Summary!A:A,0)),""))</f>
        <v/>
      </c>
      <c r="P11" s="94" t="s">
        <v>1842</v>
      </c>
    </row>
    <row r="12" ht="15.75" customHeight="1">
      <c r="A12" s="94" t="s">
        <v>1050</v>
      </c>
      <c r="B12" s="94" t="s">
        <v>1051</v>
      </c>
      <c r="C12" s="120" t="s">
        <v>2402</v>
      </c>
      <c r="D12" s="117" t="s">
        <v>2471</v>
      </c>
      <c r="E12" s="104" t="s">
        <v>1752</v>
      </c>
      <c r="F12" s="94">
        <v>7.15</v>
      </c>
      <c r="G12" s="94" t="s">
        <v>2444</v>
      </c>
      <c r="H12" s="94" t="s">
        <v>2044</v>
      </c>
      <c r="I12" s="98" t="s">
        <v>1820</v>
      </c>
      <c r="J12" s="98" t="s">
        <v>1822</v>
      </c>
      <c r="K12" s="72" t="str">
        <f t="array" ref="K12">XLOOKUP(A:A,'MLP Data'!A:A, 'MLP Data'!B:B, "Not Found")</f>
        <v>Not Found</v>
      </c>
      <c r="L12" s="72" t="str">
        <f t="array" ref="L12">XLOOKUP(A:A,'MLP Data'!A:A, 'MLP Data'!C:C, "Not Found")</f>
        <v>Not Found</v>
      </c>
      <c r="M12" s="72" t="str">
        <f t="array" ref="M12">XLOOKUP(A:A,'DLP Data'!A:A, 'DLP Data'!B:B, "Not Found")</f>
        <v>Not Found</v>
      </c>
      <c r="N12" s="72" t="str">
        <f t="array" ref="N12">XLOOKUP(A:A,'DLP Data'!A:A, 'DLP Data'!C:C, "Not Found")</f>
        <v>Not Found</v>
      </c>
      <c r="O12" s="94" t="str">
        <f t="array" ref="O12">IF(COUNTIFS(Summary!A:A,A12,Summary!L:L,"YES")&gt;0,"YES",
IFERROR(INDEX(Summary!L:L,MATCH(A12,Summary!A:A,0)),""))</f>
        <v/>
      </c>
      <c r="P12" s="94" t="s">
        <v>1842</v>
      </c>
    </row>
    <row r="13" ht="15.75" customHeight="1">
      <c r="A13" s="94" t="s">
        <v>728</v>
      </c>
      <c r="B13" s="94" t="s">
        <v>730</v>
      </c>
      <c r="C13" s="120" t="s">
        <v>2483</v>
      </c>
      <c r="D13" s="96" t="s">
        <v>2432</v>
      </c>
      <c r="E13" s="104" t="s">
        <v>1772</v>
      </c>
      <c r="F13" s="93">
        <v>7.2</v>
      </c>
      <c r="G13" s="94" t="s">
        <v>51</v>
      </c>
      <c r="H13" s="94" t="s">
        <v>49</v>
      </c>
      <c r="I13" s="101" t="s">
        <v>2293</v>
      </c>
      <c r="J13" s="98" t="s">
        <v>2486</v>
      </c>
      <c r="K13" s="72" t="str">
        <f t="array" ref="K13">XLOOKUP(A:A,'MLP Data'!A:A, 'MLP Data'!B:B, "Not Found")</f>
        <v>Not Found</v>
      </c>
      <c r="L13" s="72" t="str">
        <f t="array" ref="L13">XLOOKUP(A:A,'MLP Data'!A:A, 'MLP Data'!C:C, "Not Found")</f>
        <v>Not Found</v>
      </c>
      <c r="M13" s="72">
        <f t="array" ref="M13">XLOOKUP(A:A,'DLP Data'!A:A, 'DLP Data'!B:B, "Not Found")</f>
        <v>70</v>
      </c>
      <c r="N13" s="72" t="str">
        <f t="array" ref="N13">XLOOKUP(A:A,'DLP Data'!A:A, 'DLP Data'!C:C, "Not Found")</f>
        <v>the student was reading a note on each code he had implemented but when asked he denied it? notebook was completely ai coded, it had cell outputs like expected answer. pretty strong suspicion he is reading answers of some ai tool for questions asked on dlp course across all modules, answer were precise down to the numbers, like how llms answer, kindly check once.</v>
      </c>
      <c r="O13" s="94" t="str">
        <f t="array" ref="O13">IF(COUNTIFS(Summary!A:A,A13,Summary!L:L,"YES")&gt;0,"YES",
IFERROR(INDEX(Summary!L:L,MATCH(A13,Summary!A:A,0)),""))</f>
        <v/>
      </c>
      <c r="P13" s="94" t="s">
        <v>1833</v>
      </c>
    </row>
    <row r="14" ht="15.75" customHeight="1">
      <c r="A14" s="94" t="s">
        <v>1140</v>
      </c>
      <c r="B14" s="93" t="s">
        <v>1141</v>
      </c>
      <c r="C14" s="120" t="s">
        <v>2483</v>
      </c>
      <c r="D14" s="117" t="s">
        <v>2420</v>
      </c>
      <c r="E14" s="104" t="s">
        <v>1772</v>
      </c>
      <c r="F14" s="93">
        <v>7.2</v>
      </c>
      <c r="G14" s="94" t="s">
        <v>51</v>
      </c>
      <c r="H14" s="94" t="s">
        <v>49</v>
      </c>
      <c r="I14" s="98" t="s">
        <v>1988</v>
      </c>
      <c r="J14" s="98" t="s">
        <v>1992</v>
      </c>
      <c r="K14" s="72" t="str">
        <f t="array" ref="K14">XLOOKUP(A:A,'MLP Data'!A:A, 'MLP Data'!B:B, "Not Found")</f>
        <v>Not Found</v>
      </c>
      <c r="L14" s="72" t="str">
        <f t="array" ref="L14">XLOOKUP(A:A,'MLP Data'!A:A, 'MLP Data'!C:C, "Not Found")</f>
        <v>Not Found</v>
      </c>
      <c r="M14" s="72" t="str">
        <f t="array" ref="M14">XLOOKUP(A:A,'DLP Data'!A:A, 'DLP Data'!B:B, "Not Found")</f>
        <v>Not Found</v>
      </c>
      <c r="N14" s="72" t="str">
        <f t="array" ref="N14">XLOOKUP(A:A,'DLP Data'!A:A, 'DLP Data'!C:C, "Not Found")</f>
        <v>Not Found</v>
      </c>
      <c r="O14" s="94" t="str">
        <f t="array" ref="O14">IF(COUNTIFS(Summary!A:A,A14,Summary!L:L,"YES")&gt;0,"YES",
IFERROR(INDEX(Summary!L:L,MATCH(A14,Summary!A:A,0)),""))</f>
        <v/>
      </c>
      <c r="P14" s="94" t="s">
        <v>1842</v>
      </c>
    </row>
    <row r="15" ht="15.75" customHeight="1">
      <c r="A15" s="94" t="s">
        <v>844</v>
      </c>
      <c r="B15" s="93" t="s">
        <v>1943</v>
      </c>
      <c r="C15" s="120" t="s">
        <v>2483</v>
      </c>
      <c r="D15" s="117" t="s">
        <v>2432</v>
      </c>
      <c r="E15" s="104" t="s">
        <v>1782</v>
      </c>
      <c r="F15" s="93">
        <v>8.37</v>
      </c>
      <c r="G15" s="94" t="s">
        <v>51</v>
      </c>
      <c r="H15" s="94" t="s">
        <v>49</v>
      </c>
      <c r="I15" s="98" t="s">
        <v>1970</v>
      </c>
      <c r="J15" s="98" t="s">
        <v>1977</v>
      </c>
      <c r="K15" s="72" t="str">
        <f t="array" ref="K15">XLOOKUP(A:A,'MLP Data'!A:A, 'MLP Data'!B:B, "Not Found")</f>
        <v>Not Found</v>
      </c>
      <c r="L15" s="72" t="str">
        <f t="array" ref="L15">XLOOKUP(A:A,'MLP Data'!A:A, 'MLP Data'!C:C, "Not Found")</f>
        <v>Not Found</v>
      </c>
      <c r="M15" s="72" t="str">
        <f t="array" ref="M15">XLOOKUP(A:A,'DLP Data'!A:A, 'DLP Data'!B:B, "Not Found")</f>
        <v>Not Found</v>
      </c>
      <c r="N15" s="72" t="str">
        <f t="array" ref="N15">XLOOKUP(A:A,'DLP Data'!A:A, 'DLP Data'!C:C, "Not Found")</f>
        <v>Not Found</v>
      </c>
      <c r="O15" s="94" t="str">
        <f t="array" ref="O15">IF(COUNTIFS(Summary!A:A,A15,Summary!L:L,"YES")&gt;0,"YES",
IFERROR(INDEX(Summary!L:L,MATCH(A15,Summary!A:A,0)),""))</f>
        <v/>
      </c>
      <c r="P15" s="94" t="s">
        <v>1842</v>
      </c>
    </row>
    <row r="16" ht="15.75" customHeight="1">
      <c r="A16" s="94" t="s">
        <v>1239</v>
      </c>
      <c r="B16" s="94" t="s">
        <v>1951</v>
      </c>
      <c r="C16" s="120" t="s">
        <v>2508</v>
      </c>
      <c r="D16" s="117" t="s">
        <v>2420</v>
      </c>
      <c r="E16" s="104" t="s">
        <v>2454</v>
      </c>
      <c r="F16" s="94">
        <v>7.39</v>
      </c>
      <c r="G16" s="94" t="s">
        <v>51</v>
      </c>
      <c r="H16" s="94"/>
      <c r="I16" s="98" t="s">
        <v>2110</v>
      </c>
      <c r="J16" s="98" t="s">
        <v>2118</v>
      </c>
      <c r="K16" s="72" t="str">
        <f t="array" ref="K16">XLOOKUP(A:A,'MLP Data'!A:A, 'MLP Data'!B:B, "Not Found")</f>
        <v>Not Found</v>
      </c>
      <c r="L16" s="72" t="str">
        <f t="array" ref="L16">XLOOKUP(A:A,'MLP Data'!A:A, 'MLP Data'!C:C, "Not Found")</f>
        <v>Not Found</v>
      </c>
      <c r="M16" s="72" t="str">
        <f t="array" ref="M16">XLOOKUP(A:A,'DLP Data'!A:A, 'DLP Data'!B:B, "Not Found")</f>
        <v>Not Found</v>
      </c>
      <c r="N16" s="72" t="str">
        <f t="array" ref="N16">XLOOKUP(A:A,'DLP Data'!A:A, 'DLP Data'!C:C, "Not Found")</f>
        <v>Not Found</v>
      </c>
      <c r="O16" s="94" t="str">
        <f t="array" ref="O16">IF(COUNTIFS(Summary!A:A,A16,Summary!L:L,"YES")&gt;0,"YES",
IFERROR(INDEX(Summary!L:L,MATCH(A16,Summary!A:A,0)),""))</f>
        <v/>
      </c>
      <c r="P16" s="94" t="s">
        <v>1842</v>
      </c>
    </row>
    <row r="17" ht="15.75" customHeight="1">
      <c r="A17" s="94" t="s">
        <v>785</v>
      </c>
      <c r="B17" s="94" t="s">
        <v>787</v>
      </c>
      <c r="C17" s="120" t="s">
        <v>2508</v>
      </c>
      <c r="D17" s="117" t="s">
        <v>2432</v>
      </c>
      <c r="E17" s="104" t="s">
        <v>2454</v>
      </c>
      <c r="F17" s="94">
        <v>7.64</v>
      </c>
      <c r="G17" s="94" t="s">
        <v>51</v>
      </c>
      <c r="H17" s="94"/>
      <c r="I17" s="98" t="s">
        <v>2218</v>
      </c>
      <c r="J17" s="98" t="s">
        <v>2225</v>
      </c>
      <c r="K17" s="72" t="str">
        <f t="array" ref="K17">XLOOKUP(A:A,'MLP Data'!A:A, 'MLP Data'!B:B, "Not Found")</f>
        <v>Not Found</v>
      </c>
      <c r="L17" s="72" t="str">
        <f t="array" ref="L17">XLOOKUP(A:A,'MLP Data'!A:A, 'MLP Data'!C:C, "Not Found")</f>
        <v>Not Found</v>
      </c>
      <c r="M17" s="72" t="str">
        <f t="array" ref="M17">XLOOKUP(A:A,'DLP Data'!A:A, 'DLP Data'!B:B, "Not Found")</f>
        <v>Not Found</v>
      </c>
      <c r="N17" s="72" t="str">
        <f t="array" ref="N17">XLOOKUP(A:A,'DLP Data'!A:A, 'DLP Data'!C:C, "Not Found")</f>
        <v>Not Found</v>
      </c>
      <c r="O17" s="94" t="str">
        <f t="array" ref="O17">IF(COUNTIFS(Summary!A:A,A17,Summary!L:L,"YES")&gt;0,"YES",
IFERROR(INDEX(Summary!L:L,MATCH(A17,Summary!A:A,0)),""))</f>
        <v/>
      </c>
      <c r="P17" s="94" t="s">
        <v>1842</v>
      </c>
    </row>
    <row r="18" ht="15.75" customHeight="1">
      <c r="A18" s="93" t="s">
        <v>701</v>
      </c>
      <c r="B18" s="93" t="s">
        <v>1971</v>
      </c>
      <c r="C18" s="120" t="s">
        <v>2508</v>
      </c>
      <c r="D18" s="117" t="s">
        <v>2420</v>
      </c>
      <c r="E18" s="104" t="s">
        <v>1752</v>
      </c>
      <c r="F18" s="93">
        <v>9.0</v>
      </c>
      <c r="G18" s="94" t="s">
        <v>2444</v>
      </c>
      <c r="H18" s="93" t="s">
        <v>2044</v>
      </c>
      <c r="I18" s="98" t="s">
        <v>2252</v>
      </c>
      <c r="J18" s="98" t="s">
        <v>2254</v>
      </c>
      <c r="K18" s="72" t="str">
        <f t="array" ref="K18">XLOOKUP(A:A,'MLP Data'!A:A, 'MLP Data'!B:B, "Not Found")</f>
        <v>Not Found</v>
      </c>
      <c r="L18" s="72" t="str">
        <f t="array" ref="L18">XLOOKUP(A:A,'MLP Data'!A:A, 'MLP Data'!C:C, "Not Found")</f>
        <v>Not Found</v>
      </c>
      <c r="M18" s="72" t="str">
        <f t="array" ref="M18">XLOOKUP(A:A,'DLP Data'!A:A, 'DLP Data'!B:B, "Not Found")</f>
        <v>Not Found</v>
      </c>
      <c r="N18" s="72" t="str">
        <f t="array" ref="N18">XLOOKUP(A:A,'DLP Data'!A:A, 'DLP Data'!C:C, "Not Found")</f>
        <v>Not Found</v>
      </c>
      <c r="O18" s="94" t="str">
        <f t="array" ref="O18">IF(COUNTIFS(Summary!A:A,A18,Summary!L:L,"YES")&gt;0,"YES",
IFERROR(INDEX(Summary!L:L,MATCH(A18,Summary!A:A,0)),""))</f>
        <v/>
      </c>
      <c r="P18" s="94" t="s">
        <v>1842</v>
      </c>
    </row>
    <row r="19" ht="15.75" customHeight="1">
      <c r="A19" s="94" t="s">
        <v>891</v>
      </c>
      <c r="B19" s="94" t="s">
        <v>892</v>
      </c>
      <c r="C19" s="120" t="s">
        <v>2508</v>
      </c>
      <c r="D19" s="96" t="s">
        <v>2390</v>
      </c>
      <c r="E19" s="104" t="s">
        <v>2404</v>
      </c>
      <c r="F19" s="94">
        <v>6.73</v>
      </c>
      <c r="G19" s="94" t="s">
        <v>2444</v>
      </c>
      <c r="H19" s="93" t="s">
        <v>2044</v>
      </c>
      <c r="I19" s="98" t="s">
        <v>2238</v>
      </c>
      <c r="J19" s="98" t="s">
        <v>2240</v>
      </c>
      <c r="K19" s="72">
        <f t="array" ref="K19">XLOOKUP(A:A,'MLP Data'!A:A, 'MLP Data'!B:B, "Not Found")</f>
        <v>40</v>
      </c>
      <c r="L19" s="72" t="str">
        <f t="array" ref="L19">XLOOKUP(A:A,'MLP Data'!A:A, 'MLP Data'!C:C, "Not Found")</f>
        <v>Fundamental knowledge of the candidate is weak</v>
      </c>
      <c r="M19" s="72" t="str">
        <f t="array" ref="M19">XLOOKUP(A:A,'DLP Data'!A:A, 'DLP Data'!B:B, "Not Found")</f>
        <v>Not Found</v>
      </c>
      <c r="N19" s="72" t="str">
        <f t="array" ref="N19">XLOOKUP(A:A,'DLP Data'!A:A, 'DLP Data'!C:C, "Not Found")</f>
        <v>Not Found</v>
      </c>
      <c r="O19" s="94" t="str">
        <f t="array" ref="O19">IF(COUNTIFS(Summary!A:A,A19,Summary!L:L,"YES")&gt;0,"YES",
IFERROR(INDEX(Summary!L:L,MATCH(A19,Summary!A:A,0)),""))</f>
        <v/>
      </c>
      <c r="P19" s="94" t="s">
        <v>1833</v>
      </c>
    </row>
    <row r="20" ht="15.75" customHeight="1">
      <c r="A20" s="93" t="s">
        <v>838</v>
      </c>
      <c r="B20" s="93" t="s">
        <v>837</v>
      </c>
      <c r="C20" s="120" t="s">
        <v>2537</v>
      </c>
      <c r="D20" s="117" t="s">
        <v>2432</v>
      </c>
      <c r="E20" s="104" t="s">
        <v>2454</v>
      </c>
      <c r="F20" s="93">
        <v>6.23</v>
      </c>
      <c r="G20" s="94" t="s">
        <v>51</v>
      </c>
      <c r="H20" s="93" t="s">
        <v>2044</v>
      </c>
      <c r="I20" s="98" t="s">
        <v>1896</v>
      </c>
      <c r="J20" s="98" t="s">
        <v>1904</v>
      </c>
      <c r="K20" s="72" t="str">
        <f t="array" ref="K20">XLOOKUP(A:A,'MLP Data'!A:A, 'MLP Data'!B:B, "Not Found")</f>
        <v>Not Found</v>
      </c>
      <c r="L20" s="72" t="str">
        <f t="array" ref="L20">XLOOKUP(A:A,'MLP Data'!A:A, 'MLP Data'!C:C, "Not Found")</f>
        <v>Not Found</v>
      </c>
      <c r="M20" s="72" t="str">
        <f t="array" ref="M20">XLOOKUP(A:A,'DLP Data'!A:A, 'DLP Data'!B:B, "Not Found")</f>
        <v>Not Found</v>
      </c>
      <c r="N20" s="72" t="str">
        <f t="array" ref="N20">XLOOKUP(A:A,'DLP Data'!A:A, 'DLP Data'!C:C, "Not Found")</f>
        <v>Not Found</v>
      </c>
      <c r="O20" s="94" t="str">
        <f t="array" ref="O20">IF(COUNTIFS(Summary!A:A,A20,Summary!L:L,"YES")&gt;0,"YES",
IFERROR(INDEX(Summary!L:L,MATCH(A20,Summary!A:A,0)),""))</f>
        <v/>
      </c>
      <c r="P20" s="94" t="s">
        <v>1833</v>
      </c>
    </row>
    <row r="21" ht="15.75" customHeight="1">
      <c r="A21" s="93" t="s">
        <v>731</v>
      </c>
      <c r="B21" s="94" t="s">
        <v>732</v>
      </c>
      <c r="C21" s="133" t="s">
        <v>2537</v>
      </c>
      <c r="D21" s="117" t="s">
        <v>2432</v>
      </c>
      <c r="E21" s="104" t="s">
        <v>1782</v>
      </c>
      <c r="F21" s="94">
        <v>8.92</v>
      </c>
      <c r="G21" s="94" t="s">
        <v>51</v>
      </c>
      <c r="H21" s="93" t="s">
        <v>2044</v>
      </c>
      <c r="I21" s="135" t="s">
        <v>2198</v>
      </c>
      <c r="J21" s="135" t="s">
        <v>2205</v>
      </c>
      <c r="K21" s="72" t="str">
        <f t="array" ref="K21">XLOOKUP(A:A,'MLP Data'!A:A, 'MLP Data'!B:B, "Not Found")</f>
        <v>Not Found</v>
      </c>
      <c r="L21" s="72" t="str">
        <f t="array" ref="L21">XLOOKUP(A:A,'MLP Data'!A:A, 'MLP Data'!C:C, "Not Found")</f>
        <v>Not Found</v>
      </c>
      <c r="M21" s="72" t="str">
        <f t="array" ref="M21">XLOOKUP(A:A,'DLP Data'!A:A, 'DLP Data'!B:B, "Not Found")</f>
        <v>Not Found</v>
      </c>
      <c r="N21" s="72" t="str">
        <f t="array" ref="N21">XLOOKUP(A:A,'DLP Data'!A:A, 'DLP Data'!C:C, "Not Found")</f>
        <v>Not Found</v>
      </c>
      <c r="O21" s="94" t="str">
        <f t="array" ref="O21">IF(COUNTIFS(Summary!A:A,A21,Summary!L:L,"YES")&gt;0,"YES",
IFERROR(INDEX(Summary!L:L,MATCH(A21,Summary!A:A,0)),""))</f>
        <v/>
      </c>
      <c r="P21" s="94" t="s">
        <v>1842</v>
      </c>
    </row>
    <row r="22" ht="15.75" customHeight="1">
      <c r="A22" s="136" t="s">
        <v>818</v>
      </c>
      <c r="B22" s="137" t="s">
        <v>820</v>
      </c>
      <c r="C22" s="133" t="s">
        <v>2537</v>
      </c>
      <c r="D22" s="117" t="s">
        <v>2432</v>
      </c>
      <c r="E22" s="138" t="s">
        <v>1752</v>
      </c>
      <c r="F22" s="94">
        <v>6.99</v>
      </c>
      <c r="G22" s="94" t="s">
        <v>2444</v>
      </c>
      <c r="H22" s="93" t="s">
        <v>2044</v>
      </c>
      <c r="I22" s="101" t="s">
        <v>2245</v>
      </c>
      <c r="J22" s="101" t="s">
        <v>2248</v>
      </c>
      <c r="K22" s="72" t="str">
        <f t="array" ref="K22">XLOOKUP(A:A,'MLP Data'!A:A, 'MLP Data'!B:B, "Not Found")</f>
        <v>Not Found</v>
      </c>
      <c r="L22" s="72" t="str">
        <f t="array" ref="L22">XLOOKUP(A:A,'MLP Data'!A:A, 'MLP Data'!C:C, "Not Found")</f>
        <v>Not Found</v>
      </c>
      <c r="M22" s="72" t="str">
        <f t="array" ref="M22">XLOOKUP(A:A,'DLP Data'!A:A, 'DLP Data'!B:B, "Not Found")</f>
        <v>Not Found</v>
      </c>
      <c r="N22" s="72" t="str">
        <f t="array" ref="N22">XLOOKUP(A:A,'DLP Data'!A:A, 'DLP Data'!C:C, "Not Found")</f>
        <v>Not Found</v>
      </c>
      <c r="O22" s="94" t="str">
        <f t="array" ref="O22">IF(COUNTIFS(Summary!A:A,A22,Summary!L:L,"YES")&gt;0,"YES",
IFERROR(INDEX(Summary!L:L,MATCH(A22,Summary!A:A,0)),""))</f>
        <v/>
      </c>
      <c r="P22" s="94" t="s">
        <v>1842</v>
      </c>
    </row>
    <row r="23" ht="15.75" customHeight="1">
      <c r="A23" s="93" t="s">
        <v>745</v>
      </c>
      <c r="B23" s="93" t="s">
        <v>747</v>
      </c>
      <c r="C23" s="120" t="s">
        <v>2537</v>
      </c>
      <c r="D23" s="117" t="s">
        <v>2432</v>
      </c>
      <c r="E23" s="104" t="s">
        <v>1754</v>
      </c>
      <c r="F23" s="94">
        <v>9.01</v>
      </c>
      <c r="G23" s="94" t="s">
        <v>2444</v>
      </c>
      <c r="H23" s="93" t="s">
        <v>2044</v>
      </c>
      <c r="I23" s="98" t="s">
        <v>2160</v>
      </c>
      <c r="J23" s="98" t="s">
        <v>2163</v>
      </c>
      <c r="K23" s="72">
        <f t="array" ref="K23">XLOOKUP(A:A,'MLP Data'!A:A, 'MLP Data'!B:B, "Not Found")</f>
        <v>44</v>
      </c>
      <c r="L23" s="72" t="str">
        <f t="array" ref="L23">XLOOKUP(A:A,'MLP Data'!A:A, 'MLP Data'!C:C, "Not Found")</f>
        <v>
* Good overall structure and confidence, clear explanation of EDA, class imbalance, and preprocessing choices.
* Strong practical understanding of TF-IDF, encoding, and basic ML workflow; coding ability is decent.
*Gaps in deeper concepts like logistic regression intuition, scaling details, and XGBoost vs LGBM architecture.
* struggled in coding task.</v>
      </c>
      <c r="M23" s="72" t="str">
        <f t="array" ref="M23">XLOOKUP(A:A,'DLP Data'!A:A, 'DLP Data'!B:B, "Not Found")</f>
        <v>Not Found</v>
      </c>
      <c r="N23" s="72" t="str">
        <f t="array" ref="N23">XLOOKUP(A:A,'DLP Data'!A:A, 'DLP Data'!C:C, "Not Found")</f>
        <v>Not Found</v>
      </c>
      <c r="O23" s="94" t="str">
        <f t="array" ref="O23">IF(COUNTIFS(Summary!A:A,A23,Summary!L:L,"YES")&gt;0,"YES",
IFERROR(INDEX(Summary!L:L,MATCH(A23,Summary!A:A,0)),""))</f>
        <v/>
      </c>
      <c r="P23" s="94" t="s">
        <v>1833</v>
      </c>
    </row>
    <row r="24" ht="15.75" customHeight="1">
      <c r="A24" s="93" t="s">
        <v>149</v>
      </c>
      <c r="B24" s="93" t="s">
        <v>146</v>
      </c>
      <c r="C24" s="133" t="s">
        <v>2537</v>
      </c>
      <c r="D24" s="117" t="s">
        <v>2432</v>
      </c>
      <c r="E24" s="104" t="s">
        <v>2454</v>
      </c>
      <c r="F24" s="94">
        <v>7.5</v>
      </c>
      <c r="G24" s="94" t="s">
        <v>51</v>
      </c>
      <c r="H24" s="93" t="s">
        <v>2044</v>
      </c>
      <c r="I24" s="98" t="s">
        <v>2277</v>
      </c>
      <c r="J24" s="98" t="s">
        <v>2279</v>
      </c>
      <c r="K24" s="72" t="str">
        <f t="array" ref="K24">XLOOKUP(A:A,'MLP Data'!A:A, 'MLP Data'!B:B, "Not Found")</f>
        <v>Not Found</v>
      </c>
      <c r="L24" s="72" t="str">
        <f t="array" ref="L24">XLOOKUP(A:A,'MLP Data'!A:A, 'MLP Data'!C:C, "Not Found")</f>
        <v>Not Found</v>
      </c>
      <c r="M24" s="72">
        <f t="array" ref="M24">XLOOKUP(A:A,'DLP Data'!A:A, 'DLP Data'!B:B, "Not Found")</f>
        <v>32</v>
      </c>
      <c r="N24" s="72" t="str">
        <f t="array" ref="N24">XLOOKUP(A:A,'DLP Data'!A:A, 'DLP Data'!C:C, "Not Found")</f>
        <v>The student presented overly complex notebooks for NPPE 1 and NPPE 2, which appeared to be LLM-generated. This made it difficult for the student to clearly explain the implementation and equally challenging for reviewers to follow and assess the work. The situation pointed to a lack of ownership and insufficient understanding of the code and underlying concepts.
Overall, there were significant gaps across NLP, speech, and vision domains, indicating weak conceptual grounding and inadequate preparation. The student needs to focus on building a clearer understanding of core principles and ensure they can confidently explain and justify their own implementation choices.</v>
      </c>
      <c r="O24" s="94" t="str">
        <f t="array" ref="O24">IF(COUNTIFS(Summary!A:A,A24,Summary!L:L,"YES")&gt;0,"YES",
IFERROR(INDEX(Summary!L:L,MATCH(A24,Summary!A:A,0)),""))</f>
        <v/>
      </c>
      <c r="P24" s="94" t="s">
        <v>1833</v>
      </c>
    </row>
    <row r="25" ht="15.75" customHeight="1">
      <c r="A25" s="94" t="s">
        <v>815</v>
      </c>
      <c r="B25" s="94" t="s">
        <v>2037</v>
      </c>
      <c r="C25" s="140" t="s">
        <v>2568</v>
      </c>
      <c r="D25" s="117" t="s">
        <v>2464</v>
      </c>
      <c r="E25" s="104" t="s">
        <v>1754</v>
      </c>
      <c r="F25" s="94">
        <v>8.43</v>
      </c>
      <c r="G25" s="94" t="s">
        <v>2444</v>
      </c>
      <c r="H25" s="94" t="s">
        <v>49</v>
      </c>
      <c r="I25" s="98" t="s">
        <v>2052</v>
      </c>
      <c r="J25" s="98" t="s">
        <v>2064</v>
      </c>
      <c r="K25" s="72" t="str">
        <f t="array" ref="K25">XLOOKUP(A:A,'MLP Data'!A:A, 'MLP Data'!B:B, "Not Found")</f>
        <v>Not Found</v>
      </c>
      <c r="L25" s="72" t="str">
        <f t="array" ref="L25">XLOOKUP(A:A,'MLP Data'!A:A, 'MLP Data'!C:C, "Not Found")</f>
        <v>Not Found</v>
      </c>
      <c r="M25" s="72">
        <f t="array" ref="M25">XLOOKUP(A:A,'DLP Data'!A:A, 'DLP Data'!B:B, "Not Found")</f>
        <v>80</v>
      </c>
      <c r="N25" s="72" t="str">
        <f t="array" ref="N25">XLOOKUP(A:A,'DLP Data'!A:A, 'DLP Data'!C:C, "Not Found")</f>
        <v>The student performs really well . have a good understanding of text and speech and need to focous more on the vision part . Explained the notebooks well and asnwered most of the questions as well. For the vision he want to explore further and brushup the text and speeh part.</v>
      </c>
      <c r="O25" s="94" t="str">
        <f t="array" ref="O25">IF(COUNTIFS(Summary!A:A,A25,Summary!L:L,"YES")&gt;0,"YES",
IFERROR(INDEX(Summary!L:L,MATCH(A25,Summary!A:A,0)),""))</f>
        <v/>
      </c>
      <c r="P25" s="94" t="s">
        <v>1842</v>
      </c>
    </row>
    <row r="26" ht="15.75" customHeight="1">
      <c r="A26" s="37" t="s">
        <v>721</v>
      </c>
      <c r="B26" s="37" t="s">
        <v>2315</v>
      </c>
      <c r="C26" s="142" t="s">
        <v>2572</v>
      </c>
      <c r="D26" s="117" t="s">
        <v>2420</v>
      </c>
      <c r="E26" s="104" t="s">
        <v>2442</v>
      </c>
      <c r="F26" s="105">
        <v>7.67</v>
      </c>
      <c r="G26" s="94" t="s">
        <v>603</v>
      </c>
      <c r="H26" s="93" t="s">
        <v>2044</v>
      </c>
      <c r="I26" s="143" t="s">
        <v>2317</v>
      </c>
      <c r="J26" s="143" t="s">
        <v>2318</v>
      </c>
      <c r="K26" s="72" t="str">
        <f t="array" ref="K26">XLOOKUP(A:A,'MLP Data'!A:A, 'MLP Data'!B:B, "Not Found")</f>
        <v>Not Found</v>
      </c>
      <c r="L26" s="72" t="str">
        <f t="array" ref="L26">XLOOKUP(A:A,'MLP Data'!A:A, 'MLP Data'!C:C, "Not Found")</f>
        <v>Not Found</v>
      </c>
      <c r="M26" s="72" t="str">
        <f t="array" ref="M26">XLOOKUP(A:A,'DLP Data'!A:A, 'DLP Data'!B:B, "Not Found")</f>
        <v>Not Found</v>
      </c>
      <c r="N26" s="72" t="str">
        <f t="array" ref="N26">XLOOKUP(A:A,'DLP Data'!A:A, 'DLP Data'!C:C, "Not Found")</f>
        <v>Not Found</v>
      </c>
      <c r="O26" s="94" t="str">
        <f t="array" ref="O26">IF(COUNTIFS(Summary!A:A,A26,Summary!L:L,"YES")&gt;0,"YES",
IFERROR(INDEX(Summary!L:L,MATCH(A26,Summary!A:A,0)),""))</f>
        <v/>
      </c>
      <c r="P26" s="94" t="s">
        <v>1842</v>
      </c>
    </row>
    <row r="27" ht="15.75" customHeight="1">
      <c r="A27" s="105" t="s">
        <v>1024</v>
      </c>
      <c r="B27" s="105" t="s">
        <v>1678</v>
      </c>
      <c r="C27" s="140">
        <v>46055.0</v>
      </c>
      <c r="D27" s="117" t="s">
        <v>2578</v>
      </c>
      <c r="E27" s="104" t="s">
        <v>2454</v>
      </c>
      <c r="F27" s="105">
        <v>6.92</v>
      </c>
      <c r="G27" s="94" t="s">
        <v>51</v>
      </c>
      <c r="H27" s="93" t="s">
        <v>2044</v>
      </c>
      <c r="I27" s="143" t="s">
        <v>1735</v>
      </c>
      <c r="J27" s="143" t="s">
        <v>1682</v>
      </c>
      <c r="K27" s="72" t="str">
        <f t="array" ref="K27">XLOOKUP(A:A,'MLP Data'!A:A, 'MLP Data'!B:B, "Not Found")</f>
        <v>Not Found</v>
      </c>
      <c r="L27" s="72" t="str">
        <f t="array" ref="L27">XLOOKUP(A:A,'MLP Data'!A:A, 'MLP Data'!C:C, "Not Found")</f>
        <v>Not Found</v>
      </c>
      <c r="M27" s="72" t="str">
        <f t="array" ref="M27">XLOOKUP(A:A,'DLP Data'!A:A, 'DLP Data'!B:B, "Not Found")</f>
        <v>Not Found</v>
      </c>
      <c r="N27" s="72" t="str">
        <f t="array" ref="N27">XLOOKUP(A:A,'DLP Data'!A:A, 'DLP Data'!C:C, "Not Found")</f>
        <v>Not Found</v>
      </c>
      <c r="O27" s="94" t="str">
        <f t="array" ref="O27">IF(COUNTIFS(Summary!A:A,A27,Summary!L:L,"YES")&gt;0,"YES",
IFERROR(INDEX(Summary!L:L,MATCH(A27,Summary!A:A,0)),""))</f>
        <v/>
      </c>
      <c r="P27" s="94" t="s">
        <v>1833</v>
      </c>
    </row>
    <row r="28" ht="15.75" customHeight="1">
      <c r="A28" s="106" t="s">
        <v>39</v>
      </c>
      <c r="B28" s="106" t="s">
        <v>37</v>
      </c>
      <c r="C28" s="140">
        <v>46055.0</v>
      </c>
      <c r="D28" s="117" t="s">
        <v>2585</v>
      </c>
      <c r="E28" s="104" t="s">
        <v>2454</v>
      </c>
      <c r="F28" s="105">
        <v>7.6</v>
      </c>
      <c r="G28" s="94" t="s">
        <v>51</v>
      </c>
      <c r="H28" s="93" t="s">
        <v>2044</v>
      </c>
      <c r="I28" s="143" t="s">
        <v>1864</v>
      </c>
      <c r="J28" s="143" t="s">
        <v>53</v>
      </c>
      <c r="K28" s="72" t="str">
        <f t="array" ref="K28">XLOOKUP(A:A,'MLP Data'!A:A, 'MLP Data'!B:B, "Not Found")</f>
        <v>Not Found</v>
      </c>
      <c r="L28" s="72" t="str">
        <f t="array" ref="L28">XLOOKUP(A:A,'MLP Data'!A:A, 'MLP Data'!C:C, "Not Found")</f>
        <v>Not Found</v>
      </c>
      <c r="M28" s="72" t="str">
        <f t="array" ref="M28">XLOOKUP(A:A,'DLP Data'!A:A, 'DLP Data'!B:B, "Not Found")</f>
        <v>Not Found</v>
      </c>
      <c r="N28" s="72" t="str">
        <f t="array" ref="N28">XLOOKUP(A:A,'DLP Data'!A:A, 'DLP Data'!C:C, "Not Found")</f>
        <v>Not Found</v>
      </c>
      <c r="O28" s="94" t="str">
        <f t="array" ref="O28">IF(COUNTIFS(Summary!A:A,A28,Summary!L:L,"YES")&gt;0,"YES",
IFERROR(INDEX(Summary!L:L,MATCH(A28,Summary!A:A,0)),""))</f>
        <v/>
      </c>
      <c r="P28" s="94" t="s">
        <v>1833</v>
      </c>
    </row>
    <row r="29" ht="15.75" customHeight="1">
      <c r="A29" s="105" t="s">
        <v>622</v>
      </c>
      <c r="B29" s="105" t="s">
        <v>621</v>
      </c>
      <c r="C29" s="140">
        <v>46055.0</v>
      </c>
      <c r="D29" s="117" t="s">
        <v>2591</v>
      </c>
      <c r="E29" s="104" t="s">
        <v>1754</v>
      </c>
      <c r="F29" s="105">
        <v>7.3</v>
      </c>
      <c r="G29" s="94" t="s">
        <v>2444</v>
      </c>
      <c r="H29" s="93" t="s">
        <v>2044</v>
      </c>
      <c r="I29" s="143" t="s">
        <v>2132</v>
      </c>
      <c r="J29" s="143" t="s">
        <v>2140</v>
      </c>
      <c r="K29" s="72" t="str">
        <f t="array" ref="K29">XLOOKUP(A:A,'MLP Data'!A:A, 'MLP Data'!B:B, "Not Found")</f>
        <v>Not Found</v>
      </c>
      <c r="L29" s="72" t="str">
        <f t="array" ref="L29">XLOOKUP(A:A,'MLP Data'!A:A, 'MLP Data'!C:C, "Not Found")</f>
        <v>Not Found</v>
      </c>
      <c r="M29" s="72" t="str">
        <f t="array" ref="M29">XLOOKUP(A:A,'DLP Data'!A:A, 'DLP Data'!B:B, "Not Found")</f>
        <v>Not Found</v>
      </c>
      <c r="N29" s="72" t="str">
        <f t="array" ref="N29">XLOOKUP(A:A,'DLP Data'!A:A, 'DLP Data'!C:C, "Not Found")</f>
        <v>Not Found</v>
      </c>
      <c r="O29" s="94" t="str">
        <f t="array" ref="O29">IF(COUNTIFS(Summary!A:A,A29,Summary!L:L,"YES")&gt;0,"YES",
IFERROR(INDEX(Summary!L:L,MATCH(A29,Summary!A:A,0)),""))</f>
        <v/>
      </c>
      <c r="P29" s="94" t="s">
        <v>1833</v>
      </c>
    </row>
    <row r="30" ht="15.75" customHeight="1">
      <c r="A30" s="105" t="s">
        <v>708</v>
      </c>
      <c r="B30" s="105" t="s">
        <v>709</v>
      </c>
      <c r="C30" s="140">
        <v>46055.0</v>
      </c>
      <c r="D30" s="117" t="s">
        <v>2390</v>
      </c>
      <c r="E30" s="104" t="s">
        <v>1754</v>
      </c>
      <c r="F30" s="105">
        <v>8.62</v>
      </c>
      <c r="G30" s="94" t="s">
        <v>2444</v>
      </c>
      <c r="H30" s="93" t="s">
        <v>2044</v>
      </c>
      <c r="I30" s="143" t="s">
        <v>1830</v>
      </c>
      <c r="J30" s="143" t="s">
        <v>1835</v>
      </c>
      <c r="K30" s="72" t="str">
        <f t="array" ref="K30">XLOOKUP(A:A,'MLP Data'!A:A, 'MLP Data'!B:B, "Not Found")</f>
        <v>Not Found</v>
      </c>
      <c r="L30" s="72" t="str">
        <f t="array" ref="L30">XLOOKUP(A:A,'MLP Data'!A:A, 'MLP Data'!C:C, "Not Found")</f>
        <v>Not Found</v>
      </c>
      <c r="M30" s="72" t="str">
        <f t="array" ref="M30">XLOOKUP(A:A,'DLP Data'!A:A, 'DLP Data'!B:B, "Not Found")</f>
        <v/>
      </c>
      <c r="N30" s="72" t="str">
        <f t="array" ref="N30">XLOOKUP(A:A,'DLP Data'!A:A, 'DLP Data'!C:C, "Not Found")</f>
        <v/>
      </c>
      <c r="O30" s="94" t="str">
        <f t="array" ref="O30">IF(COUNTIFS(Summary!A:A,A30,Summary!L:L,"YES")&gt;0,"YES",
IFERROR(INDEX(Summary!L:L,MATCH(A30,Summary!A:A,0)),""))</f>
        <v/>
      </c>
      <c r="P30" s="94" t="s">
        <v>1842</v>
      </c>
    </row>
    <row r="31" ht="15.75" customHeight="1">
      <c r="A31" s="105" t="s">
        <v>668</v>
      </c>
      <c r="B31" s="105" t="s">
        <v>669</v>
      </c>
      <c r="C31" s="140">
        <v>46083.0</v>
      </c>
      <c r="D31" s="117" t="s">
        <v>2420</v>
      </c>
      <c r="E31" s="138" t="s">
        <v>2604</v>
      </c>
      <c r="F31" s="94">
        <v>8.02</v>
      </c>
      <c r="G31" s="94" t="s">
        <v>51</v>
      </c>
      <c r="H31" s="94" t="s">
        <v>49</v>
      </c>
      <c r="I31" s="143" t="s">
        <v>1763</v>
      </c>
      <c r="J31" s="143" t="s">
        <v>1763</v>
      </c>
      <c r="K31" s="72" t="str">
        <f t="array" ref="K31">XLOOKUP(A:A,'MLP Data'!A:A, 'MLP Data'!B:B, "Not Found")</f>
        <v>Not Found</v>
      </c>
      <c r="L31" s="72" t="str">
        <f t="array" ref="L31">XLOOKUP(A:A,'MLP Data'!A:A, 'MLP Data'!C:C, "Not Found")</f>
        <v>Not Found</v>
      </c>
      <c r="M31" s="72">
        <f t="array" ref="M31">XLOOKUP(A:A,'DLP Data'!A:A, 'DLP Data'!B:B, "Not Found")</f>
        <v>89</v>
      </c>
      <c r="N31" s="72" t="str">
        <f t="array" ref="N31">XLOOKUP(A:A,'DLP Data'!A:A, 'DLP Data'!C:C, "Not Found")</f>
        <v>The student has a strong understanding of the text and speech components but needs to further explore the image component.</v>
      </c>
      <c r="O31" s="94" t="str">
        <f t="array" ref="O31">IF(COUNTIFS(Summary!A:A,A31,Summary!L:L,"YES")&gt;0,"YES",
IFERROR(INDEX(Summary!L:L,MATCH(A31,Summary!A:A,0)),""))</f>
        <v/>
      </c>
      <c r="P31" s="94" t="s">
        <v>1833</v>
      </c>
    </row>
    <row r="32" ht="15.75" customHeight="1">
      <c r="A32" s="105" t="s">
        <v>728</v>
      </c>
      <c r="B32" s="105" t="s">
        <v>730</v>
      </c>
      <c r="C32" s="140">
        <v>46083.0</v>
      </c>
      <c r="D32" s="117" t="s">
        <v>2432</v>
      </c>
      <c r="E32" s="138" t="s">
        <v>2604</v>
      </c>
      <c r="F32" s="94">
        <v>7.2</v>
      </c>
      <c r="G32" s="94" t="s">
        <v>51</v>
      </c>
      <c r="H32" s="94" t="s">
        <v>49</v>
      </c>
      <c r="I32" s="143" t="s">
        <v>2293</v>
      </c>
      <c r="J32" s="143" t="s">
        <v>2296</v>
      </c>
      <c r="K32" s="72" t="str">
        <f t="array" ref="K32">XLOOKUP(A:A,'MLP Data'!A:A, 'MLP Data'!B:B, "Not Found")</f>
        <v>Not Found</v>
      </c>
      <c r="L32" s="72" t="str">
        <f t="array" ref="L32">XLOOKUP(A:A,'MLP Data'!A:A, 'MLP Data'!C:C, "Not Found")</f>
        <v>Not Found</v>
      </c>
      <c r="M32" s="72">
        <f t="array" ref="M32">XLOOKUP(A:A,'DLP Data'!A:A, 'DLP Data'!B:B, "Not Found")</f>
        <v>70</v>
      </c>
      <c r="N32" s="72" t="str">
        <f t="array" ref="N32">XLOOKUP(A:A,'DLP Data'!A:A, 'DLP Data'!C:C, "Not Found")</f>
        <v>the student was reading a note on each code he had implemented but when asked he denied it? notebook was completely ai coded, it had cell outputs like expected answer. pretty strong suspicion he is reading answers of some ai tool for questions asked on dlp course across all modules, answer were precise down to the numbers, like how llms answer, kindly check once.</v>
      </c>
      <c r="O32" s="94" t="str">
        <f t="array" ref="O32">IF(COUNTIFS(Summary!A:A,A32,Summary!L:L,"YES")&gt;0,"YES",
IFERROR(INDEX(Summary!L:L,MATCH(A32,Summary!A:A,0)),""))</f>
        <v/>
      </c>
      <c r="P32" s="94" t="s">
        <v>1842</v>
      </c>
    </row>
    <row r="33" ht="15.75" customHeight="1">
      <c r="A33" s="93" t="s">
        <v>1022</v>
      </c>
      <c r="B33" s="93" t="s">
        <v>1023</v>
      </c>
      <c r="C33" s="140">
        <v>46144.0</v>
      </c>
      <c r="D33" s="117" t="s">
        <v>2432</v>
      </c>
      <c r="E33" s="104" t="s">
        <v>1748</v>
      </c>
      <c r="F33" s="94">
        <v>7.04</v>
      </c>
      <c r="G33" s="94" t="s">
        <v>51</v>
      </c>
      <c r="H33" s="94" t="s">
        <v>2044</v>
      </c>
      <c r="I33" s="135" t="s">
        <v>2613</v>
      </c>
      <c r="J33" s="135" t="s">
        <v>2616</v>
      </c>
      <c r="K33" s="72" t="str">
        <f t="array" ref="K33">XLOOKUP(A:A,'MLP Data'!A:A, 'MLP Data'!B:B, "Not Found")</f>
        <v>Not Found</v>
      </c>
      <c r="L33" s="72" t="str">
        <f t="array" ref="L33">XLOOKUP(A:A,'MLP Data'!A:A, 'MLP Data'!C:C, "Not Found")</f>
        <v>Not Found</v>
      </c>
      <c r="M33" s="72" t="str">
        <f t="array" ref="M33">XLOOKUP(A:A,'DLP Data'!A:A, 'DLP Data'!B:B, "Not Found")</f>
        <v>Not Found</v>
      </c>
      <c r="N33" s="72" t="str">
        <f t="array" ref="N33">XLOOKUP(A:A,'DLP Data'!A:A, 'DLP Data'!C:C, "Not Found")</f>
        <v>Not Found</v>
      </c>
      <c r="O33" s="94" t="str">
        <f t="array" ref="O33">IF(COUNTIFS(Summary!A:A,A33,Summary!L:L,"YES")&gt;0,"YES",
IFERROR(INDEX(Summary!L:L,MATCH(A33,Summary!A:A,0)),""))</f>
        <v/>
      </c>
      <c r="P33" s="94" t="s">
        <v>1842</v>
      </c>
    </row>
    <row r="34" ht="15.75" customHeight="1">
      <c r="A34" s="93" t="s">
        <v>716</v>
      </c>
      <c r="B34" s="93" t="s">
        <v>717</v>
      </c>
      <c r="C34" s="140">
        <v>46144.0</v>
      </c>
      <c r="D34" s="117" t="s">
        <v>2471</v>
      </c>
      <c r="E34" s="104" t="s">
        <v>1787</v>
      </c>
      <c r="F34" s="105">
        <v>7.3</v>
      </c>
      <c r="G34" s="105" t="s">
        <v>51</v>
      </c>
      <c r="H34" s="105" t="s">
        <v>2044</v>
      </c>
      <c r="I34" s="143" t="s">
        <v>1705</v>
      </c>
      <c r="J34" s="143" t="s">
        <v>1497</v>
      </c>
      <c r="K34" s="72" t="str">
        <f t="array" ref="K34">XLOOKUP(A:A,'MLP Data'!A:A, 'MLP Data'!B:B, "Not Found")</f>
        <v>Not Found</v>
      </c>
      <c r="L34" s="72" t="str">
        <f t="array" ref="L34">XLOOKUP(A:A,'MLP Data'!A:A, 'MLP Data'!C:C, "Not Found")</f>
        <v>Not Found</v>
      </c>
      <c r="M34" s="72" t="str">
        <f t="array" ref="M34">XLOOKUP(A:A,'DLP Data'!A:A, 'DLP Data'!B:B, "Not Found")</f>
        <v>Not Found</v>
      </c>
      <c r="N34" s="72" t="str">
        <f t="array" ref="N34">XLOOKUP(A:A,'DLP Data'!A:A, 'DLP Data'!C:C, "Not Found")</f>
        <v>Not Found</v>
      </c>
      <c r="O34" s="94" t="str">
        <f t="array" ref="O34">IF(COUNTIFS(Summary!A:A,A34,Summary!L:L,"YES")&gt;0,"YES",
IFERROR(INDEX(Summary!L:L,MATCH(A34,Summary!A:A,0)),""))</f>
        <v/>
      </c>
      <c r="P34" s="94" t="s">
        <v>1833</v>
      </c>
    </row>
    <row r="35" ht="15.75" customHeight="1">
      <c r="A35" s="93" t="s">
        <v>267</v>
      </c>
      <c r="B35" s="93" t="s">
        <v>265</v>
      </c>
      <c r="C35" s="140">
        <v>46144.0</v>
      </c>
      <c r="D35" s="117" t="s">
        <v>2464</v>
      </c>
      <c r="E35" s="104" t="s">
        <v>1787</v>
      </c>
      <c r="F35" s="105">
        <v>7.44</v>
      </c>
      <c r="G35" s="105" t="s">
        <v>51</v>
      </c>
      <c r="H35" s="105" t="s">
        <v>2044</v>
      </c>
      <c r="I35" s="143" t="s">
        <v>2322</v>
      </c>
      <c r="J35" s="143" t="s">
        <v>273</v>
      </c>
      <c r="K35" s="72" t="str">
        <f t="array" ref="K35">XLOOKUP(A:A,'MLP Data'!A:A, 'MLP Data'!B:B, "Not Found")</f>
        <v>Not Found</v>
      </c>
      <c r="L35" s="72" t="str">
        <f t="array" ref="L35">XLOOKUP(A:A,'MLP Data'!A:A, 'MLP Data'!C:C, "Not Found")</f>
        <v>Not Found</v>
      </c>
      <c r="M35" s="72" t="str">
        <f t="array" ref="M35">XLOOKUP(A:A,'DLP Data'!A:A, 'DLP Data'!B:B, "Not Found")</f>
        <v>Not Found</v>
      </c>
      <c r="N35" s="72" t="str">
        <f t="array" ref="N35">XLOOKUP(A:A,'DLP Data'!A:A, 'DLP Data'!C:C, "Not Found")</f>
        <v>Not Found</v>
      </c>
      <c r="O35" s="94" t="str">
        <f t="array" ref="O35">IF(COUNTIFS(Summary!A:A,A35,Summary!L:L,"YES")&gt;0,"YES",
IFERROR(INDEX(Summary!L:L,MATCH(A35,Summary!A:A,0)),""))</f>
        <v/>
      </c>
      <c r="P35" s="94" t="s">
        <v>1833</v>
      </c>
    </row>
    <row r="36" ht="15.75" customHeight="1">
      <c r="A36" s="93" t="s">
        <v>66</v>
      </c>
      <c r="B36" s="93" t="s">
        <v>2228</v>
      </c>
      <c r="C36" s="140">
        <v>46276.0</v>
      </c>
      <c r="D36" s="117" t="s">
        <v>2634</v>
      </c>
      <c r="E36" s="104" t="s">
        <v>1748</v>
      </c>
      <c r="F36" s="93">
        <v>7.14</v>
      </c>
      <c r="G36" s="93" t="s">
        <v>51</v>
      </c>
      <c r="H36" s="93" t="s">
        <v>2044</v>
      </c>
      <c r="I36" s="135" t="s">
        <v>1715</v>
      </c>
      <c r="J36" s="143" t="s">
        <v>85</v>
      </c>
      <c r="K36" s="72" t="str">
        <f t="array" ref="K36">XLOOKUP(A:A,'MLP Data'!A:A, 'MLP Data'!B:B, "Not Found")</f>
        <v>Not Found</v>
      </c>
      <c r="L36" s="72" t="str">
        <f t="array" ref="L36">XLOOKUP(A:A,'MLP Data'!A:A, 'MLP Data'!C:C, "Not Found")</f>
        <v>Not Found</v>
      </c>
      <c r="M36" s="72" t="str">
        <f t="array" ref="M36">XLOOKUP(A:A,'DLP Data'!A:A, 'DLP Data'!B:B, "Not Found")</f>
        <v/>
      </c>
      <c r="N36" s="72" t="str">
        <f t="array" ref="N36">XLOOKUP(A:A,'DLP Data'!A:A, 'DLP Data'!C:C, "Not Found")</f>
        <v/>
      </c>
      <c r="O36" s="94" t="str">
        <f t="array" ref="O36">IF(COUNTIFS(Summary!A:A,A36,Summary!L:L,"YES")&gt;0,"YES",
IFERROR(INDEX(Summary!L:L,MATCH(A36,Summary!A:A,0)),""))</f>
        <v/>
      </c>
      <c r="P36" s="94" t="s">
        <v>1833</v>
      </c>
    </row>
    <row r="37" ht="15.75" customHeight="1">
      <c r="A37" s="93" t="s">
        <v>889</v>
      </c>
      <c r="B37" s="93" t="s">
        <v>890</v>
      </c>
      <c r="C37" s="140" t="s">
        <v>2644</v>
      </c>
      <c r="D37" s="117" t="s">
        <v>2591</v>
      </c>
      <c r="E37" s="104" t="s">
        <v>1748</v>
      </c>
      <c r="F37" s="93">
        <v>7.84</v>
      </c>
      <c r="G37" s="93" t="s">
        <v>51</v>
      </c>
      <c r="H37" s="93" t="s">
        <v>2044</v>
      </c>
      <c r="I37" s="147" t="s">
        <v>1435</v>
      </c>
      <c r="J37" s="147" t="s">
        <v>1442</v>
      </c>
      <c r="K37" s="72" t="str">
        <f t="array" ref="K37">XLOOKUP(A:A,'MLP Data'!A:A, 'MLP Data'!B:B, "Not Found")</f>
        <v>Not Found</v>
      </c>
      <c r="L37" s="72" t="str">
        <f t="array" ref="L37">XLOOKUP(A:A,'MLP Data'!A:A, 'MLP Data'!C:C, "Not Found")</f>
        <v>Not Found</v>
      </c>
      <c r="M37" s="72">
        <f t="array" ref="M37">XLOOKUP(A:A,'DLP Data'!A:A, 'DLP Data'!B:B, "Not Found")</f>
        <v>42</v>
      </c>
      <c r="N37" s="72" t="str">
        <f t="array" ref="N37">XLOOKUP(A:A,'DLP Data'!A:A, 'DLP Data'!C:C, "Not Found")</f>
        <v>"The student presented the NPPE 1 and NPPE 2 notebooks with limited clarity and depth, making it difficult to follow the reasoning behind their approach. During the discussion, frequent prompting was required to elicit relevant responses, indicating challenges with recall and articulation of key concepts. The student was also noticeably slow to respond at times, which further affected the flow of the interaction.
During the Q&amp;A, the student lacked clarity in answering questions across NLP, speech, and vision, suggesting gaps in both preparation and conceptual understanding. Overall, the performance indicates a need for stronger preparation, improved responsiveness, and better command over fundamental concepts across domains."</v>
      </c>
      <c r="O37" s="94" t="str">
        <f t="array" ref="O37">IF(COUNTIFS(Summary!A:A,A37,Summary!L:L,"YES")&gt;0,"YES",
IFERROR(INDEX(Summary!L:L,MATCH(A37,Summary!A:A,0)),""))</f>
        <v/>
      </c>
      <c r="P37" s="94" t="s">
        <v>1842</v>
      </c>
    </row>
    <row r="38" ht="15.75" customHeight="1">
      <c r="A38" s="93" t="s">
        <v>1115</v>
      </c>
      <c r="B38" s="93" t="s">
        <v>1461</v>
      </c>
      <c r="C38" s="140" t="s">
        <v>2644</v>
      </c>
      <c r="D38" s="117" t="s">
        <v>2390</v>
      </c>
      <c r="E38" s="104" t="s">
        <v>1748</v>
      </c>
      <c r="F38" s="93">
        <v>8.02</v>
      </c>
      <c r="G38" s="93" t="s">
        <v>51</v>
      </c>
      <c r="H38" s="93" t="s">
        <v>2044</v>
      </c>
      <c r="I38" s="143" t="s">
        <v>1463</v>
      </c>
      <c r="J38" s="143" t="s">
        <v>1464</v>
      </c>
      <c r="K38" s="72" t="str">
        <f t="array" ref="K38">XLOOKUP(A:A,'MLP Data'!A:A, 'MLP Data'!B:B, "Not Found")</f>
        <v>Not Found</v>
      </c>
      <c r="L38" s="72" t="str">
        <f t="array" ref="L38">XLOOKUP(A:A,'MLP Data'!A:A, 'MLP Data'!C:C, "Not Found")</f>
        <v>Not Found</v>
      </c>
      <c r="M38" s="72" t="str">
        <f t="array" ref="M38">XLOOKUP(A:A,'DLP Data'!A:A, 'DLP Data'!B:B, "Not Found")</f>
        <v>Not Found</v>
      </c>
      <c r="N38" s="72" t="str">
        <f t="array" ref="N38">XLOOKUP(A:A,'DLP Data'!A:A, 'DLP Data'!C:C, "Not Found")</f>
        <v>Not Found</v>
      </c>
      <c r="O38" s="94" t="str">
        <f t="array" ref="O38">IF(COUNTIFS(Summary!A:A,A38,Summary!L:L,"YES")&gt;0,"YES",
IFERROR(INDEX(Summary!L:L,MATCH(A38,Summary!A:A,0)),""))</f>
        <v/>
      </c>
      <c r="P38" s="94" t="s">
        <v>1842</v>
      </c>
    </row>
    <row r="39" ht="15.75" customHeight="1">
      <c r="A39" s="93" t="s">
        <v>741</v>
      </c>
      <c r="B39" s="93" t="s">
        <v>742</v>
      </c>
      <c r="C39" s="140" t="s">
        <v>2667</v>
      </c>
      <c r="D39" s="117" t="s">
        <v>2668</v>
      </c>
      <c r="E39" s="104" t="s">
        <v>1784</v>
      </c>
      <c r="F39" s="93">
        <v>7.79</v>
      </c>
      <c r="G39" s="93" t="s">
        <v>51</v>
      </c>
      <c r="H39" s="93" t="s">
        <v>2044</v>
      </c>
      <c r="I39" s="143" t="s">
        <v>1455</v>
      </c>
      <c r="J39" s="143" t="s">
        <v>1457</v>
      </c>
      <c r="K39" s="72" t="str">
        <f t="array" ref="K39">XLOOKUP(A:A,'MLP Data'!A:A, 'MLP Data'!B:B, "Not Found")</f>
        <v>Not Found</v>
      </c>
      <c r="L39" s="72" t="str">
        <f t="array" ref="L39">XLOOKUP(A:A,'MLP Data'!A:A, 'MLP Data'!C:C, "Not Found")</f>
        <v>Not Found</v>
      </c>
      <c r="M39" s="72" t="str">
        <f t="array" ref="M39">XLOOKUP(A:A,'DLP Data'!A:A, 'DLP Data'!B:B, "Not Found")</f>
        <v>Not Found</v>
      </c>
      <c r="N39" s="72" t="str">
        <f t="array" ref="N39">XLOOKUP(A:A,'DLP Data'!A:A, 'DLP Data'!C:C, "Not Found")</f>
        <v>Not Found</v>
      </c>
      <c r="O39" s="94" t="str">
        <f t="array" ref="O39">IF(COUNTIFS(Summary!A:A,A39,Summary!L:L,"YES")&gt;0,"YES",
IFERROR(INDEX(Summary!L:L,MATCH(A39,Summary!A:A,0)),""))</f>
        <v/>
      </c>
      <c r="P39" s="94" t="s">
        <v>1842</v>
      </c>
    </row>
    <row r="40" ht="15.75" customHeight="1">
      <c r="A40" s="93" t="s">
        <v>957</v>
      </c>
      <c r="B40" s="93" t="s">
        <v>1468</v>
      </c>
      <c r="C40" s="140" t="s">
        <v>2667</v>
      </c>
      <c r="D40" s="117" t="s">
        <v>2674</v>
      </c>
      <c r="E40" s="104" t="s">
        <v>1784</v>
      </c>
      <c r="F40" s="93">
        <v>6.91</v>
      </c>
      <c r="G40" s="93" t="s">
        <v>51</v>
      </c>
      <c r="H40" s="93" t="s">
        <v>2044</v>
      </c>
      <c r="I40" s="143" t="s">
        <v>1470</v>
      </c>
      <c r="J40" s="143" t="s">
        <v>1473</v>
      </c>
      <c r="K40" s="72" t="str">
        <f t="array" ref="K40">XLOOKUP(A:A,'MLP Data'!A:A, 'MLP Data'!B:B, "Not Found")</f>
        <v>Not Found</v>
      </c>
      <c r="L40" s="72" t="str">
        <f t="array" ref="L40">XLOOKUP(A:A,'MLP Data'!A:A, 'MLP Data'!C:C, "Not Found")</f>
        <v>Not Found</v>
      </c>
      <c r="M40" s="72" t="str">
        <f t="array" ref="M40">XLOOKUP(A:A,'DLP Data'!A:A, 'DLP Data'!B:B, "Not Found")</f>
        <v>Not Found</v>
      </c>
      <c r="N40" s="72" t="str">
        <f t="array" ref="N40">XLOOKUP(A:A,'DLP Data'!A:A, 'DLP Data'!C:C, "Not Found")</f>
        <v>Not Found</v>
      </c>
      <c r="O40" s="94" t="str">
        <f t="array" ref="O40">IF(COUNTIFS(Summary!A:A,A40,Summary!L:L,"YES")&gt;0,"YES",
IFERROR(INDEX(Summary!L:L,MATCH(A40,Summary!A:A,0)),""))</f>
        <v/>
      </c>
      <c r="P40" s="94" t="s">
        <v>1842</v>
      </c>
    </row>
    <row r="41" ht="15.75" customHeight="1">
      <c r="A41" s="93" t="s">
        <v>850</v>
      </c>
      <c r="B41" s="93" t="s">
        <v>851</v>
      </c>
      <c r="C41" s="140" t="s">
        <v>2682</v>
      </c>
      <c r="D41" s="117" t="s">
        <v>2390</v>
      </c>
      <c r="E41" s="104" t="s">
        <v>1784</v>
      </c>
      <c r="F41" s="94">
        <v>7.11</v>
      </c>
      <c r="G41" s="93" t="s">
        <v>51</v>
      </c>
      <c r="H41" s="93" t="s">
        <v>49</v>
      </c>
      <c r="I41" s="143" t="s">
        <v>1479</v>
      </c>
      <c r="J41" s="143" t="s">
        <v>1482</v>
      </c>
      <c r="K41" s="72" t="str">
        <f t="array" ref="K41">XLOOKUP(A:A,'MLP Data'!A:A, 'MLP Data'!B:B, "Not Found")</f>
        <v>Not Found</v>
      </c>
      <c r="L41" s="72" t="str">
        <f t="array" ref="L41">XLOOKUP(A:A,'MLP Data'!A:A, 'MLP Data'!C:C, "Not Found")</f>
        <v>Not Found</v>
      </c>
      <c r="M41" s="72" t="str">
        <f t="array" ref="M41">XLOOKUP(A:A,'DLP Data'!A:A, 'DLP Data'!B:B, "Not Found")</f>
        <v>Not Found</v>
      </c>
      <c r="N41" s="72" t="str">
        <f t="array" ref="N41">XLOOKUP(A:A,'DLP Data'!A:A, 'DLP Data'!C:C, "Not Found")</f>
        <v>Not Found</v>
      </c>
      <c r="O41" s="94" t="str">
        <f t="array" ref="O41">IF(COUNTIFS(Summary!A:A,A41,Summary!L:L,"YES")&gt;0,"YES",
IFERROR(INDEX(Summary!L:L,MATCH(A41,Summary!A:A,0)),""))</f>
        <v/>
      </c>
      <c r="P41" s="94" t="s">
        <v>1842</v>
      </c>
    </row>
    <row r="42" ht="15.75" customHeight="1">
      <c r="A42" s="93" t="s">
        <v>24</v>
      </c>
      <c r="B42" s="93" t="s">
        <v>1488</v>
      </c>
      <c r="C42" s="140" t="s">
        <v>2682</v>
      </c>
      <c r="D42" s="117" t="s">
        <v>2591</v>
      </c>
      <c r="E42" s="104" t="s">
        <v>1784</v>
      </c>
      <c r="F42" s="94">
        <v>7.45</v>
      </c>
      <c r="G42" s="93" t="s">
        <v>51</v>
      </c>
      <c r="H42" s="93" t="s">
        <v>2044</v>
      </c>
      <c r="I42" s="143" t="s">
        <v>1489</v>
      </c>
      <c r="J42" s="143" t="s">
        <v>1490</v>
      </c>
      <c r="K42" s="72">
        <f t="array" ref="K42">XLOOKUP(A:A,'MLP Data'!A:A, 'MLP Data'!B:B, "Not Found")</f>
        <v>40</v>
      </c>
      <c r="L42" s="72" t="str">
        <f t="array" ref="L42">XLOOKUP(A:A,'MLP Data'!A:A, 'MLP Data'!C:C, "Not Found")</f>
        <v>The student should remove the ID column before model training and improve understanding of multicollinearity, especially when working with regression-based models. They need to handle the problem as a proper time-series task with correct feature creation and splitting. Learning the difference between bagging and boosting will help in choosing suitable ensemble methods. Additionally, the student should assess whether the data is right-skewed or left-skewed, as this influences preprocessing steps and model performance. Strengthening these areas will lead to more reliable and industry-ready modeling outcomes.</v>
      </c>
      <c r="M42" s="72" t="str">
        <f t="array" ref="M42">XLOOKUP(A:A,'DLP Data'!A:A, 'DLP Data'!B:B, "Not Found")</f>
        <v>Not Found</v>
      </c>
      <c r="N42" s="72" t="str">
        <f t="array" ref="N42">XLOOKUP(A:A,'DLP Data'!A:A, 'DLP Data'!C:C, "Not Found")</f>
        <v>Not Found</v>
      </c>
      <c r="O42" s="94" t="str">
        <f t="array" ref="O42">IF(COUNTIFS(Summary!A:A,A42,Summary!L:L,"YES")&gt;0,"YES",
IFERROR(INDEX(Summary!L:L,MATCH(A42,Summary!A:A,0)),""))</f>
        <v/>
      </c>
      <c r="P42" s="94" t="s">
        <v>1842</v>
      </c>
    </row>
    <row r="43" ht="15.75" customHeight="1">
      <c r="A43" s="93" t="s">
        <v>468</v>
      </c>
      <c r="B43" s="93" t="s">
        <v>1607</v>
      </c>
      <c r="C43" s="140">
        <v>46056.0</v>
      </c>
      <c r="D43" s="117" t="s">
        <v>2420</v>
      </c>
      <c r="E43" s="104" t="s">
        <v>1748</v>
      </c>
      <c r="F43" s="94">
        <v>7.84</v>
      </c>
      <c r="G43" s="93" t="s">
        <v>51</v>
      </c>
      <c r="H43" s="93" t="s">
        <v>2044</v>
      </c>
      <c r="I43" s="143" t="s">
        <v>474</v>
      </c>
      <c r="J43" s="143" t="s">
        <v>481</v>
      </c>
      <c r="K43" s="72" t="str">
        <f t="array" ref="K43">XLOOKUP(A:A,'MLP Data'!A:A, 'MLP Data'!B:B, "Not Found")</f>
        <v>Not Found</v>
      </c>
      <c r="L43" s="72" t="str">
        <f t="array" ref="L43">XLOOKUP(A:A,'MLP Data'!A:A, 'MLP Data'!C:C, "Not Found")</f>
        <v>Not Found</v>
      </c>
      <c r="M43" s="72" t="str">
        <f t="array" ref="M43">XLOOKUP(A:A,'DLP Data'!A:A, 'DLP Data'!B:B, "Not Found")</f>
        <v>Not Found</v>
      </c>
      <c r="N43" s="72" t="str">
        <f t="array" ref="N43">XLOOKUP(A:A,'DLP Data'!A:A, 'DLP Data'!C:C, "Not Found")</f>
        <v>Not Found</v>
      </c>
      <c r="O43" s="94" t="str">
        <f t="array" ref="O43">IF(COUNTIFS(Summary!A:A,A43,Summary!L:L,"YES")&gt;0,"YES",
IFERROR(INDEX(Summary!L:L,MATCH(A43,Summary!A:A,0)),""))</f>
        <v/>
      </c>
      <c r="P43" s="94" t="s">
        <v>1833</v>
      </c>
    </row>
    <row r="44" ht="15.75" customHeight="1">
      <c r="A44" s="93" t="s">
        <v>792</v>
      </c>
      <c r="B44" s="93" t="s">
        <v>1794</v>
      </c>
      <c r="C44" s="140">
        <v>46056.0</v>
      </c>
      <c r="D44" s="117" t="s">
        <v>2432</v>
      </c>
      <c r="E44" s="104" t="s">
        <v>1748</v>
      </c>
      <c r="F44" s="94">
        <v>6.9</v>
      </c>
      <c r="G44" s="93" t="s">
        <v>51</v>
      </c>
      <c r="H44" s="93" t="s">
        <v>2044</v>
      </c>
      <c r="I44" s="143" t="s">
        <v>1798</v>
      </c>
      <c r="J44" s="143" t="s">
        <v>1805</v>
      </c>
      <c r="K44" s="72" t="str">
        <f t="array" ref="K44">XLOOKUP(A:A,'MLP Data'!A:A, 'MLP Data'!B:B, "Not Found")</f>
        <v>Not Found</v>
      </c>
      <c r="L44" s="72" t="str">
        <f t="array" ref="L44">XLOOKUP(A:A,'MLP Data'!A:A, 'MLP Data'!C:C, "Not Found")</f>
        <v>Not Found</v>
      </c>
      <c r="M44" s="72">
        <f t="array" ref="M44">XLOOKUP(A:A,'DLP Data'!A:A, 'DLP Data'!B:B, "Not Found")</f>
        <v>79</v>
      </c>
      <c r="N44" s="72" t="str">
        <f t="array" ref="N44">XLOOKUP(A:A,'DLP Data'!A:A, 'DLP Data'!C:C, "Not Found")</f>
        <v>TEXT: Above average, a revision would have been bettter
AUDIO: Fair enough, needs much revision and candidate needs to understand theory as well
IMAGE: YOLO and Obj detection were not prepared.
Coding : Requires improvement and practice
Communication: Please work on loudness and tone. It shows how much confident and prepared you are. </v>
      </c>
      <c r="O44" s="94" t="str">
        <f t="array" ref="O44">IF(COUNTIFS(Summary!A:A,A44,Summary!L:L,"YES")&gt;0,"YES",
IFERROR(INDEX(Summary!L:L,MATCH(A44,Summary!A:A,0)),""))</f>
        <v/>
      </c>
      <c r="P44" s="94" t="s">
        <v>1833</v>
      </c>
    </row>
    <row r="45" ht="15.75" customHeight="1">
      <c r="A45" s="93" t="s">
        <v>1016</v>
      </c>
      <c r="B45" s="93" t="s">
        <v>1017</v>
      </c>
      <c r="C45" s="140">
        <v>46056.0</v>
      </c>
      <c r="D45" s="117" t="s">
        <v>2719</v>
      </c>
      <c r="E45" s="104" t="s">
        <v>1748</v>
      </c>
      <c r="F45" s="94">
        <v>8.6</v>
      </c>
      <c r="G45" s="93" t="s">
        <v>51</v>
      </c>
      <c r="H45" s="93" t="s">
        <v>2044</v>
      </c>
      <c r="I45" s="143" t="s">
        <v>1827</v>
      </c>
      <c r="J45" s="143" t="s">
        <v>1832</v>
      </c>
      <c r="K45" s="72" t="str">
        <f t="array" ref="K45">XLOOKUP(A:A,'MLP Data'!A:A, 'MLP Data'!B:B, "Not Found")</f>
        <v>Not Found</v>
      </c>
      <c r="L45" s="72" t="str">
        <f t="array" ref="L45">XLOOKUP(A:A,'MLP Data'!A:A, 'MLP Data'!C:C, "Not Found")</f>
        <v>Not Found</v>
      </c>
      <c r="M45" s="72">
        <f t="array" ref="M45">XLOOKUP(A:A,'DLP Data'!A:A, 'DLP Data'!B:B, "Not Found")</f>
        <v>78</v>
      </c>
      <c r="N45" s="72" t="str">
        <f t="array" ref="N45">XLOOKUP(A:A,'DLP Data'!A:A, 'DLP Data'!C:C, "Not Found")</f>
        <v>NOTEBOOKS: Explained in clear n crisp manner, was able to defend the choices made
TEXT: above avg explanation
AUDIO:  fair, apart from few parts
IMAGE: revision would have helped, else it was satisfactory
CODING: below average, needs practise</v>
      </c>
      <c r="O45" s="94" t="str">
        <f t="array" ref="O45">IF(COUNTIFS(Summary!A:A,A45,Summary!L:L,"YES")&gt;0,"YES",
IFERROR(INDEX(Summary!L:L,MATCH(A45,Summary!A:A,0)),""))</f>
        <v/>
      </c>
      <c r="P45" s="94" t="s">
        <v>1842</v>
      </c>
    </row>
    <row r="46" ht="15.75" customHeight="1">
      <c r="A46" s="93" t="s">
        <v>336</v>
      </c>
      <c r="B46" s="93" t="s">
        <v>339</v>
      </c>
      <c r="C46" s="140">
        <v>46056.0</v>
      </c>
      <c r="D46" s="117" t="s">
        <v>2733</v>
      </c>
      <c r="E46" s="104" t="s">
        <v>1748</v>
      </c>
      <c r="F46" s="94">
        <v>8.9</v>
      </c>
      <c r="G46" s="93" t="s">
        <v>51</v>
      </c>
      <c r="H46" s="93" t="s">
        <v>2044</v>
      </c>
      <c r="I46" s="143" t="s">
        <v>1838</v>
      </c>
      <c r="J46" s="143" t="s">
        <v>1841</v>
      </c>
      <c r="K46" s="72" t="str">
        <f t="array" ref="K46">XLOOKUP(A:A,'MLP Data'!A:A, 'MLP Data'!B:B, "Not Found")</f>
        <v>Not Found</v>
      </c>
      <c r="L46" s="72" t="str">
        <f t="array" ref="L46">XLOOKUP(A:A,'MLP Data'!A:A, 'MLP Data'!C:C, "Not Found")</f>
        <v>Not Found</v>
      </c>
      <c r="M46" s="72">
        <f t="array" ref="M46">XLOOKUP(A:A,'DLP Data'!A:A, 'DLP Data'!B:B, "Not Found")</f>
        <v>92</v>
      </c>
      <c r="N46" s="72" t="str">
        <f t="array" ref="N46">XLOOKUP(A:A,'DLP Data'!A:A, 'DLP Data'!C:C, "Not Found")</f>
        <v>The student explained both NPPE 1 and NPPE 2 in depth, in a clear and comprehensive manner. Performance in the live coding task was strong. Demonstrated a solid understanding of the Text and Speech modules, though with further revision the answers could be more concise and precise. Understanding of the Image module was average and would benefit from additional revision.</v>
      </c>
      <c r="O46" s="94" t="str">
        <f t="array" ref="O46">IF(COUNTIFS(Summary!A:A,A46,Summary!L:L,"YES")&gt;0,"YES",
IFERROR(INDEX(Summary!L:L,MATCH(A46,Summary!A:A,0)),""))</f>
        <v/>
      </c>
      <c r="P46" s="94" t="s">
        <v>1842</v>
      </c>
    </row>
    <row r="47" ht="15.75" customHeight="1">
      <c r="A47" s="93" t="s">
        <v>120</v>
      </c>
      <c r="B47" s="93" t="s">
        <v>1586</v>
      </c>
      <c r="C47" s="140">
        <v>46056.0</v>
      </c>
      <c r="D47" s="117" t="s">
        <v>2747</v>
      </c>
      <c r="E47" s="104" t="s">
        <v>1752</v>
      </c>
      <c r="F47" s="94">
        <v>6.96</v>
      </c>
      <c r="G47" s="93" t="s">
        <v>603</v>
      </c>
      <c r="H47" s="93" t="s">
        <v>2044</v>
      </c>
      <c r="I47" s="143" t="s">
        <v>1588</v>
      </c>
      <c r="J47" s="143" t="s">
        <v>1592</v>
      </c>
      <c r="K47" s="72" t="str">
        <f t="array" ref="K47">XLOOKUP(A:A,'MLP Data'!A:A, 'MLP Data'!B:B, "Not Found")</f>
        <v>Not Found</v>
      </c>
      <c r="L47" s="72" t="str">
        <f t="array" ref="L47">XLOOKUP(A:A,'MLP Data'!A:A, 'MLP Data'!C:C, "Not Found")</f>
        <v>Not Found</v>
      </c>
      <c r="M47" s="72" t="str">
        <f t="array" ref="M47">XLOOKUP(A:A,'DLP Data'!A:A, 'DLP Data'!B:B, "Not Found")</f>
        <v>Not Found</v>
      </c>
      <c r="N47" s="72" t="str">
        <f t="array" ref="N47">XLOOKUP(A:A,'DLP Data'!A:A, 'DLP Data'!C:C, "Not Found")</f>
        <v>Not Found</v>
      </c>
      <c r="O47" s="94" t="str">
        <f t="array" ref="O47">IF(COUNTIFS(Summary!A:A,A47,Summary!L:L,"YES")&gt;0,"YES",
IFERROR(INDEX(Summary!L:L,MATCH(A47,Summary!A:A,0)),""))</f>
        <v/>
      </c>
      <c r="P47" s="94" t="s">
        <v>1833</v>
      </c>
    </row>
    <row r="48" ht="15.75" customHeight="1">
      <c r="A48" s="93" t="s">
        <v>716</v>
      </c>
      <c r="B48" s="93" t="s">
        <v>717</v>
      </c>
      <c r="C48" s="140">
        <v>46056.0</v>
      </c>
      <c r="D48" s="117" t="s">
        <v>2747</v>
      </c>
      <c r="E48" s="104" t="s">
        <v>1772</v>
      </c>
      <c r="F48" s="94">
        <v>7.3</v>
      </c>
      <c r="G48" s="93" t="s">
        <v>51</v>
      </c>
      <c r="H48" s="93" t="s">
        <v>2044</v>
      </c>
      <c r="I48" s="143" t="s">
        <v>1494</v>
      </c>
      <c r="J48" s="143" t="s">
        <v>1497</v>
      </c>
      <c r="K48" s="72" t="str">
        <f t="array" ref="K48">XLOOKUP(A:A,'MLP Data'!A:A, 'MLP Data'!B:B, "Not Found")</f>
        <v>Not Found</v>
      </c>
      <c r="L48" s="72" t="str">
        <f t="array" ref="L48">XLOOKUP(A:A,'MLP Data'!A:A, 'MLP Data'!C:C, "Not Found")</f>
        <v>Not Found</v>
      </c>
      <c r="M48" s="72" t="str">
        <f t="array" ref="M48">XLOOKUP(A:A,'DLP Data'!A:A, 'DLP Data'!B:B, "Not Found")</f>
        <v>Not Found</v>
      </c>
      <c r="N48" s="72" t="str">
        <f t="array" ref="N48">XLOOKUP(A:A,'DLP Data'!A:A, 'DLP Data'!C:C, "Not Found")</f>
        <v>Not Found</v>
      </c>
      <c r="O48" s="94" t="str">
        <f t="array" ref="O48">IF(COUNTIFS(Summary!A:A,A48,Summary!L:L,"YES")&gt;0,"YES",
IFERROR(INDEX(Summary!L:L,MATCH(A48,Summary!A:A,0)),""))</f>
        <v/>
      </c>
      <c r="P48" s="94" t="s">
        <v>1842</v>
      </c>
    </row>
    <row r="49" ht="15.75" customHeight="1">
      <c r="A49" s="93" t="s">
        <v>487</v>
      </c>
      <c r="B49" s="93" t="s">
        <v>489</v>
      </c>
      <c r="C49" s="140">
        <v>46056.0</v>
      </c>
      <c r="D49" s="117" t="s">
        <v>2773</v>
      </c>
      <c r="E49" s="104" t="s">
        <v>1772</v>
      </c>
      <c r="F49" s="94">
        <v>8.9</v>
      </c>
      <c r="G49" s="93" t="s">
        <v>51</v>
      </c>
      <c r="H49" s="93" t="s">
        <v>2044</v>
      </c>
      <c r="I49" s="143" t="s">
        <v>1502</v>
      </c>
      <c r="J49" s="143" t="s">
        <v>1505</v>
      </c>
      <c r="K49" s="72" t="str">
        <f t="array" ref="K49">XLOOKUP(A:A,'MLP Data'!A:A, 'MLP Data'!B:B, "Not Found")</f>
        <v>Not Found</v>
      </c>
      <c r="L49" s="72" t="str">
        <f t="array" ref="L49">XLOOKUP(A:A,'MLP Data'!A:A, 'MLP Data'!C:C, "Not Found")</f>
        <v>Not Found</v>
      </c>
      <c r="M49" s="72" t="str">
        <f t="array" ref="M49">XLOOKUP(A:A,'DLP Data'!A:A, 'DLP Data'!B:B, "Not Found")</f>
        <v>Not Found</v>
      </c>
      <c r="N49" s="72" t="str">
        <f t="array" ref="N49">XLOOKUP(A:A,'DLP Data'!A:A, 'DLP Data'!C:C, "Not Found")</f>
        <v>Not Found</v>
      </c>
      <c r="O49" s="94" t="str">
        <f t="array" ref="O49">IF(COUNTIFS(Summary!A:A,A49,Summary!L:L,"YES")&gt;0,"YES",
IFERROR(INDEX(Summary!L:L,MATCH(A49,Summary!A:A,0)),""))</f>
        <v/>
      </c>
      <c r="P49" s="94" t="s">
        <v>1842</v>
      </c>
    </row>
    <row r="50" ht="15.75" customHeight="1">
      <c r="A50" s="93" t="s">
        <v>466</v>
      </c>
      <c r="B50" s="93" t="s">
        <v>1635</v>
      </c>
      <c r="C50" s="140">
        <v>46056.0</v>
      </c>
      <c r="D50" s="117" t="s">
        <v>2578</v>
      </c>
      <c r="E50" s="104" t="s">
        <v>2454</v>
      </c>
      <c r="F50" s="94">
        <v>7.33</v>
      </c>
      <c r="G50" s="93" t="s">
        <v>51</v>
      </c>
      <c r="H50" s="93" t="s">
        <v>2044</v>
      </c>
      <c r="I50" s="143" t="s">
        <v>1638</v>
      </c>
      <c r="J50" s="152" t="s">
        <v>1641</v>
      </c>
      <c r="K50" s="72" t="str">
        <f t="array" ref="K50">XLOOKUP(A:A,'MLP Data'!A:A, 'MLP Data'!B:B, "Not Found")</f>
        <v>Not Found</v>
      </c>
      <c r="L50" s="72" t="str">
        <f t="array" ref="L50">XLOOKUP(A:A,'MLP Data'!A:A, 'MLP Data'!C:C, "Not Found")</f>
        <v>Not Found</v>
      </c>
      <c r="M50" s="72" t="str">
        <f t="array" ref="M50">XLOOKUP(A:A,'DLP Data'!A:A, 'DLP Data'!B:B, "Not Found")</f>
        <v>Not Found</v>
      </c>
      <c r="N50" s="72" t="str">
        <f t="array" ref="N50">XLOOKUP(A:A,'DLP Data'!A:A, 'DLP Data'!C:C, "Not Found")</f>
        <v>Not Found</v>
      </c>
      <c r="O50" s="94" t="str">
        <f t="array" ref="O50">IF(COUNTIFS(Summary!A:A,A50,Summary!L:L,"YES")&gt;0,"YES",
IFERROR(INDEX(Summary!L:L,MATCH(A50,Summary!A:A,0)),""))</f>
        <v/>
      </c>
      <c r="P50" s="94" t="s">
        <v>1842</v>
      </c>
    </row>
    <row r="51" ht="15.75" customHeight="1">
      <c r="A51" s="93" t="s">
        <v>1166</v>
      </c>
      <c r="B51" s="93" t="s">
        <v>1168</v>
      </c>
      <c r="C51" s="140">
        <v>46056.0</v>
      </c>
      <c r="D51" s="117" t="s">
        <v>2585</v>
      </c>
      <c r="E51" s="104" t="s">
        <v>2454</v>
      </c>
      <c r="F51" s="94">
        <v>7.31</v>
      </c>
      <c r="G51" s="93" t="s">
        <v>51</v>
      </c>
      <c r="H51" s="93" t="s">
        <v>2044</v>
      </c>
      <c r="I51" s="143" t="s">
        <v>1665</v>
      </c>
      <c r="J51" s="143" t="s">
        <v>1668</v>
      </c>
      <c r="K51" s="72" t="str">
        <f t="array" ref="K51">XLOOKUP(A:A,'MLP Data'!A:A, 'MLP Data'!B:B, "Not Found")</f>
        <v>Not Found</v>
      </c>
      <c r="L51" s="72" t="str">
        <f t="array" ref="L51">XLOOKUP(A:A,'MLP Data'!A:A, 'MLP Data'!C:C, "Not Found")</f>
        <v>Not Found</v>
      </c>
      <c r="M51" s="72" t="str">
        <f t="array" ref="M51">XLOOKUP(A:A,'DLP Data'!A:A, 'DLP Data'!B:B, "Not Found")</f>
        <v>Not Found</v>
      </c>
      <c r="N51" s="72" t="str">
        <f t="array" ref="N51">XLOOKUP(A:A,'DLP Data'!A:A, 'DLP Data'!C:C, "Not Found")</f>
        <v>Not Found</v>
      </c>
      <c r="O51" s="94" t="str">
        <f t="array" ref="O51">IF(COUNTIFS(Summary!A:A,A51,Summary!L:L,"YES")&gt;0,"YES",
IFERROR(INDEX(Summary!L:L,MATCH(A51,Summary!A:A,0)),""))</f>
        <v/>
      </c>
      <c r="P51" s="94" t="s">
        <v>1842</v>
      </c>
    </row>
    <row r="52" ht="15.75" customHeight="1">
      <c r="A52" s="93" t="s">
        <v>76</v>
      </c>
      <c r="B52" s="93" t="s">
        <v>74</v>
      </c>
      <c r="C52" s="140">
        <v>46084.0</v>
      </c>
      <c r="D52" s="117" t="s">
        <v>2420</v>
      </c>
      <c r="E52" s="104" t="s">
        <v>1748</v>
      </c>
      <c r="F52" s="94">
        <v>7.26</v>
      </c>
      <c r="G52" s="93" t="s">
        <v>51</v>
      </c>
      <c r="H52" s="93" t="s">
        <v>2044</v>
      </c>
      <c r="I52" s="143" t="s">
        <v>79</v>
      </c>
      <c r="J52" s="143" t="s">
        <v>83</v>
      </c>
      <c r="K52" s="72" t="str">
        <f t="array" ref="K52">XLOOKUP(A:A,'MLP Data'!A:A, 'MLP Data'!B:B, "Not Found")</f>
        <v>Not Found</v>
      </c>
      <c r="L52" s="72" t="str">
        <f t="array" ref="L52">XLOOKUP(A:A,'MLP Data'!A:A, 'MLP Data'!C:C, "Not Found")</f>
        <v>Not Found</v>
      </c>
      <c r="M52" s="72" t="str">
        <f t="array" ref="M52">XLOOKUP(A:A,'DLP Data'!A:A, 'DLP Data'!B:B, "Not Found")</f>
        <v>Not Found</v>
      </c>
      <c r="N52" s="72" t="str">
        <f t="array" ref="N52">XLOOKUP(A:A,'DLP Data'!A:A, 'DLP Data'!C:C, "Not Found")</f>
        <v>Not Found</v>
      </c>
      <c r="O52" s="94" t="str">
        <f t="array" ref="O52">IF(COUNTIFS(Summary!A:A,A52,Summary!L:L,"YES")&gt;0,"YES",
IFERROR(INDEX(Summary!L:L,MATCH(A52,Summary!A:A,0)),""))</f>
        <v/>
      </c>
      <c r="P52" s="94" t="s">
        <v>1833</v>
      </c>
    </row>
    <row r="53" ht="15.75" customHeight="1">
      <c r="A53" s="93" t="s">
        <v>567</v>
      </c>
      <c r="B53" s="93" t="s">
        <v>563</v>
      </c>
      <c r="C53" s="140">
        <v>46084.0</v>
      </c>
      <c r="D53" s="117" t="s">
        <v>2432</v>
      </c>
      <c r="E53" s="104" t="s">
        <v>1748</v>
      </c>
      <c r="F53" s="94">
        <v>9.23</v>
      </c>
      <c r="G53" s="93" t="s">
        <v>51</v>
      </c>
      <c r="H53" s="93" t="s">
        <v>2044</v>
      </c>
      <c r="I53" s="143" t="s">
        <v>573</v>
      </c>
      <c r="J53" s="143" t="s">
        <v>579</v>
      </c>
      <c r="K53" s="72" t="str">
        <f t="array" ref="K53">XLOOKUP(A:A,'MLP Data'!A:A, 'MLP Data'!B:B, "Not Found")</f>
        <v>Not Found</v>
      </c>
      <c r="L53" s="72" t="str">
        <f t="array" ref="L53">XLOOKUP(A:A,'MLP Data'!A:A, 'MLP Data'!C:C, "Not Found")</f>
        <v>Not Found</v>
      </c>
      <c r="M53" s="72" t="str">
        <f t="array" ref="M53">XLOOKUP(A:A,'DLP Data'!A:A, 'DLP Data'!B:B, "Not Found")</f>
        <v>Not Found</v>
      </c>
      <c r="N53" s="72" t="str">
        <f t="array" ref="N53">XLOOKUP(A:A,'DLP Data'!A:A, 'DLP Data'!C:C, "Not Found")</f>
        <v>Not Found</v>
      </c>
      <c r="O53" s="94" t="str">
        <f t="array" ref="O53">IF(COUNTIFS(Summary!A:A,A53,Summary!L:L,"YES")&gt;0,"YES",
IFERROR(INDEX(Summary!L:L,MATCH(A53,Summary!A:A,0)),""))</f>
        <v/>
      </c>
      <c r="P53" s="94" t="s">
        <v>1833</v>
      </c>
    </row>
    <row r="54" ht="15.75" customHeight="1">
      <c r="A54" s="93" t="s">
        <v>65</v>
      </c>
      <c r="B54" s="93" t="s">
        <v>67</v>
      </c>
      <c r="C54" s="140">
        <v>46084.0</v>
      </c>
      <c r="D54" s="117" t="s">
        <v>2719</v>
      </c>
      <c r="E54" s="104" t="s">
        <v>1748</v>
      </c>
      <c r="F54" s="94">
        <v>7.98</v>
      </c>
      <c r="G54" s="93" t="s">
        <v>51</v>
      </c>
      <c r="H54" s="93" t="s">
        <v>2044</v>
      </c>
      <c r="I54" s="143" t="s">
        <v>1744</v>
      </c>
      <c r="J54" s="143" t="s">
        <v>1749</v>
      </c>
      <c r="K54" s="72">
        <f t="array" ref="K54">XLOOKUP(A:A,'MLP Data'!A:A, 'MLP Data'!B:B, "Not Found")</f>
        <v>43</v>
      </c>
      <c r="L54" s="72" t="str">
        <f t="array" ref="L54">XLOOKUP(A:A,'MLP Data'!A:A, 'MLP Data'!C:C, "Not Found")</f>
        <v>While the candidate has a good initial grasp, the priority should be deepening their conceptual understanding and achieving greater technical mastery over the specific models employed. This focus will empower them to clearly highlight key features and justify architectural decisions, significantly enhancing their technical communication.</v>
      </c>
      <c r="M54" s="72" t="str">
        <f t="array" ref="M54">XLOOKUP(A:A,'DLP Data'!A:A, 'DLP Data'!B:B, "Not Found")</f>
        <v>Not Found</v>
      </c>
      <c r="N54" s="72" t="str">
        <f t="array" ref="N54">XLOOKUP(A:A,'DLP Data'!A:A, 'DLP Data'!C:C, "Not Found")</f>
        <v>Not Found</v>
      </c>
      <c r="O54" s="94" t="str">
        <f t="array" ref="O54">IF(COUNTIFS(Summary!A:A,A54,Summary!L:L,"YES")&gt;0,"YES",
IFERROR(INDEX(Summary!L:L,MATCH(A54,Summary!A:A,0)),""))</f>
        <v/>
      </c>
      <c r="P54" s="94" t="s">
        <v>1833</v>
      </c>
    </row>
    <row r="55" ht="15.75" customHeight="1">
      <c r="A55" s="93" t="s">
        <v>117</v>
      </c>
      <c r="B55" s="93" t="s">
        <v>118</v>
      </c>
      <c r="C55" s="140">
        <v>46084.0</v>
      </c>
      <c r="D55" s="117" t="s">
        <v>2733</v>
      </c>
      <c r="E55" s="104" t="s">
        <v>1748</v>
      </c>
      <c r="F55" s="94">
        <v>6.75</v>
      </c>
      <c r="G55" s="93" t="s">
        <v>51</v>
      </c>
      <c r="H55" s="93" t="s">
        <v>2044</v>
      </c>
      <c r="I55" s="143" t="s">
        <v>1773</v>
      </c>
      <c r="J55" s="143" t="s">
        <v>1786</v>
      </c>
      <c r="K55" s="72" t="str">
        <f t="array" ref="K55">XLOOKUP(A:A,'MLP Data'!A:A, 'MLP Data'!B:B, "Not Found")</f>
        <v>Not Found</v>
      </c>
      <c r="L55" s="72" t="str">
        <f t="array" ref="L55">XLOOKUP(A:A,'MLP Data'!A:A, 'MLP Data'!C:C, "Not Found")</f>
        <v>Not Found</v>
      </c>
      <c r="M55" s="72" t="str">
        <f t="array" ref="M55">XLOOKUP(A:A,'DLP Data'!A:A, 'DLP Data'!B:B, "Not Found")</f>
        <v>Not Found</v>
      </c>
      <c r="N55" s="72" t="str">
        <f t="array" ref="N55">XLOOKUP(A:A,'DLP Data'!A:A, 'DLP Data'!C:C, "Not Found")</f>
        <v>Not Found</v>
      </c>
      <c r="O55" s="94" t="str">
        <f t="array" ref="O55">IF(COUNTIFS(Summary!A:A,A55,Summary!L:L,"YES")&gt;0,"YES",
IFERROR(INDEX(Summary!L:L,MATCH(A55,Summary!A:A,0)),""))</f>
        <v/>
      </c>
      <c r="P55" s="94" t="s">
        <v>1842</v>
      </c>
    </row>
    <row r="56" ht="15.75" customHeight="1">
      <c r="A56" s="93" t="s">
        <v>1008</v>
      </c>
      <c r="B56" s="93" t="s">
        <v>1518</v>
      </c>
      <c r="C56" s="140">
        <v>46084.0</v>
      </c>
      <c r="D56" s="117" t="s">
        <v>2773</v>
      </c>
      <c r="E56" s="104" t="s">
        <v>2404</v>
      </c>
      <c r="F56" s="105">
        <v>6.49</v>
      </c>
      <c r="G56" s="93" t="s">
        <v>2444</v>
      </c>
      <c r="H56" s="93" t="s">
        <v>2044</v>
      </c>
      <c r="I56" s="143" t="s">
        <v>1521</v>
      </c>
      <c r="J56" s="143" t="s">
        <v>1524</v>
      </c>
      <c r="K56" s="72" t="str">
        <f t="array" ref="K56">XLOOKUP(A:A,'MLP Data'!A:A, 'MLP Data'!B:B, "Not Found")</f>
        <v>Not Found</v>
      </c>
      <c r="L56" s="72" t="str">
        <f t="array" ref="L56">XLOOKUP(A:A,'MLP Data'!A:A, 'MLP Data'!C:C, "Not Found")</f>
        <v>Not Found</v>
      </c>
      <c r="M56" s="72" t="str">
        <f t="array" ref="M56">XLOOKUP(A:A,'DLP Data'!A:A, 'DLP Data'!B:B, "Not Found")</f>
        <v>Not Found</v>
      </c>
      <c r="N56" s="72" t="str">
        <f t="array" ref="N56">XLOOKUP(A:A,'DLP Data'!A:A, 'DLP Data'!C:C, "Not Found")</f>
        <v>Not Found</v>
      </c>
      <c r="O56" s="94" t="str">
        <f t="array" ref="O56">IF(COUNTIFS(Summary!A:A,A56,Summary!L:L,"YES")&gt;0,"YES",
IFERROR(INDEX(Summary!L:L,MATCH(A56,Summary!A:A,0)),""))</f>
        <v/>
      </c>
      <c r="P56" s="94" t="s">
        <v>1842</v>
      </c>
    </row>
    <row r="57" ht="15.75" customHeight="1">
      <c r="A57" s="94" t="s">
        <v>296</v>
      </c>
      <c r="B57" s="94" t="s">
        <v>1610</v>
      </c>
      <c r="C57" s="140">
        <v>46084.0</v>
      </c>
      <c r="D57" s="96" t="s">
        <v>2747</v>
      </c>
      <c r="E57" s="104" t="s">
        <v>2604</v>
      </c>
      <c r="F57" s="94">
        <v>7.33</v>
      </c>
      <c r="G57" s="93" t="s">
        <v>51</v>
      </c>
      <c r="H57" s="93" t="s">
        <v>2044</v>
      </c>
      <c r="I57" s="143" t="s">
        <v>1612</v>
      </c>
      <c r="J57" s="143" t="s">
        <v>1615</v>
      </c>
      <c r="K57" s="72" t="str">
        <f t="array" ref="K57">XLOOKUP(A:A,'MLP Data'!A:A, 'MLP Data'!B:B, "Not Found")</f>
        <v>Not Found</v>
      </c>
      <c r="L57" s="72" t="str">
        <f t="array" ref="L57">XLOOKUP(A:A,'MLP Data'!A:A, 'MLP Data'!C:C, "Not Found")</f>
        <v>Not Found</v>
      </c>
      <c r="M57" s="72" t="str">
        <f t="array" ref="M57">XLOOKUP(A:A,'DLP Data'!A:A, 'DLP Data'!B:B, "Not Found")</f>
        <v>Not Found</v>
      </c>
      <c r="N57" s="72" t="str">
        <f t="array" ref="N57">XLOOKUP(A:A,'DLP Data'!A:A, 'DLP Data'!C:C, "Not Found")</f>
        <v>Not Found</v>
      </c>
      <c r="O57" s="94" t="str">
        <f t="array" ref="O57">IF(COUNTIFS(Summary!A:A,A57,Summary!L:L,"YES")&gt;0,"YES",
IFERROR(INDEX(Summary!L:L,MATCH(A57,Summary!A:A,0)),""))</f>
        <v/>
      </c>
      <c r="P57" s="94" t="s">
        <v>1842</v>
      </c>
    </row>
    <row r="58" ht="15.75" customHeight="1">
      <c r="A58" s="94" t="s">
        <v>930</v>
      </c>
      <c r="B58" s="94" t="s">
        <v>932</v>
      </c>
      <c r="C58" s="140">
        <v>46084.0</v>
      </c>
      <c r="D58" s="96" t="s">
        <v>2773</v>
      </c>
      <c r="E58" s="104" t="s">
        <v>2604</v>
      </c>
      <c r="F58" s="94">
        <v>7.5</v>
      </c>
      <c r="G58" s="93" t="s">
        <v>51</v>
      </c>
      <c r="H58" s="93" t="s">
        <v>2044</v>
      </c>
      <c r="I58" s="152" t="s">
        <v>1622</v>
      </c>
      <c r="J58" s="143" t="s">
        <v>1622</v>
      </c>
      <c r="K58" s="72" t="str">
        <f t="array" ref="K58">XLOOKUP(A:A,'MLP Data'!A:A, 'MLP Data'!B:B, "Not Found")</f>
        <v>Not Found</v>
      </c>
      <c r="L58" s="72" t="str">
        <f t="array" ref="L58">XLOOKUP(A:A,'MLP Data'!A:A, 'MLP Data'!C:C, "Not Found")</f>
        <v>Not Found</v>
      </c>
      <c r="M58" s="72">
        <f t="array" ref="M58">XLOOKUP(A:A,'DLP Data'!A:A, 'DLP Data'!B:B, "Not Found")</f>
        <v>60</v>
      </c>
      <c r="N58" s="72" t="str">
        <f t="array" ref="N58">XLOOKUP(A:A,'DLP Data'!A:A, 'DLP Data'!C:C, "Not Found")</f>
        <v>The NPPE 1 and NPPE 2 notebooks were presented well, with adequate detail and a clear structure. The student was able to address queries and provide clarifications where required. During the Q&amp;A, they demonstrated a good understanding of basic concepts in Hugging Face and deep learning, but faced difficulty when responding to moderately complex questions, indicating room for deeper conceptual development.
Overall, while the effort and structure are commendable, there remains significant scope for strengthening conceptual depth to perform consistently well across all components of the course.</v>
      </c>
      <c r="O58" s="94" t="str">
        <f t="array" ref="O58">IF(COUNTIFS(Summary!A:A,A58,Summary!L:L,"YES")&gt;0,"YES",
IFERROR(INDEX(Summary!L:L,MATCH(A58,Summary!A:A,0)),""))</f>
        <v/>
      </c>
      <c r="P58" s="94" t="s">
        <v>1842</v>
      </c>
    </row>
    <row r="59" ht="15.75" customHeight="1">
      <c r="A59" s="94" t="s">
        <v>692</v>
      </c>
      <c r="B59" s="94" t="s">
        <v>693</v>
      </c>
      <c r="C59" s="140">
        <v>46084.0</v>
      </c>
      <c r="D59" s="117" t="s">
        <v>2578</v>
      </c>
      <c r="E59" s="104" t="s">
        <v>1772</v>
      </c>
      <c r="F59" s="94">
        <v>8.38</v>
      </c>
      <c r="G59" s="93" t="s">
        <v>51</v>
      </c>
      <c r="H59" s="93" t="s">
        <v>2044</v>
      </c>
      <c r="I59" s="143" t="s">
        <v>1627</v>
      </c>
      <c r="J59" s="143" t="s">
        <v>1630</v>
      </c>
      <c r="K59" s="72" t="str">
        <f t="array" ref="K59">XLOOKUP(A:A,'MLP Data'!A:A, 'MLP Data'!B:B, "Not Found")</f>
        <v>Not Found</v>
      </c>
      <c r="L59" s="72" t="str">
        <f t="array" ref="L59">XLOOKUP(A:A,'MLP Data'!A:A, 'MLP Data'!C:C, "Not Found")</f>
        <v>Not Found</v>
      </c>
      <c r="M59" s="72">
        <f t="array" ref="M59">XLOOKUP(A:A,'DLP Data'!A:A, 'DLP Data'!B:B, "Not Found")</f>
        <v>92</v>
      </c>
      <c r="N59" s="72" t="str">
        <f t="array" ref="N59">XLOOKUP(A:A,'DLP Data'!A:A, 'DLP Data'!C:C, "Not Found")</f>
        <v>The student has a strong understanding of all the components but needs further exploration in the image component.</v>
      </c>
      <c r="O59" s="94" t="str">
        <f t="array" ref="O59">IF(COUNTIFS(Summary!A:A,A59,Summary!L:L,"YES")&gt;0,"YES",
IFERROR(INDEX(Summary!L:L,MATCH(A59,Summary!A:A,0)),""))</f>
        <v/>
      </c>
      <c r="P59" s="94" t="s">
        <v>1842</v>
      </c>
    </row>
    <row r="60" ht="15.75" customHeight="1">
      <c r="A60" s="94" t="s">
        <v>66</v>
      </c>
      <c r="B60" s="94" t="s">
        <v>1711</v>
      </c>
      <c r="C60" s="140">
        <v>46084.0</v>
      </c>
      <c r="D60" s="117" t="s">
        <v>2585</v>
      </c>
      <c r="E60" s="104" t="s">
        <v>1772</v>
      </c>
      <c r="F60" s="94">
        <v>7.14</v>
      </c>
      <c r="G60" s="93" t="s">
        <v>51</v>
      </c>
      <c r="H60" s="93" t="s">
        <v>2044</v>
      </c>
      <c r="I60" s="143" t="s">
        <v>1715</v>
      </c>
      <c r="J60" s="143" t="s">
        <v>85</v>
      </c>
      <c r="K60" s="72" t="str">
        <f t="array" ref="K60">XLOOKUP(A:A,'MLP Data'!A:A, 'MLP Data'!B:B, "Not Found")</f>
        <v>Not Found</v>
      </c>
      <c r="L60" s="72" t="str">
        <f t="array" ref="L60">XLOOKUP(A:A,'MLP Data'!A:A, 'MLP Data'!C:C, "Not Found")</f>
        <v>Not Found</v>
      </c>
      <c r="M60" s="72" t="str">
        <f t="array" ref="M60">XLOOKUP(A:A,'DLP Data'!A:A, 'DLP Data'!B:B, "Not Found")</f>
        <v/>
      </c>
      <c r="N60" s="72" t="str">
        <f t="array" ref="N60">XLOOKUP(A:A,'DLP Data'!A:A, 'DLP Data'!C:C, "Not Found")</f>
        <v/>
      </c>
      <c r="O60" s="94" t="str">
        <f t="array" ref="O60">IF(COUNTIFS(Summary!A:A,A60,Summary!L:L,"YES")&gt;0,"YES",
IFERROR(INDEX(Summary!L:L,MATCH(A60,Summary!A:A,0)),""))</f>
        <v/>
      </c>
      <c r="P60" s="94" t="s">
        <v>1833</v>
      </c>
    </row>
    <row r="61" ht="15.75" customHeight="1">
      <c r="A61" s="94" t="s">
        <v>1024</v>
      </c>
      <c r="B61" s="94" t="s">
        <v>1678</v>
      </c>
      <c r="C61" s="95">
        <v>46115.0</v>
      </c>
      <c r="D61" s="117" t="s">
        <v>2928</v>
      </c>
      <c r="E61" s="104" t="s">
        <v>1748</v>
      </c>
      <c r="F61" s="161">
        <v>6.92</v>
      </c>
      <c r="G61" s="94" t="s">
        <v>51</v>
      </c>
      <c r="H61" s="94" t="s">
        <v>59</v>
      </c>
      <c r="I61" s="135" t="s">
        <v>1680</v>
      </c>
      <c r="J61" s="135" t="s">
        <v>1682</v>
      </c>
      <c r="K61" s="72" t="str">
        <f t="array" ref="K61">XLOOKUP(A:A,'MLP Data'!A:A, 'MLP Data'!B:B, "Not Found")</f>
        <v>Not Found</v>
      </c>
      <c r="L61" s="72" t="str">
        <f t="array" ref="L61">XLOOKUP(A:A,'MLP Data'!A:A, 'MLP Data'!C:C, "Not Found")</f>
        <v>Not Found</v>
      </c>
      <c r="M61" s="72" t="str">
        <f t="array" ref="M61">XLOOKUP(A:A,'DLP Data'!A:A, 'DLP Data'!B:B, "Not Found")</f>
        <v>Not Found</v>
      </c>
      <c r="N61" s="72" t="str">
        <f t="array" ref="N61">XLOOKUP(A:A,'DLP Data'!A:A, 'DLP Data'!C:C, "Not Found")</f>
        <v>Not Found</v>
      </c>
      <c r="O61" s="94" t="str">
        <f t="array" ref="O61">IF(COUNTIFS(Summary!A:A,A61,Summary!L:L,"YES")&gt;0,"YES",
IFERROR(INDEX(Summary!L:L,MATCH(A61,Summary!A:A,0)),""))</f>
        <v/>
      </c>
      <c r="P61" s="94" t="s">
        <v>1842</v>
      </c>
    </row>
    <row r="62" ht="15.75" customHeight="1">
      <c r="A62" s="94" t="s">
        <v>214</v>
      </c>
      <c r="B62" s="94" t="s">
        <v>215</v>
      </c>
      <c r="C62" s="95">
        <v>46115.0</v>
      </c>
      <c r="D62" s="117" t="s">
        <v>2974</v>
      </c>
      <c r="E62" s="104" t="s">
        <v>1748</v>
      </c>
      <c r="F62" s="161">
        <v>6.84</v>
      </c>
      <c r="G62" s="94" t="s">
        <v>51</v>
      </c>
      <c r="H62" s="94" t="s">
        <v>59</v>
      </c>
      <c r="I62" s="135" t="s">
        <v>1687</v>
      </c>
      <c r="J62" s="135" t="s">
        <v>1689</v>
      </c>
      <c r="K62" s="72">
        <f t="array" ref="K62">XLOOKUP(A:A,'MLP Data'!A:A, 'MLP Data'!B:B, "Not Found")</f>
        <v>46</v>
      </c>
      <c r="L62" s="72" t="str">
        <f t="array" ref="L62">XLOOKUP(A:A,'MLP Data'!A:A, 'MLP Data'!C:C, "Not Found")</f>
        <v>Excellent performance across all viva components with strong interpretation skills. Notebook is solid but can be more creative. To be industry-ready, continue refining documentation and develop business-oriented storytelling with insights.</v>
      </c>
      <c r="M62" s="72" t="str">
        <f t="array" ref="M62">XLOOKUP(A:A,'DLP Data'!A:A, 'DLP Data'!B:B, "Not Found")</f>
        <v>Not Found</v>
      </c>
      <c r="N62" s="72" t="str">
        <f t="array" ref="N62">XLOOKUP(A:A,'DLP Data'!A:A, 'DLP Data'!C:C, "Not Found")</f>
        <v>Not Found</v>
      </c>
      <c r="O62" s="94" t="str">
        <f t="array" ref="O62">IF(COUNTIFS(Summary!A:A,A62,Summary!L:L,"YES")&gt;0,"YES",
IFERROR(INDEX(Summary!L:L,MATCH(A62,Summary!A:A,0)),""))</f>
        <v/>
      </c>
      <c r="P62" s="94" t="s">
        <v>1842</v>
      </c>
    </row>
    <row r="63" ht="15.75" customHeight="1">
      <c r="A63" s="94" t="s">
        <v>672</v>
      </c>
      <c r="B63" s="94" t="s">
        <v>1704</v>
      </c>
      <c r="C63" s="95">
        <v>46115.0</v>
      </c>
      <c r="D63" s="166" t="s">
        <v>2578</v>
      </c>
      <c r="E63" s="104" t="s">
        <v>1748</v>
      </c>
      <c r="F63" s="161">
        <v>7.77</v>
      </c>
      <c r="G63" s="94" t="s">
        <v>51</v>
      </c>
      <c r="H63" s="94" t="s">
        <v>59</v>
      </c>
      <c r="I63" s="135" t="s">
        <v>1706</v>
      </c>
      <c r="J63" s="135" t="s">
        <v>1706</v>
      </c>
      <c r="K63" s="72" t="str">
        <f t="array" ref="K63">XLOOKUP(A:A,'MLP Data'!A:A, 'MLP Data'!B:B, "Not Found")</f>
        <v>Not Found</v>
      </c>
      <c r="L63" s="72" t="str">
        <f t="array" ref="L63">XLOOKUP(A:A,'MLP Data'!A:A, 'MLP Data'!C:C, "Not Found")</f>
        <v>Not Found</v>
      </c>
      <c r="M63" s="72" t="str">
        <f t="array" ref="M63">XLOOKUP(A:A,'DLP Data'!A:A, 'DLP Data'!B:B, "Not Found")</f>
        <v>Not Found</v>
      </c>
      <c r="N63" s="72" t="str">
        <f t="array" ref="N63">XLOOKUP(A:A,'DLP Data'!A:A, 'DLP Data'!C:C, "Not Found")</f>
        <v>Not Found</v>
      </c>
      <c r="O63" s="94" t="str">
        <f t="array" ref="O63">IF(COUNTIFS(Summary!A:A,A63,Summary!L:L,"YES")&gt;0,"YES",
IFERROR(INDEX(Summary!L:L,MATCH(A63,Summary!A:A,0)),""))</f>
        <v/>
      </c>
      <c r="P63" s="94" t="s">
        <v>1842</v>
      </c>
    </row>
    <row r="64" ht="15.75" customHeight="1">
      <c r="A64" s="94" t="s">
        <v>385</v>
      </c>
      <c r="B64" s="94" t="s">
        <v>1732</v>
      </c>
      <c r="C64" s="95">
        <v>46115.0</v>
      </c>
      <c r="D64" s="166" t="s">
        <v>2585</v>
      </c>
      <c r="E64" s="104" t="s">
        <v>1748</v>
      </c>
      <c r="F64" s="161">
        <v>8.24</v>
      </c>
      <c r="G64" s="94" t="s">
        <v>51</v>
      </c>
      <c r="H64" s="94" t="s">
        <v>59</v>
      </c>
      <c r="I64" s="135" t="s">
        <v>1734</v>
      </c>
      <c r="J64" s="135" t="s">
        <v>1736</v>
      </c>
      <c r="K64" s="72" t="str">
        <f t="array" ref="K64">XLOOKUP(A:A,'MLP Data'!A:A, 'MLP Data'!B:B, "Not Found")</f>
        <v>Not Found</v>
      </c>
      <c r="L64" s="72" t="str">
        <f t="array" ref="L64">XLOOKUP(A:A,'MLP Data'!A:A, 'MLP Data'!C:C, "Not Found")</f>
        <v>Not Found</v>
      </c>
      <c r="M64" s="72" t="str">
        <f t="array" ref="M64">XLOOKUP(A:A,'DLP Data'!A:A, 'DLP Data'!B:B, "Not Found")</f>
        <v>Not Found</v>
      </c>
      <c r="N64" s="72" t="str">
        <f t="array" ref="N64">XLOOKUP(A:A,'DLP Data'!A:A, 'DLP Data'!C:C, "Not Found")</f>
        <v>Not Found</v>
      </c>
      <c r="O64" s="94" t="str">
        <f t="array" ref="O64">IF(COUNTIFS(Summary!A:A,A64,Summary!L:L,"YES")&gt;0,"YES",
IFERROR(INDEX(Summary!L:L,MATCH(A64,Summary!A:A,0)),""))</f>
        <v/>
      </c>
      <c r="P64" s="94" t="s">
        <v>1842</v>
      </c>
    </row>
    <row r="65" ht="15.75" customHeight="1">
      <c r="A65" s="94" t="s">
        <v>113</v>
      </c>
      <c r="B65" s="94" t="s">
        <v>115</v>
      </c>
      <c r="C65" s="95">
        <v>46115.0</v>
      </c>
      <c r="D65" s="117" t="s">
        <v>3164</v>
      </c>
      <c r="E65" s="104" t="s">
        <v>1770</v>
      </c>
      <c r="F65" s="161">
        <v>7.45</v>
      </c>
      <c r="G65" s="94" t="s">
        <v>51</v>
      </c>
      <c r="H65" s="94" t="s">
        <v>59</v>
      </c>
      <c r="I65" s="135" t="s">
        <v>1602</v>
      </c>
      <c r="J65" s="135" t="s">
        <v>440</v>
      </c>
      <c r="K65" s="72" t="str">
        <f t="array" ref="K65">XLOOKUP(A:A,'MLP Data'!A:A, 'MLP Data'!B:B, "Not Found")</f>
        <v>Not Found</v>
      </c>
      <c r="L65" s="72" t="str">
        <f t="array" ref="L65">XLOOKUP(A:A,'MLP Data'!A:A, 'MLP Data'!C:C, "Not Found")</f>
        <v>Not Found</v>
      </c>
      <c r="M65" s="72" t="str">
        <f t="array" ref="M65">XLOOKUP(A:A,'DLP Data'!A:A, 'DLP Data'!B:B, "Not Found")</f>
        <v>Not Found</v>
      </c>
      <c r="N65" s="72" t="str">
        <f t="array" ref="N65">XLOOKUP(A:A,'DLP Data'!A:A, 'DLP Data'!C:C, "Not Found")</f>
        <v>Not Found</v>
      </c>
      <c r="O65" s="94" t="str">
        <f t="array" ref="O65">IF(COUNTIFS(Summary!A:A,A65,Summary!L:L,"YES")&gt;0,"YES",
IFERROR(INDEX(Summary!L:L,MATCH(A65,Summary!A:A,0)),""))</f>
        <v/>
      </c>
      <c r="P65" s="94" t="s">
        <v>3217</v>
      </c>
    </row>
    <row r="66" ht="15.75" customHeight="1">
      <c r="A66" s="94" t="s">
        <v>217</v>
      </c>
      <c r="B66" s="94" t="s">
        <v>1645</v>
      </c>
      <c r="C66" s="95">
        <v>46115.0</v>
      </c>
      <c r="D66" s="117" t="s">
        <v>3222</v>
      </c>
      <c r="E66" s="104" t="s">
        <v>1770</v>
      </c>
      <c r="F66" s="161">
        <v>8.84</v>
      </c>
      <c r="G66" s="94" t="s">
        <v>51</v>
      </c>
      <c r="H66" s="94" t="s">
        <v>59</v>
      </c>
      <c r="I66" s="135" t="s">
        <v>1646</v>
      </c>
      <c r="J66" s="135" t="s">
        <v>1648</v>
      </c>
      <c r="K66" s="72" t="str">
        <f t="array" ref="K66">XLOOKUP(A:A,'MLP Data'!A:A, 'MLP Data'!B:B, "Not Found")</f>
        <v>Not Found</v>
      </c>
      <c r="L66" s="72" t="str">
        <f t="array" ref="L66">XLOOKUP(A:A,'MLP Data'!A:A, 'MLP Data'!C:C, "Not Found")</f>
        <v>Not Found</v>
      </c>
      <c r="M66" s="72" t="str">
        <f t="array" ref="M66">XLOOKUP(A:A,'DLP Data'!A:A, 'DLP Data'!B:B, "Not Found")</f>
        <v>Not Found</v>
      </c>
      <c r="N66" s="72" t="str">
        <f t="array" ref="N66">XLOOKUP(A:A,'DLP Data'!A:A, 'DLP Data'!C:C, "Not Found")</f>
        <v>Not Found</v>
      </c>
      <c r="O66" s="94" t="str">
        <f t="array" ref="O66">IF(COUNTIFS(Summary!A:A,A66,Summary!L:L,"YES")&gt;0,"YES",
IFERROR(INDEX(Summary!L:L,MATCH(A66,Summary!A:A,0)),""))</f>
        <v/>
      </c>
      <c r="P66" s="94" t="s">
        <v>1842</v>
      </c>
    </row>
    <row r="67" ht="15.75" customHeight="1">
      <c r="A67" s="94" t="s">
        <v>961</v>
      </c>
      <c r="B67" s="94" t="s">
        <v>962</v>
      </c>
      <c r="C67" s="95">
        <v>46115.0</v>
      </c>
      <c r="D67" s="117" t="s">
        <v>3164</v>
      </c>
      <c r="E67" s="104" t="s">
        <v>1752</v>
      </c>
      <c r="F67" s="161">
        <v>8.43</v>
      </c>
      <c r="G67" s="94" t="s">
        <v>603</v>
      </c>
      <c r="H67" s="94" t="s">
        <v>59</v>
      </c>
      <c r="I67" s="135" t="s">
        <v>1576</v>
      </c>
      <c r="J67" s="135" t="s">
        <v>1579</v>
      </c>
      <c r="K67" s="72">
        <f t="array" ref="K67">XLOOKUP(A:A,'MLP Data'!A:A, 'MLP Data'!B:B, "Not Found")</f>
        <v>28</v>
      </c>
      <c r="L67" s="72" t="str">
        <f t="array" ref="L67">XLOOKUP(A:A,'MLP Data'!A:A, 'MLP Data'!C:C, "Not Found")</f>
        <v>1.Work on communication skill.
2.Work on feature engineering with statistical analysis.
3.Work on the outlier analysis.
4.Work on heat map analysis.</v>
      </c>
      <c r="M67" s="72" t="str">
        <f t="array" ref="M67">XLOOKUP(A:A,'DLP Data'!A:A, 'DLP Data'!B:B, "Not Found")</f>
        <v>Not Found</v>
      </c>
      <c r="N67" s="72" t="str">
        <f t="array" ref="N67">XLOOKUP(A:A,'DLP Data'!A:A, 'DLP Data'!C:C, "Not Found")</f>
        <v>Not Found</v>
      </c>
      <c r="O67" s="94" t="str">
        <f t="array" ref="O67">IF(COUNTIFS(Summary!A:A,A67,Summary!L:L,"YES")&gt;0,"YES",
IFERROR(INDEX(Summary!L:L,MATCH(A67,Summary!A:A,0)),""))</f>
        <v/>
      </c>
      <c r="P67" s="94" t="s">
        <v>1842</v>
      </c>
    </row>
    <row r="68" ht="15.75" customHeight="1">
      <c r="A68" s="94" t="s">
        <v>368</v>
      </c>
      <c r="B68" s="94" t="s">
        <v>371</v>
      </c>
      <c r="C68" s="95">
        <v>46115.0</v>
      </c>
      <c r="D68" s="117" t="s">
        <v>3222</v>
      </c>
      <c r="E68" s="104" t="s">
        <v>1752</v>
      </c>
      <c r="F68" s="161">
        <v>7.19</v>
      </c>
      <c r="G68" s="94" t="s">
        <v>603</v>
      </c>
      <c r="H68" s="94" t="s">
        <v>59</v>
      </c>
      <c r="I68" s="135" t="s">
        <v>1566</v>
      </c>
      <c r="J68" s="135" t="s">
        <v>1569</v>
      </c>
      <c r="K68" s="72" t="str">
        <f t="array" ref="K68">XLOOKUP(A:A,'MLP Data'!A:A, 'MLP Data'!B:B, "Not Found")</f>
        <v>Not Found</v>
      </c>
      <c r="L68" s="72" t="str">
        <f t="array" ref="L68">XLOOKUP(A:A,'MLP Data'!A:A, 'MLP Data'!C:C, "Not Found")</f>
        <v>Not Found</v>
      </c>
      <c r="M68" s="72" t="str">
        <f t="array" ref="M68">XLOOKUP(A:A,'DLP Data'!A:A, 'DLP Data'!B:B, "Not Found")</f>
        <v>Not Found</v>
      </c>
      <c r="N68" s="72" t="str">
        <f t="array" ref="N68">XLOOKUP(A:A,'DLP Data'!A:A, 'DLP Data'!C:C, "Not Found")</f>
        <v>Not Found</v>
      </c>
      <c r="O68" s="94" t="str">
        <f t="array" ref="O68">IF(COUNTIFS(Summary!A:A,A68,Summary!L:L,"YES")&gt;0,"YES",
IFERROR(INDEX(Summary!L:L,MATCH(A68,Summary!A:A,0)),""))</f>
        <v/>
      </c>
      <c r="P68" s="94" t="s">
        <v>1842</v>
      </c>
    </row>
    <row r="69" ht="15.75" customHeight="1">
      <c r="A69" s="94" t="s">
        <v>1095</v>
      </c>
      <c r="B69" s="94" t="s">
        <v>1097</v>
      </c>
      <c r="C69" s="95">
        <v>46115.0</v>
      </c>
      <c r="D69" s="117" t="s">
        <v>3385</v>
      </c>
      <c r="E69" s="104" t="s">
        <v>1752</v>
      </c>
      <c r="F69" s="161">
        <v>7.22</v>
      </c>
      <c r="G69" s="94" t="s">
        <v>603</v>
      </c>
      <c r="H69" s="94" t="s">
        <v>59</v>
      </c>
      <c r="I69" s="135" t="s">
        <v>1543</v>
      </c>
      <c r="J69" s="135" t="s">
        <v>1545</v>
      </c>
      <c r="K69" s="72" t="str">
        <f t="array" ref="K69">XLOOKUP(A:A,'MLP Data'!A:A, 'MLP Data'!B:B, "Not Found")</f>
        <v>Not Found</v>
      </c>
      <c r="L69" s="72" t="str">
        <f t="array" ref="L69">XLOOKUP(A:A,'MLP Data'!A:A, 'MLP Data'!C:C, "Not Found")</f>
        <v>Not Found</v>
      </c>
      <c r="M69" s="72" t="str">
        <f t="array" ref="M69">XLOOKUP(A:A,'DLP Data'!A:A, 'DLP Data'!B:B, "Not Found")</f>
        <v>Not Found</v>
      </c>
      <c r="N69" s="72" t="str">
        <f t="array" ref="N69">XLOOKUP(A:A,'DLP Data'!A:A, 'DLP Data'!C:C, "Not Found")</f>
        <v>Not Found</v>
      </c>
      <c r="O69" s="94" t="str">
        <f t="array" ref="O69">IF(COUNTIFS(Summary!A:A,A69,Summary!L:L,"YES")&gt;0,"YES",
IFERROR(INDEX(Summary!L:L,MATCH(A69,Summary!A:A,0)),""))</f>
        <v/>
      </c>
      <c r="P69" s="94" t="s">
        <v>1842</v>
      </c>
    </row>
    <row r="70" ht="15.75" customHeight="1">
      <c r="A70" s="94" t="s">
        <v>485</v>
      </c>
      <c r="B70" s="94" t="s">
        <v>486</v>
      </c>
      <c r="C70" s="95">
        <v>46115.0</v>
      </c>
      <c r="D70" s="117" t="s">
        <v>3433</v>
      </c>
      <c r="E70" s="104" t="s">
        <v>1752</v>
      </c>
      <c r="F70" s="161">
        <v>6.88</v>
      </c>
      <c r="G70" s="94" t="s">
        <v>603</v>
      </c>
      <c r="H70" s="94" t="s">
        <v>59</v>
      </c>
      <c r="I70" s="135" t="s">
        <v>1553</v>
      </c>
      <c r="J70" s="135" t="s">
        <v>1557</v>
      </c>
      <c r="K70" s="72" t="str">
        <f t="array" ref="K70">XLOOKUP(A:A,'MLP Data'!A:A, 'MLP Data'!B:B, "Not Found")</f>
        <v>Not Found</v>
      </c>
      <c r="L70" s="72" t="str">
        <f t="array" ref="L70">XLOOKUP(A:A,'MLP Data'!A:A, 'MLP Data'!C:C, "Not Found")</f>
        <v>Not Found</v>
      </c>
      <c r="M70" s="72" t="str">
        <f t="array" ref="M70">XLOOKUP(A:A,'DLP Data'!A:A, 'DLP Data'!B:B, "Not Found")</f>
        <v>Not Found</v>
      </c>
      <c r="N70" s="72" t="str">
        <f t="array" ref="N70">XLOOKUP(A:A,'DLP Data'!A:A, 'DLP Data'!C:C, "Not Found")</f>
        <v>Not Found</v>
      </c>
      <c r="O70" s="94" t="str">
        <f t="array" ref="O70">IF(COUNTIFS(Summary!A:A,A70,Summary!L:L,"YES")&gt;0,"YES",
IFERROR(INDEX(Summary!L:L,MATCH(A70,Summary!A:A,0)),""))</f>
        <v/>
      </c>
      <c r="P70" s="94" t="s">
        <v>1842</v>
      </c>
    </row>
    <row r="71" ht="15.75" customHeight="1">
      <c r="A71" s="94" t="s">
        <v>96</v>
      </c>
      <c r="B71" s="93" t="s">
        <v>2323</v>
      </c>
      <c r="C71" s="140">
        <v>46056.0</v>
      </c>
      <c r="D71" s="117" t="s">
        <v>3385</v>
      </c>
      <c r="E71" s="104" t="s">
        <v>1756</v>
      </c>
      <c r="F71" s="94">
        <v>9.47</v>
      </c>
      <c r="G71" s="93" t="s">
        <v>603</v>
      </c>
      <c r="H71" s="93" t="s">
        <v>2044</v>
      </c>
      <c r="I71" s="143" t="s">
        <v>3484</v>
      </c>
      <c r="J71" s="143" t="s">
        <v>3490</v>
      </c>
      <c r="K71" s="72" t="str">
        <f t="array" ref="K71">XLOOKUP(A:A,'MLP Data'!A:A, 'MLP Data'!B:B, "Not Found")</f>
        <v>Not Found</v>
      </c>
      <c r="L71" s="72" t="str">
        <f t="array" ref="L71">XLOOKUP(A:A,'MLP Data'!A:A, 'MLP Data'!C:C, "Not Found")</f>
        <v>Not Found</v>
      </c>
      <c r="M71" s="72" t="str">
        <f t="array" ref="M71">XLOOKUP(A:A,'DLP Data'!A:A, 'DLP Data'!B:B, "Not Found")</f>
        <v>Not Found</v>
      </c>
      <c r="N71" s="72" t="str">
        <f t="array" ref="N71">XLOOKUP(A:A,'DLP Data'!A:A, 'DLP Data'!C:C, "Not Found")</f>
        <v>Not Found</v>
      </c>
      <c r="O71" s="94" t="str">
        <f t="array" ref="O71">IF(COUNTIFS(Summary!A:A,A71,Summary!L:L,"YES")&gt;0,"YES",
IFERROR(INDEX(Summary!L:L,MATCH(A71,Summary!A:A,0)),""))</f>
        <v/>
      </c>
      <c r="P71" s="94" t="s">
        <v>1833</v>
      </c>
    </row>
    <row r="72" ht="15.75" customHeight="1">
      <c r="A72" s="94" t="s">
        <v>137</v>
      </c>
      <c r="B72" s="94" t="s">
        <v>138</v>
      </c>
      <c r="C72" s="95">
        <v>46115.0</v>
      </c>
      <c r="D72" s="117" t="s">
        <v>3433</v>
      </c>
      <c r="E72" s="104" t="s">
        <v>1756</v>
      </c>
      <c r="F72" s="161">
        <v>7.51</v>
      </c>
      <c r="G72" s="94" t="s">
        <v>603</v>
      </c>
      <c r="H72" s="94" t="s">
        <v>59</v>
      </c>
      <c r="I72" s="135" t="s">
        <v>1850</v>
      </c>
      <c r="J72" s="135" t="s">
        <v>1854</v>
      </c>
      <c r="K72" s="72">
        <f t="array" ref="K72">XLOOKUP(A:A,'MLP Data'!A:A, 'MLP Data'!B:B, "Not Found")</f>
        <v>40.5</v>
      </c>
      <c r="L72" s="72" t="str">
        <f t="array" ref="L72">XLOOKUP(A:A,'MLP Data'!A:A, 'MLP Data'!C:C, "Not Found")</f>
        <v>LGBM + Rule base model is good</v>
      </c>
      <c r="M72" s="72" t="str">
        <f t="array" ref="M72">XLOOKUP(A:A,'DLP Data'!A:A, 'DLP Data'!B:B, "Not Found")</f>
        <v>Not Found</v>
      </c>
      <c r="N72" s="72" t="str">
        <f t="array" ref="N72">XLOOKUP(A:A,'DLP Data'!A:A, 'DLP Data'!C:C, "Not Found")</f>
        <v>Not Found</v>
      </c>
      <c r="O72" s="94" t="str">
        <f t="array" ref="O72">IF(COUNTIFS(Summary!A:A,A72,Summary!L:L,"YES")&gt;0,"YES",
IFERROR(INDEX(Summary!L:L,MATCH(A72,Summary!A:A,0)),""))</f>
        <v/>
      </c>
      <c r="P72" s="94" t="s">
        <v>1842</v>
      </c>
    </row>
    <row r="73" ht="15.75" customHeight="1">
      <c r="A73" s="94" t="s">
        <v>1370</v>
      </c>
      <c r="B73" s="94" t="s">
        <v>1651</v>
      </c>
      <c r="C73" s="95">
        <v>46115.0</v>
      </c>
      <c r="D73" s="117" t="s">
        <v>3568</v>
      </c>
      <c r="E73" s="104" t="s">
        <v>1780</v>
      </c>
      <c r="F73" s="161">
        <v>7.6</v>
      </c>
      <c r="G73" s="94" t="s">
        <v>51</v>
      </c>
      <c r="H73" s="94" t="s">
        <v>59</v>
      </c>
      <c r="I73" s="135" t="s">
        <v>1653</v>
      </c>
      <c r="J73" s="135" t="s">
        <v>3581</v>
      </c>
      <c r="K73" s="72" t="str">
        <f t="array" ref="K73">XLOOKUP(A:A,'MLP Data'!A:A, 'MLP Data'!B:B, "Not Found")</f>
        <v>Not Found</v>
      </c>
      <c r="L73" s="72" t="str">
        <f t="array" ref="L73">XLOOKUP(A:A,'MLP Data'!A:A, 'MLP Data'!C:C, "Not Found")</f>
        <v>Not Found</v>
      </c>
      <c r="M73" s="72" t="str">
        <f t="array" ref="M73">XLOOKUP(A:A,'DLP Data'!A:A, 'DLP Data'!B:B, "Not Found")</f>
        <v>Not Found</v>
      </c>
      <c r="N73" s="72" t="str">
        <f t="array" ref="N73">XLOOKUP(A:A,'DLP Data'!A:A, 'DLP Data'!C:C, "Not Found")</f>
        <v>Not Found</v>
      </c>
      <c r="O73" s="94" t="str">
        <f t="array" ref="O73">IF(COUNTIFS(Summary!A:A,A73,Summary!L:L,"YES")&gt;0,"YES",
IFERROR(INDEX(Summary!L:L,MATCH(A73,Summary!A:A,0)),""))</f>
        <v/>
      </c>
      <c r="P73" s="94" t="s">
        <v>1842</v>
      </c>
    </row>
    <row r="74" ht="15.75" customHeight="1">
      <c r="A74" s="94" t="s">
        <v>267</v>
      </c>
      <c r="B74" s="94" t="s">
        <v>265</v>
      </c>
      <c r="C74" s="95">
        <v>46115.0</v>
      </c>
      <c r="D74" s="117" t="s">
        <v>3628</v>
      </c>
      <c r="E74" s="104" t="s">
        <v>1780</v>
      </c>
      <c r="F74" s="161">
        <v>7.44</v>
      </c>
      <c r="G74" s="94" t="s">
        <v>51</v>
      </c>
      <c r="H74" s="94" t="s">
        <v>59</v>
      </c>
      <c r="I74" s="135" t="s">
        <v>270</v>
      </c>
      <c r="J74" s="135" t="s">
        <v>273</v>
      </c>
      <c r="K74" s="72" t="str">
        <f t="array" ref="K74">XLOOKUP(A:A,'MLP Data'!A:A, 'MLP Data'!B:B, "Not Found")</f>
        <v>Not Found</v>
      </c>
      <c r="L74" s="72" t="str">
        <f t="array" ref="L74">XLOOKUP(A:A,'MLP Data'!A:A, 'MLP Data'!C:C, "Not Found")</f>
        <v>Not Found</v>
      </c>
      <c r="M74" s="72" t="str">
        <f t="array" ref="M74">XLOOKUP(A:A,'DLP Data'!A:A, 'DLP Data'!B:B, "Not Found")</f>
        <v>Not Found</v>
      </c>
      <c r="N74" s="72" t="str">
        <f t="array" ref="N74">XLOOKUP(A:A,'DLP Data'!A:A, 'DLP Data'!C:C, "Not Found")</f>
        <v>Not Found</v>
      </c>
      <c r="O74" s="94" t="str">
        <f t="array" ref="O74">IF(COUNTIFS(Summary!A:A,A74,Summary!L:L,"YES")&gt;0,"YES",
IFERROR(INDEX(Summary!L:L,MATCH(A74,Summary!A:A,0)),""))</f>
        <v/>
      </c>
      <c r="P74" s="171"/>
    </row>
    <row r="75" ht="15.75" customHeight="1">
      <c r="A75" s="94" t="s">
        <v>782</v>
      </c>
      <c r="B75" s="94" t="s">
        <v>783</v>
      </c>
      <c r="C75" s="95">
        <v>46145.0</v>
      </c>
      <c r="D75" s="96" t="s">
        <v>2928</v>
      </c>
      <c r="E75" s="104" t="s">
        <v>1748</v>
      </c>
      <c r="F75" s="161">
        <v>7.28</v>
      </c>
      <c r="G75" s="94" t="s">
        <v>51</v>
      </c>
      <c r="H75" s="94" t="s">
        <v>49</v>
      </c>
      <c r="I75" s="98" t="s">
        <v>848</v>
      </c>
      <c r="J75" s="98" t="s">
        <v>854</v>
      </c>
      <c r="K75" s="72" t="str">
        <f t="array" ref="K75">XLOOKUP(A:A,'MLP Data'!A:A, 'MLP Data'!B:B, "Not Found")</f>
        <v>Not Found</v>
      </c>
      <c r="L75" s="72" t="str">
        <f t="array" ref="L75">XLOOKUP(A:A,'MLP Data'!A:A, 'MLP Data'!C:C, "Not Found")</f>
        <v>Not Found</v>
      </c>
      <c r="M75" s="72" t="str">
        <f t="array" ref="M75">XLOOKUP(A:A,'DLP Data'!A:A, 'DLP Data'!B:B, "Not Found")</f>
        <v>Not Found</v>
      </c>
      <c r="N75" s="72" t="str">
        <f t="array" ref="N75">XLOOKUP(A:A,'DLP Data'!A:A, 'DLP Data'!C:C, "Not Found")</f>
        <v>Not Found</v>
      </c>
      <c r="O75" s="94" t="str">
        <f t="array" ref="O75">IF(COUNTIFS(Summary!A:A,A75,Summary!L:L,"YES")&gt;0,"YES",
IFERROR(INDEX(Summary!L:L,MATCH(A75,Summary!A:A,0)),""))</f>
        <v/>
      </c>
      <c r="P75" s="171"/>
    </row>
    <row r="76" ht="15.75" customHeight="1">
      <c r="A76" s="94" t="s">
        <v>852</v>
      </c>
      <c r="B76" s="94" t="s">
        <v>853</v>
      </c>
      <c r="C76" s="95">
        <v>46145.0</v>
      </c>
      <c r="D76" s="96" t="s">
        <v>2974</v>
      </c>
      <c r="E76" s="104" t="s">
        <v>1748</v>
      </c>
      <c r="F76" s="161">
        <v>8.84</v>
      </c>
      <c r="G76" s="94" t="s">
        <v>51</v>
      </c>
      <c r="H76" s="94" t="s">
        <v>49</v>
      </c>
      <c r="I76" s="98" t="s">
        <v>1819</v>
      </c>
      <c r="J76" s="135" t="s">
        <v>1821</v>
      </c>
      <c r="K76" s="72" t="str">
        <f t="array" ref="K76">XLOOKUP(A:A,'MLP Data'!A:A, 'MLP Data'!B:B, "Not Found")</f>
        <v>Not Found</v>
      </c>
      <c r="L76" s="72" t="str">
        <f t="array" ref="L76">XLOOKUP(A:A,'MLP Data'!A:A, 'MLP Data'!C:C, "Not Found")</f>
        <v>Not Found</v>
      </c>
      <c r="M76" s="72" t="str">
        <f t="array" ref="M76">XLOOKUP(A:A,'DLP Data'!A:A, 'DLP Data'!B:B, "Not Found")</f>
        <v>Not Found</v>
      </c>
      <c r="N76" s="72" t="str">
        <f t="array" ref="N76">XLOOKUP(A:A,'DLP Data'!A:A, 'DLP Data'!C:C, "Not Found")</f>
        <v>Not Found</v>
      </c>
      <c r="O76" s="94" t="str">
        <f t="array" ref="O76">IF(COUNTIFS(Summary!A:A,A76,Summary!L:L,"YES")&gt;0,"YES",
IFERROR(INDEX(Summary!L:L,MATCH(A76,Summary!A:A,0)),""))</f>
        <v/>
      </c>
      <c r="P76" s="171"/>
    </row>
    <row r="77" ht="15.75" customHeight="1">
      <c r="A77" s="94" t="s">
        <v>1439</v>
      </c>
      <c r="B77" s="94" t="s">
        <v>1440</v>
      </c>
      <c r="C77" s="95">
        <v>46145.0</v>
      </c>
      <c r="D77" s="96" t="s">
        <v>3743</v>
      </c>
      <c r="E77" s="104" t="s">
        <v>1748</v>
      </c>
      <c r="F77" s="161">
        <v>7.45</v>
      </c>
      <c r="G77" s="94" t="s">
        <v>51</v>
      </c>
      <c r="H77" s="94" t="s">
        <v>49</v>
      </c>
      <c r="I77" s="98" t="s">
        <v>1814</v>
      </c>
      <c r="J77" s="135" t="s">
        <v>1815</v>
      </c>
      <c r="K77" s="72" t="str">
        <f t="array" ref="K77">XLOOKUP(A:A,'MLP Data'!A:A, 'MLP Data'!B:B, "Not Found")</f>
        <v>Not Found</v>
      </c>
      <c r="L77" s="72" t="str">
        <f t="array" ref="L77">XLOOKUP(A:A,'MLP Data'!A:A, 'MLP Data'!C:C, "Not Found")</f>
        <v>Not Found</v>
      </c>
      <c r="M77" s="72" t="str">
        <f t="array" ref="M77">XLOOKUP(A:A,'DLP Data'!A:A, 'DLP Data'!B:B, "Not Found")</f>
        <v>Not Found</v>
      </c>
      <c r="N77" s="72" t="str">
        <f t="array" ref="N77">XLOOKUP(A:A,'DLP Data'!A:A, 'DLP Data'!C:C, "Not Found")</f>
        <v>Not Found</v>
      </c>
      <c r="O77" s="94" t="str">
        <f t="array" ref="O77">IF(COUNTIFS(Summary!A:A,A77,Summary!L:L,"YES")&gt;0,"YES",
IFERROR(INDEX(Summary!L:L,MATCH(A77,Summary!A:A,0)),""))</f>
        <v/>
      </c>
      <c r="P77" s="94" t="s">
        <v>1842</v>
      </c>
    </row>
    <row r="78" ht="15.75" customHeight="1">
      <c r="A78" s="94" t="s">
        <v>239</v>
      </c>
      <c r="B78" s="94" t="s">
        <v>238</v>
      </c>
      <c r="C78" s="95">
        <v>46145.0</v>
      </c>
      <c r="D78" s="96" t="s">
        <v>3780</v>
      </c>
      <c r="E78" s="104" t="s">
        <v>1748</v>
      </c>
      <c r="F78" s="161">
        <v>8.47</v>
      </c>
      <c r="G78" s="94" t="s">
        <v>51</v>
      </c>
      <c r="H78" s="94" t="s">
        <v>49</v>
      </c>
      <c r="I78" s="98" t="s">
        <v>1696</v>
      </c>
      <c r="J78" s="135" t="s">
        <v>1698</v>
      </c>
      <c r="K78" s="72" t="str">
        <f t="array" ref="K78">XLOOKUP(A:A,'MLP Data'!A:A, 'MLP Data'!B:B, "Not Found")</f>
        <v>Not Found</v>
      </c>
      <c r="L78" s="72" t="str">
        <f t="array" ref="L78">XLOOKUP(A:A,'MLP Data'!A:A, 'MLP Data'!C:C, "Not Found")</f>
        <v>Not Found</v>
      </c>
      <c r="M78" s="72" t="str">
        <f t="array" ref="M78">XLOOKUP(A:A,'DLP Data'!A:A, 'DLP Data'!B:B, "Not Found")</f>
        <v>Not Found</v>
      </c>
      <c r="N78" s="72" t="str">
        <f t="array" ref="N78">XLOOKUP(A:A,'DLP Data'!A:A, 'DLP Data'!C:C, "Not Found")</f>
        <v>Not Found</v>
      </c>
      <c r="O78" s="94" t="str">
        <f t="array" ref="O78">IF(COUNTIFS(Summary!A:A,A78,Summary!L:L,"YES")&gt;0,"YES",
IFERROR(INDEX(Summary!L:L,MATCH(A78,Summary!A:A,0)),""))</f>
        <v/>
      </c>
      <c r="P78" s="171"/>
    </row>
    <row r="79" ht="15.75" customHeight="1">
      <c r="A79" s="94" t="s">
        <v>1341</v>
      </c>
      <c r="B79" s="94" t="s">
        <v>1671</v>
      </c>
      <c r="C79" s="95">
        <v>46145.0</v>
      </c>
      <c r="D79" s="96" t="s">
        <v>3814</v>
      </c>
      <c r="E79" s="97" t="s">
        <v>1787</v>
      </c>
      <c r="F79" s="161">
        <v>7.15</v>
      </c>
      <c r="G79" s="94" t="s">
        <v>51</v>
      </c>
      <c r="H79" s="94" t="s">
        <v>49</v>
      </c>
      <c r="I79" s="98" t="s">
        <v>1673</v>
      </c>
      <c r="J79" s="135" t="s">
        <v>1675</v>
      </c>
      <c r="K79" s="72" t="str">
        <f t="array" ref="K79">XLOOKUP(A:A,'MLP Data'!A:A, 'MLP Data'!B:B, "Not Found")</f>
        <v>Not Found</v>
      </c>
      <c r="L79" s="72" t="str">
        <f t="array" ref="L79">XLOOKUP(A:A,'MLP Data'!A:A, 'MLP Data'!C:C, "Not Found")</f>
        <v>Not Found</v>
      </c>
      <c r="M79" s="72" t="str">
        <f t="array" ref="M79">XLOOKUP(A:A,'DLP Data'!A:A, 'DLP Data'!B:B, "Not Found")</f>
        <v>Not Found</v>
      </c>
      <c r="N79" s="72" t="str">
        <f t="array" ref="N79">XLOOKUP(A:A,'DLP Data'!A:A, 'DLP Data'!C:C, "Not Found")</f>
        <v>Not Found</v>
      </c>
      <c r="O79" s="94" t="str">
        <f t="array" ref="O79">IF(COUNTIFS(Summary!A:A,A79,Summary!L:L,"YES")&gt;0,"YES",
IFERROR(INDEX(Summary!L:L,MATCH(A79,Summary!A:A,0)),""))</f>
        <v/>
      </c>
      <c r="P79" s="94" t="s">
        <v>1842</v>
      </c>
    </row>
    <row r="80" ht="15.75" customHeight="1">
      <c r="A80" s="94" t="s">
        <v>1030</v>
      </c>
      <c r="B80" s="94" t="s">
        <v>1508</v>
      </c>
      <c r="C80" s="95">
        <v>46145.0</v>
      </c>
      <c r="D80" s="96" t="s">
        <v>3858</v>
      </c>
      <c r="E80" s="97" t="s">
        <v>1787</v>
      </c>
      <c r="F80" s="161">
        <v>6.4</v>
      </c>
      <c r="G80" s="94" t="s">
        <v>51</v>
      </c>
      <c r="H80" s="94" t="s">
        <v>49</v>
      </c>
      <c r="I80" s="98" t="s">
        <v>1510</v>
      </c>
      <c r="J80" s="135" t="s">
        <v>1514</v>
      </c>
      <c r="K80" s="72" t="str">
        <f t="array" ref="K80">XLOOKUP(A:A,'MLP Data'!A:A, 'MLP Data'!B:B, "Not Found")</f>
        <v>Not Found</v>
      </c>
      <c r="L80" s="72" t="str">
        <f t="array" ref="L80">XLOOKUP(A:A,'MLP Data'!A:A, 'MLP Data'!C:C, "Not Found")</f>
        <v>Not Found</v>
      </c>
      <c r="M80" s="72">
        <f t="array" ref="M80">XLOOKUP(A:A,'DLP Data'!A:A, 'DLP Data'!B:B, "Not Found")</f>
        <v>60</v>
      </c>
      <c r="N80" s="72" t="str">
        <f t="array" ref="N80">XLOOKUP(A:A,'DLP Data'!A:A, 'DLP Data'!C:C, "Not Found")</f>
        <v>The student needs to explore all three components, text, speech, and image, in greater depth to build a more comprehensive understanding.</v>
      </c>
      <c r="O80" s="94" t="str">
        <f t="array" ref="O80">IF(COUNTIFS(Summary!A:A,A80,Summary!L:L,"YES")&gt;0,"YES",
IFERROR(INDEX(Summary!L:L,MATCH(A80,Summary!A:A,0)),""))</f>
        <v/>
      </c>
      <c r="P80" s="94" t="s">
        <v>3907</v>
      </c>
    </row>
    <row r="81" ht="15.75" customHeight="1">
      <c r="A81" s="94" t="s">
        <v>1164</v>
      </c>
      <c r="B81" s="94" t="s">
        <v>1511</v>
      </c>
      <c r="C81" s="95">
        <v>46176.0</v>
      </c>
      <c r="D81" s="96" t="s">
        <v>3743</v>
      </c>
      <c r="E81" s="104" t="s">
        <v>1748</v>
      </c>
      <c r="F81" s="161">
        <v>7.63</v>
      </c>
      <c r="G81" s="94" t="s">
        <v>51</v>
      </c>
      <c r="H81" s="94" t="s">
        <v>49</v>
      </c>
      <c r="I81" s="98" t="s">
        <v>1513</v>
      </c>
      <c r="J81" s="98" t="s">
        <v>1516</v>
      </c>
      <c r="K81" s="72" t="str">
        <f t="array" ref="K81">XLOOKUP(A:A,'MLP Data'!A:A, 'MLP Data'!B:B, "Not Found")</f>
        <v>Not Found</v>
      </c>
      <c r="L81" s="72" t="str">
        <f t="array" ref="L81">XLOOKUP(A:A,'MLP Data'!A:A, 'MLP Data'!C:C, "Not Found")</f>
        <v>Not Found</v>
      </c>
      <c r="M81" s="72" t="str">
        <f t="array" ref="M81">XLOOKUP(A:A,'DLP Data'!A:A, 'DLP Data'!B:B, "Not Found")</f>
        <v>Not Found</v>
      </c>
      <c r="N81" s="72" t="str">
        <f t="array" ref="N81">XLOOKUP(A:A,'DLP Data'!A:A, 'DLP Data'!C:C, "Not Found")</f>
        <v>Not Found</v>
      </c>
      <c r="O81" s="94" t="str">
        <f t="array" ref="O81">IF(COUNTIFS(Summary!A:A,A81,Summary!L:L,"YES")&gt;0,"YES",
IFERROR(INDEX(Summary!L:L,MATCH(A81,Summary!A:A,0)),""))</f>
        <v/>
      </c>
      <c r="P81" s="94" t="s">
        <v>1842</v>
      </c>
    </row>
    <row r="82" ht="15.75" customHeight="1">
      <c r="A82" s="94" t="s">
        <v>32</v>
      </c>
      <c r="B82" s="94" t="s">
        <v>2456</v>
      </c>
      <c r="C82" s="95">
        <v>46176.0</v>
      </c>
      <c r="D82" s="96" t="s">
        <v>3164</v>
      </c>
      <c r="E82" s="97" t="s">
        <v>3961</v>
      </c>
      <c r="F82" s="161">
        <v>9.41</v>
      </c>
      <c r="G82" s="94" t="s">
        <v>51</v>
      </c>
      <c r="H82" s="94" t="s">
        <v>59</v>
      </c>
      <c r="I82" s="98" t="s">
        <v>3966</v>
      </c>
      <c r="J82" s="98" t="s">
        <v>3977</v>
      </c>
      <c r="K82" s="72" t="str">
        <f t="array" ref="K82">XLOOKUP(A:A,'MLP Data'!A:A, 'MLP Data'!B:B, "Not Found")</f>
        <v>Not Found</v>
      </c>
      <c r="L82" s="72" t="str">
        <f t="array" ref="L82">XLOOKUP(A:A,'MLP Data'!A:A, 'MLP Data'!C:C, "Not Found")</f>
        <v>Not Found</v>
      </c>
      <c r="M82" s="72" t="str">
        <f t="array" ref="M82">XLOOKUP(A:A,'DLP Data'!A:A, 'DLP Data'!B:B, "Not Found")</f>
        <v>Not Found</v>
      </c>
      <c r="N82" s="72" t="str">
        <f t="array" ref="N82">XLOOKUP(A:A,'DLP Data'!A:A, 'DLP Data'!C:C, "Not Found")</f>
        <v>Not Found</v>
      </c>
      <c r="O82" s="94" t="str">
        <f t="array" ref="O82">IF(COUNTIFS(Summary!A:A,A82,Summary!L:L,"YES")&gt;0,"YES",
IFERROR(INDEX(Summary!L:L,MATCH(A82,Summary!A:A,0)),""))</f>
        <v/>
      </c>
      <c r="P82" s="94" t="s">
        <v>1842</v>
      </c>
    </row>
    <row r="83" ht="15.75" customHeight="1">
      <c r="A83" s="94" t="s">
        <v>201</v>
      </c>
      <c r="B83" s="94" t="s">
        <v>202</v>
      </c>
      <c r="C83" s="95">
        <v>46176.0</v>
      </c>
      <c r="D83" s="96" t="s">
        <v>3222</v>
      </c>
      <c r="E83" s="97" t="s">
        <v>3961</v>
      </c>
      <c r="F83" s="161">
        <v>7.55</v>
      </c>
      <c r="G83" s="94" t="s">
        <v>51</v>
      </c>
      <c r="H83" s="94" t="s">
        <v>59</v>
      </c>
      <c r="I83" s="98" t="s">
        <v>1487</v>
      </c>
      <c r="J83" s="98" t="s">
        <v>1167</v>
      </c>
      <c r="K83" s="72">
        <f t="array" ref="K83">XLOOKUP(A:A,'MLP Data'!A:A, 'MLP Data'!B:B, "Not Found")</f>
        <v>45</v>
      </c>
      <c r="L83" s="72" t="str">
        <f t="array" ref="L83">XLOOKUP(A:A,'MLP Data'!A:A, 'MLP Data'!C:C, "Not Found")</f>
        <v>Candidate has sound knowledge of fundamentals</v>
      </c>
      <c r="M83" s="72" t="str">
        <f t="array" ref="M83">XLOOKUP(A:A,'DLP Data'!A:A, 'DLP Data'!B:B, "Not Found")</f>
        <v>Not Found</v>
      </c>
      <c r="N83" s="72" t="str">
        <f t="array" ref="N83">XLOOKUP(A:A,'DLP Data'!A:A, 'DLP Data'!C:C, "Not Found")</f>
        <v>Not Found</v>
      </c>
      <c r="O83" s="94" t="str">
        <f t="array" ref="O83">IF(COUNTIFS(Summary!A:A,A83,Summary!L:L,"YES")&gt;0,"YES",
IFERROR(INDEX(Summary!L:L,MATCH(A83,Summary!A:A,0)),""))</f>
        <v/>
      </c>
      <c r="P83" s="94" t="s">
        <v>3217</v>
      </c>
    </row>
    <row r="84" ht="15.75" customHeight="1">
      <c r="A84" s="94" t="s">
        <v>1170</v>
      </c>
      <c r="B84" s="94" t="s">
        <v>1171</v>
      </c>
      <c r="C84" s="95">
        <v>46176.0</v>
      </c>
      <c r="D84" s="96" t="s">
        <v>3385</v>
      </c>
      <c r="E84" s="97" t="s">
        <v>3961</v>
      </c>
      <c r="F84" s="161">
        <v>7.88</v>
      </c>
      <c r="G84" s="94" t="s">
        <v>51</v>
      </c>
      <c r="H84" s="94" t="s">
        <v>59</v>
      </c>
      <c r="I84" s="98" t="s">
        <v>1503</v>
      </c>
      <c r="J84" s="98" t="s">
        <v>1506</v>
      </c>
      <c r="K84" s="72" t="str">
        <f t="array" ref="K84">XLOOKUP(A:A,'MLP Data'!A:A, 'MLP Data'!B:B, "Not Found")</f>
        <v>Not Found</v>
      </c>
      <c r="L84" s="72" t="str">
        <f t="array" ref="L84">XLOOKUP(A:A,'MLP Data'!A:A, 'MLP Data'!C:C, "Not Found")</f>
        <v>Not Found</v>
      </c>
      <c r="M84" s="72" t="str">
        <f t="array" ref="M84">XLOOKUP(A:A,'DLP Data'!A:A, 'DLP Data'!B:B, "Not Found")</f>
        <v>Not Found</v>
      </c>
      <c r="N84" s="72" t="str">
        <f t="array" ref="N84">XLOOKUP(A:A,'DLP Data'!A:A, 'DLP Data'!C:C, "Not Found")</f>
        <v>Not Found</v>
      </c>
      <c r="O84" s="94" t="str">
        <f t="array" ref="O84">IF(COUNTIFS(Summary!A:A,A84,Summary!L:L,"YES")&gt;0,"YES",
IFERROR(INDEX(Summary!L:L,MATCH(A84,Summary!A:A,0)),""))</f>
        <v/>
      </c>
      <c r="P84" s="94" t="s">
        <v>1842</v>
      </c>
    </row>
    <row r="85" ht="15.75" customHeight="1">
      <c r="A85" s="94" t="s">
        <v>38</v>
      </c>
      <c r="B85" s="94" t="s">
        <v>40</v>
      </c>
      <c r="C85" s="95">
        <v>46176.0</v>
      </c>
      <c r="D85" s="96" t="s">
        <v>3433</v>
      </c>
      <c r="E85" s="97" t="s">
        <v>3961</v>
      </c>
      <c r="F85" s="161">
        <v>9.9</v>
      </c>
      <c r="G85" s="94" t="s">
        <v>51</v>
      </c>
      <c r="H85" s="94" t="s">
        <v>59</v>
      </c>
      <c r="I85" s="98" t="s">
        <v>1495</v>
      </c>
      <c r="J85" s="98" t="s">
        <v>1498</v>
      </c>
      <c r="K85" s="72">
        <f t="array" ref="K85">XLOOKUP(A:A,'MLP Data'!A:A, 'MLP Data'!B:B, "Not Found")</f>
        <v>45</v>
      </c>
      <c r="L85" s="72" t="str">
        <f t="array" ref="L85">XLOOKUP(A:A,'MLP Data'!A:A, 'MLP Data'!C:C, "Not Found")</f>
        <v>Couple of medles have been tried intelligently. 71th rank is awesome. Droping ARIMA later is a good idea</v>
      </c>
      <c r="M85" s="72" t="str">
        <f t="array" ref="M85">XLOOKUP(A:A,'DLP Data'!A:A, 'DLP Data'!B:B, "Not Found")</f>
        <v>Not Found</v>
      </c>
      <c r="N85" s="72" t="str">
        <f t="array" ref="N85">XLOOKUP(A:A,'DLP Data'!A:A, 'DLP Data'!C:C, "Not Found")</f>
        <v>Not Found</v>
      </c>
      <c r="O85" s="94" t="str">
        <f t="array" ref="O85">IF(COUNTIFS(Summary!A:A,A85,Summary!L:L,"YES")&gt;0,"YES",
IFERROR(INDEX(Summary!L:L,MATCH(A85,Summary!A:A,0)),""))</f>
        <v/>
      </c>
      <c r="P85" s="94" t="s">
        <v>1842</v>
      </c>
    </row>
    <row r="86" ht="15.75" customHeight="1">
      <c r="A86" s="94" t="s">
        <v>132</v>
      </c>
      <c r="B86" s="94" t="s">
        <v>133</v>
      </c>
      <c r="C86" s="95">
        <v>46176.0</v>
      </c>
      <c r="D86" s="96" t="s">
        <v>2733</v>
      </c>
      <c r="E86" s="104" t="s">
        <v>1748</v>
      </c>
      <c r="F86" s="94">
        <v>7.93</v>
      </c>
      <c r="G86" s="94" t="s">
        <v>51</v>
      </c>
      <c r="H86" s="94" t="s">
        <v>49</v>
      </c>
      <c r="I86" s="143" t="s">
        <v>1523</v>
      </c>
      <c r="J86" s="143" t="s">
        <v>1525</v>
      </c>
      <c r="K86" s="72" t="str">
        <f t="array" ref="K86">XLOOKUP(A:A,'MLP Data'!A:A, 'MLP Data'!B:B, "Not Found")</f>
        <v>Not Found</v>
      </c>
      <c r="L86" s="72" t="str">
        <f t="array" ref="L86">XLOOKUP(A:A,'MLP Data'!A:A, 'MLP Data'!C:C, "Not Found")</f>
        <v>Not Found</v>
      </c>
      <c r="M86" s="72" t="str">
        <f t="array" ref="M86">XLOOKUP(A:A,'DLP Data'!A:A, 'DLP Data'!B:B, "Not Found")</f>
        <v>Not Found</v>
      </c>
      <c r="N86" s="72" t="str">
        <f t="array" ref="N86">XLOOKUP(A:A,'DLP Data'!A:A, 'DLP Data'!C:C, "Not Found")</f>
        <v>Not Found</v>
      </c>
      <c r="O86" s="94" t="str">
        <f t="array" ref="O86">IF(COUNTIFS(Summary!A:A,A86,Summary!L:L,"YES")&gt;0,"YES",
IFERROR(INDEX(Summary!L:L,MATCH(A86,Summary!A:A,0)),""))</f>
        <v/>
      </c>
      <c r="P86" s="94" t="s">
        <v>1842</v>
      </c>
    </row>
    <row r="87" ht="15.75" customHeight="1">
      <c r="A87" s="94" t="s">
        <v>77</v>
      </c>
      <c r="B87" s="94" t="s">
        <v>1475</v>
      </c>
      <c r="C87" s="95">
        <v>46206.0</v>
      </c>
      <c r="D87" s="96" t="s">
        <v>3385</v>
      </c>
      <c r="E87" s="97" t="s">
        <v>3961</v>
      </c>
      <c r="F87" s="161">
        <v>6.52</v>
      </c>
      <c r="G87" s="94" t="s">
        <v>51</v>
      </c>
      <c r="H87" s="94" t="s">
        <v>59</v>
      </c>
      <c r="I87" s="135" t="s">
        <v>1478</v>
      </c>
      <c r="J87" s="135" t="s">
        <v>1481</v>
      </c>
      <c r="K87" s="72" t="str">
        <f t="array" ref="K87">XLOOKUP(A:A,'MLP Data'!A:A, 'MLP Data'!B:B, "Not Found")</f>
        <v>Not Found</v>
      </c>
      <c r="L87" s="72" t="str">
        <f t="array" ref="L87">XLOOKUP(A:A,'MLP Data'!A:A, 'MLP Data'!C:C, "Not Found")</f>
        <v>Not Found</v>
      </c>
      <c r="M87" s="72" t="str">
        <f t="array" ref="M87">XLOOKUP(A:A,'DLP Data'!A:A, 'DLP Data'!B:B, "Not Found")</f>
        <v>Not Found</v>
      </c>
      <c r="N87" s="72" t="str">
        <f t="array" ref="N87">XLOOKUP(A:A,'DLP Data'!A:A, 'DLP Data'!C:C, "Not Found")</f>
        <v>Not Found</v>
      </c>
      <c r="O87" s="94" t="str">
        <f t="array" ref="O87">IF(COUNTIFS(Summary!A:A,A87,Summary!L:L,"YES")&gt;0,"YES",
IFERROR(INDEX(Summary!L:L,MATCH(A87,Summary!A:A,0)),""))</f>
        <v/>
      </c>
      <c r="P87" s="94" t="s">
        <v>1842</v>
      </c>
    </row>
    <row r="88" ht="15.75" customHeight="1">
      <c r="A88" s="94" t="s">
        <v>41</v>
      </c>
      <c r="B88" s="94" t="s">
        <v>42</v>
      </c>
      <c r="C88" s="95">
        <v>46206.0</v>
      </c>
      <c r="D88" s="96" t="s">
        <v>3433</v>
      </c>
      <c r="E88" s="97" t="s">
        <v>3961</v>
      </c>
      <c r="F88" s="161">
        <v>9.21</v>
      </c>
      <c r="G88" s="94" t="s">
        <v>51</v>
      </c>
      <c r="H88" s="94" t="s">
        <v>59</v>
      </c>
      <c r="I88" s="135" t="s">
        <v>1466</v>
      </c>
      <c r="J88" s="135" t="s">
        <v>1469</v>
      </c>
      <c r="K88" s="72">
        <f t="array" ref="K88">XLOOKUP(A:A,'MLP Data'!A:A, 'MLP Data'!B:B, "Not Found")</f>
        <v>44</v>
      </c>
      <c r="L88" s="72" t="str">
        <f t="array" ref="L88">XLOOKUP(A:A,'MLP Data'!A:A, 'MLP Data'!C:C, "Not Found")</f>
        <v>Candidate has sound knowledge of fundamentals</v>
      </c>
      <c r="M88" s="72" t="str">
        <f t="array" ref="M88">XLOOKUP(A:A,'DLP Data'!A:A, 'DLP Data'!B:B, "Not Found")</f>
        <v>Not Found</v>
      </c>
      <c r="N88" s="72" t="str">
        <f t="array" ref="N88">XLOOKUP(A:A,'DLP Data'!A:A, 'DLP Data'!C:C, "Not Found")</f>
        <v>Not Found</v>
      </c>
      <c r="O88" s="94" t="str">
        <f t="array" ref="O88">IF(COUNTIFS(Summary!A:A,A88,Summary!L:L,"YES")&gt;0,"YES",
IFERROR(INDEX(Summary!L:L,MATCH(A88,Summary!A:A,0)),""))</f>
        <v/>
      </c>
      <c r="P88" s="94" t="s">
        <v>1842</v>
      </c>
    </row>
    <row r="89" ht="15.75" customHeight="1">
      <c r="A89" s="94" t="s">
        <v>468</v>
      </c>
      <c r="B89" s="94" t="s">
        <v>1607</v>
      </c>
      <c r="C89" s="95">
        <v>46268.0</v>
      </c>
      <c r="D89" s="96" t="s">
        <v>3814</v>
      </c>
      <c r="E89" s="97" t="s">
        <v>2208</v>
      </c>
      <c r="F89" s="161">
        <v>7.84</v>
      </c>
      <c r="G89" s="94" t="s">
        <v>51</v>
      </c>
      <c r="H89" s="94" t="s">
        <v>59</v>
      </c>
      <c r="I89" s="135" t="s">
        <v>474</v>
      </c>
      <c r="J89" s="135" t="s">
        <v>481</v>
      </c>
      <c r="K89" s="72" t="str">
        <f t="array" ref="K89">XLOOKUP(A:A,'MLP Data'!A:A, 'MLP Data'!B:B, "Not Found")</f>
        <v>Not Found</v>
      </c>
      <c r="L89" s="72" t="str">
        <f t="array" ref="L89">XLOOKUP(A:A,'MLP Data'!A:A, 'MLP Data'!C:C, "Not Found")</f>
        <v>Not Found</v>
      </c>
      <c r="M89" s="72" t="str">
        <f t="array" ref="M89">XLOOKUP(A:A,'DLP Data'!A:A, 'DLP Data'!B:B, "Not Found")</f>
        <v>Not Found</v>
      </c>
      <c r="N89" s="72" t="str">
        <f t="array" ref="N89">XLOOKUP(A:A,'DLP Data'!A:A, 'DLP Data'!C:C, "Not Found")</f>
        <v>Not Found</v>
      </c>
      <c r="O89" s="94" t="str">
        <f t="array" ref="O89">IF(COUNTIFS(Summary!A:A,A89,Summary!L:L,"YES")&gt;0,"YES",
IFERROR(INDEX(Summary!L:L,MATCH(A89,Summary!A:A,0)),""))</f>
        <v/>
      </c>
      <c r="P89" s="94" t="s">
        <v>1833</v>
      </c>
    </row>
    <row r="90" ht="15.75" customHeight="1">
      <c r="A90" s="94" t="s">
        <v>592</v>
      </c>
      <c r="B90" s="94" t="s">
        <v>1598</v>
      </c>
      <c r="C90" s="95">
        <v>46268.0</v>
      </c>
      <c r="D90" s="96" t="s">
        <v>3858</v>
      </c>
      <c r="E90" s="97" t="s">
        <v>2208</v>
      </c>
      <c r="F90" s="161">
        <v>7.5</v>
      </c>
      <c r="G90" s="94" t="s">
        <v>51</v>
      </c>
      <c r="H90" s="94" t="s">
        <v>59</v>
      </c>
      <c r="I90" s="64" t="s">
        <v>1600</v>
      </c>
      <c r="J90" s="64" t="s">
        <v>1600</v>
      </c>
      <c r="K90" s="72" t="str">
        <f t="array" ref="K90">XLOOKUP(A:A,'MLP Data'!A:A, 'MLP Data'!B:B, "Not Found")</f>
        <v>Not Found</v>
      </c>
      <c r="L90" s="72" t="str">
        <f t="array" ref="L90">XLOOKUP(A:A,'MLP Data'!A:A, 'MLP Data'!C:C, "Not Found")</f>
        <v>Not Found</v>
      </c>
      <c r="M90" s="72" t="str">
        <f t="array" ref="M90">XLOOKUP(A:A,'DLP Data'!A:A, 'DLP Data'!B:B, "Not Found")</f>
        <v>Not Found</v>
      </c>
      <c r="N90" s="72" t="str">
        <f t="array" ref="N90">XLOOKUP(A:A,'DLP Data'!A:A, 'DLP Data'!C:C, "Not Found")</f>
        <v>Not Found</v>
      </c>
      <c r="O90" s="94" t="str">
        <f t="array" ref="O90">IF(COUNTIFS(Summary!A:A,A90,Summary!L:L,"YES")&gt;0,"YES",
IFERROR(INDEX(Summary!L:L,MATCH(A90,Summary!A:A,0)),""))</f>
        <v/>
      </c>
      <c r="P90" s="94" t="s">
        <v>1842</v>
      </c>
    </row>
    <row r="91" ht="15.75" customHeight="1">
      <c r="A91" s="94" t="s">
        <v>835</v>
      </c>
      <c r="B91" s="94" t="s">
        <v>836</v>
      </c>
      <c r="C91" s="95">
        <v>46268.0</v>
      </c>
      <c r="D91" s="96" t="s">
        <v>3568</v>
      </c>
      <c r="E91" s="97" t="s">
        <v>1784</v>
      </c>
      <c r="F91" s="161">
        <v>7.87</v>
      </c>
      <c r="G91" s="94" t="s">
        <v>51</v>
      </c>
      <c r="H91" s="94" t="s">
        <v>59</v>
      </c>
      <c r="I91" s="135" t="s">
        <v>1614</v>
      </c>
      <c r="J91" s="135" t="s">
        <v>1617</v>
      </c>
      <c r="K91" s="72" t="str">
        <f t="array" ref="K91">XLOOKUP(A:A,'MLP Data'!A:A, 'MLP Data'!B:B, "Not Found")</f>
        <v>Not Found</v>
      </c>
      <c r="L91" s="72" t="str">
        <f t="array" ref="L91">XLOOKUP(A:A,'MLP Data'!A:A, 'MLP Data'!C:C, "Not Found")</f>
        <v>Not Found</v>
      </c>
      <c r="M91" s="72" t="str">
        <f t="array" ref="M91">XLOOKUP(A:A,'DLP Data'!A:A, 'DLP Data'!B:B, "Not Found")</f>
        <v>Not Found</v>
      </c>
      <c r="N91" s="72" t="str">
        <f t="array" ref="N91">XLOOKUP(A:A,'DLP Data'!A:A, 'DLP Data'!C:C, "Not Found")</f>
        <v>Not Found</v>
      </c>
      <c r="O91" s="94" t="str">
        <f t="array" ref="O91">IF(COUNTIFS(Summary!A:A,A91,Summary!L:L,"YES")&gt;0,"YES",
IFERROR(INDEX(Summary!L:L,MATCH(A91,Summary!A:A,0)),""))</f>
        <v/>
      </c>
      <c r="P91" s="94" t="s">
        <v>1842</v>
      </c>
    </row>
    <row r="92" ht="15.75" customHeight="1">
      <c r="A92" s="94" t="s">
        <v>975</v>
      </c>
      <c r="B92" s="94" t="s">
        <v>977</v>
      </c>
      <c r="C92" s="95">
        <v>46268.0</v>
      </c>
      <c r="D92" s="96" t="s">
        <v>3628</v>
      </c>
      <c r="E92" s="97" t="s">
        <v>1784</v>
      </c>
      <c r="F92" s="161">
        <v>6.9</v>
      </c>
      <c r="G92" s="94" t="s">
        <v>51</v>
      </c>
      <c r="H92" s="94" t="s">
        <v>59</v>
      </c>
      <c r="I92" s="135" t="s">
        <v>1555</v>
      </c>
      <c r="J92" s="135" t="s">
        <v>1556</v>
      </c>
      <c r="K92" s="72" t="str">
        <f t="array" ref="K92">XLOOKUP(A:A,'MLP Data'!A:A, 'MLP Data'!B:B, "Not Found")</f>
        <v>Not Found</v>
      </c>
      <c r="L92" s="72" t="str">
        <f t="array" ref="L92">XLOOKUP(A:A,'MLP Data'!A:A, 'MLP Data'!C:C, "Not Found")</f>
        <v>Not Found</v>
      </c>
      <c r="M92" s="72" t="str">
        <f t="array" ref="M92">XLOOKUP(A:A,'DLP Data'!A:A, 'DLP Data'!B:B, "Not Found")</f>
        <v>Not Found</v>
      </c>
      <c r="N92" s="72" t="str">
        <f t="array" ref="N92">XLOOKUP(A:A,'DLP Data'!A:A, 'DLP Data'!C:C, "Not Found")</f>
        <v>Not Found</v>
      </c>
      <c r="O92" s="94" t="str">
        <f t="array" ref="O92">IF(COUNTIFS(Summary!A:A,A92,Summary!L:L,"YES")&gt;0,"YES",
IFERROR(INDEX(Summary!L:L,MATCH(A92,Summary!A:A,0)),""))</f>
        <v/>
      </c>
      <c r="P92" s="94" t="s">
        <v>1842</v>
      </c>
    </row>
    <row r="93" ht="15.75" customHeight="1">
      <c r="A93" s="94" t="s">
        <v>527</v>
      </c>
      <c r="B93" s="94" t="s">
        <v>528</v>
      </c>
      <c r="C93" s="95">
        <v>46298.0</v>
      </c>
      <c r="D93" s="96" t="s">
        <v>2928</v>
      </c>
      <c r="E93" s="104" t="s">
        <v>1748</v>
      </c>
      <c r="F93" s="161">
        <v>8.59</v>
      </c>
      <c r="G93" s="94" t="s">
        <v>51</v>
      </c>
      <c r="H93" s="94" t="s">
        <v>59</v>
      </c>
      <c r="I93" s="135" t="s">
        <v>1603</v>
      </c>
      <c r="J93" s="135" t="s">
        <v>1605</v>
      </c>
      <c r="K93" s="72">
        <f t="array" ref="K93">XLOOKUP(A:A,'MLP Data'!A:A, 'MLP Data'!B:B, "Not Found")</f>
        <v>37</v>
      </c>
      <c r="L93" s="72" t="str">
        <f t="array" ref="L93">XLOOKUP(A:A,'MLP Data'!A:A, 'MLP Data'!C:C, "Not Found")</f>
        <v>Kaggle project is fine. Shows strong understanding of preprocessing, feature engineering, and model training, with particularly good performance in hyperparameter tuning. However, your communication skills and explanation of results could be improved to better convey insights. Continue refining how you present and interpret model outcomes to strengthen overall industry readiness.</v>
      </c>
      <c r="M93" s="72" t="str">
        <f t="array" ref="M93">XLOOKUP(A:A,'DLP Data'!A:A, 'DLP Data'!B:B, "Not Found")</f>
        <v>Not Found</v>
      </c>
      <c r="N93" s="72" t="str">
        <f t="array" ref="N93">XLOOKUP(A:A,'DLP Data'!A:A, 'DLP Data'!C:C, "Not Found")</f>
        <v>Not Found</v>
      </c>
      <c r="O93" s="94" t="str">
        <f t="array" ref="O93">IF(COUNTIFS(Summary!A:A,A93,Summary!L:L,"YES")&gt;0,"YES",
IFERROR(INDEX(Summary!L:L,MATCH(A93,Summary!A:A,0)),""))</f>
        <v/>
      </c>
      <c r="P93" s="94" t="s">
        <v>1833</v>
      </c>
    </row>
    <row r="94" ht="15.75" customHeight="1">
      <c r="A94" s="94" t="s">
        <v>26</v>
      </c>
      <c r="B94" s="94" t="s">
        <v>1559</v>
      </c>
      <c r="C94" s="95">
        <v>46298.0</v>
      </c>
      <c r="D94" s="96" t="s">
        <v>2974</v>
      </c>
      <c r="E94" s="104" t="s">
        <v>1748</v>
      </c>
      <c r="F94" s="161">
        <v>7.08</v>
      </c>
      <c r="G94" s="94" t="s">
        <v>51</v>
      </c>
      <c r="H94" s="94" t="s">
        <v>59</v>
      </c>
      <c r="I94" s="135" t="s">
        <v>1560</v>
      </c>
      <c r="J94" s="135" t="s">
        <v>1563</v>
      </c>
      <c r="K94" s="72">
        <f t="array" ref="K94">XLOOKUP(A:A,'MLP Data'!A:A, 'MLP Data'!B:B, "Not Found")</f>
        <v>47</v>
      </c>
      <c r="L94" s="72" t="str">
        <f t="array" ref="L94">XLOOKUP(A:A,'MLP Data'!A:A, 'MLP Data'!C:C, "Not Found")</f>
        <v>Madhan karthikeyan demonstrates good conceptual clarity  EDA, Models  and solid coding skills. The next area to refine is project storytelling  framing your work using a clear Problem Action Quantified Result structure. Strengthening this narrative flow will make your interviews far more compelling.</v>
      </c>
      <c r="M94" s="72" t="str">
        <f t="array" ref="M94">XLOOKUP(A:A,'DLP Data'!A:A, 'DLP Data'!B:B, "Not Found")</f>
        <v>Not Found</v>
      </c>
      <c r="N94" s="72" t="str">
        <f t="array" ref="N94">XLOOKUP(A:A,'DLP Data'!A:A, 'DLP Data'!C:C, "Not Found")</f>
        <v>Not Found</v>
      </c>
      <c r="O94" s="94" t="str">
        <f t="array" ref="O94">IF(COUNTIFS(Summary!A:A,A94,Summary!L:L,"YES")&gt;0,"YES",
IFERROR(INDEX(Summary!L:L,MATCH(A94,Summary!A:A,0)),""))</f>
        <v/>
      </c>
      <c r="P94" s="94" t="s">
        <v>1833</v>
      </c>
    </row>
    <row r="95" ht="15.75" customHeight="1">
      <c r="A95" s="94" t="s">
        <v>150</v>
      </c>
      <c r="B95" s="94" t="s">
        <v>1010</v>
      </c>
      <c r="C95" s="95">
        <v>46298.0</v>
      </c>
      <c r="D95" s="96" t="s">
        <v>3743</v>
      </c>
      <c r="E95" s="104" t="s">
        <v>1748</v>
      </c>
      <c r="F95" s="161">
        <v>6.94</v>
      </c>
      <c r="G95" s="94" t="s">
        <v>51</v>
      </c>
      <c r="H95" s="94" t="s">
        <v>59</v>
      </c>
      <c r="I95" s="135" t="s">
        <v>1593</v>
      </c>
      <c r="J95" s="135" t="s">
        <v>1026</v>
      </c>
      <c r="K95" s="72">
        <f t="array" ref="K95">XLOOKUP(A:A,'MLP Data'!A:A, 'MLP Data'!B:B, "Not Found")</f>
        <v>46</v>
      </c>
      <c r="L95" s="72" t="str">
        <f t="array" ref="L95">XLOOKUP(A:A,'MLP Data'!A:A, 'MLP Data'!C:C, "Not Found")</f>
        <v>Ravisha’s  data understanding and command of hyperparameter tuning techniques were both good providing a robust foundation for your projects. To achieve the next level of professional distinction, focus on mastering the technical narrative: ensure your project explanations consistently structure your choices around the Problem</v>
      </c>
      <c r="M95" s="72" t="str">
        <f t="array" ref="M95">XLOOKUP(A:A,'DLP Data'!A:A, 'DLP Data'!B:B, "Not Found")</f>
        <v>Not Found</v>
      </c>
      <c r="N95" s="72" t="str">
        <f t="array" ref="N95">XLOOKUP(A:A,'DLP Data'!A:A, 'DLP Data'!C:C, "Not Found")</f>
        <v>Not Found</v>
      </c>
      <c r="O95" s="94" t="str">
        <f t="array" ref="O95">IF(COUNTIFS(Summary!A:A,A95,Summary!L:L,"YES")&gt;0,"YES",
IFERROR(INDEX(Summary!L:L,MATCH(A95,Summary!A:A,0)),""))</f>
        <v/>
      </c>
      <c r="P95" s="94" t="s">
        <v>1833</v>
      </c>
    </row>
    <row r="96" ht="15.75" customHeight="1">
      <c r="A96" s="94" t="s">
        <v>236</v>
      </c>
      <c r="B96" s="94" t="s">
        <v>237</v>
      </c>
      <c r="C96" s="95">
        <v>46298.0</v>
      </c>
      <c r="D96" s="96" t="s">
        <v>3743</v>
      </c>
      <c r="E96" s="104" t="s">
        <v>1748</v>
      </c>
      <c r="F96" s="161">
        <v>8.57</v>
      </c>
      <c r="G96" s="94" t="s">
        <v>51</v>
      </c>
      <c r="H96" s="94" t="s">
        <v>59</v>
      </c>
      <c r="I96" s="135" t="s">
        <v>1573</v>
      </c>
      <c r="J96" s="135" t="s">
        <v>1575</v>
      </c>
      <c r="K96" s="72" t="str">
        <f t="array" ref="K96">XLOOKUP(A:A,'MLP Data'!A:A, 'MLP Data'!B:B, "Not Found")</f>
        <v>Not Found</v>
      </c>
      <c r="L96" s="72" t="str">
        <f t="array" ref="L96">XLOOKUP(A:A,'MLP Data'!A:A, 'MLP Data'!C:C, "Not Found")</f>
        <v>Not Found</v>
      </c>
      <c r="M96" s="72" t="str">
        <f t="array" ref="M96">XLOOKUP(A:A,'DLP Data'!A:A, 'DLP Data'!B:B, "Not Found")</f>
        <v>Not Found</v>
      </c>
      <c r="N96" s="72" t="str">
        <f t="array" ref="N96">XLOOKUP(A:A,'DLP Data'!A:A, 'DLP Data'!C:C, "Not Found")</f>
        <v>Not Found</v>
      </c>
      <c r="O96" s="94" t="str">
        <f t="array" ref="O96">IF(COUNTIFS(Summary!A:A,A96,Summary!L:L,"YES")&gt;0,"YES",
IFERROR(INDEX(Summary!L:L,MATCH(A96,Summary!A:A,0)),""))</f>
        <v/>
      </c>
      <c r="P96" s="94" t="s">
        <v>1842</v>
      </c>
    </row>
    <row r="97" ht="15.75" customHeight="1">
      <c r="A97" s="94" t="s">
        <v>646</v>
      </c>
      <c r="B97" s="94" t="s">
        <v>1585</v>
      </c>
      <c r="C97" s="95">
        <v>46298.0</v>
      </c>
      <c r="D97" s="96" t="s">
        <v>3164</v>
      </c>
      <c r="E97" s="97" t="s">
        <v>1770</v>
      </c>
      <c r="F97" s="161">
        <v>7.24</v>
      </c>
      <c r="G97" s="94" t="s">
        <v>51</v>
      </c>
      <c r="H97" s="94" t="s">
        <v>59</v>
      </c>
      <c r="I97" s="135" t="s">
        <v>1587</v>
      </c>
      <c r="J97" s="172" t="s">
        <v>1589</v>
      </c>
      <c r="K97" s="72" t="str">
        <f t="array" ref="K97">XLOOKUP(A:A,'MLP Data'!A:A, 'MLP Data'!B:B, "Not Found")</f>
        <v>Not Found</v>
      </c>
      <c r="L97" s="72" t="str">
        <f t="array" ref="L97">XLOOKUP(A:A,'MLP Data'!A:A, 'MLP Data'!C:C, "Not Found")</f>
        <v>Not Found</v>
      </c>
      <c r="M97" s="72" t="str">
        <f t="array" ref="M97">XLOOKUP(A:A,'DLP Data'!A:A, 'DLP Data'!B:B, "Not Found")</f>
        <v>Not Found</v>
      </c>
      <c r="N97" s="72" t="str">
        <f t="array" ref="N97">XLOOKUP(A:A,'DLP Data'!A:A, 'DLP Data'!C:C, "Not Found")</f>
        <v>Not Found</v>
      </c>
      <c r="O97" s="94" t="str">
        <f t="array" ref="O97">IF(COUNTIFS(Summary!A:A,A97,Summary!L:L,"YES")&gt;0,"YES",
IFERROR(INDEX(Summary!L:L,MATCH(A97,Summary!A:A,0)),""))</f>
        <v/>
      </c>
      <c r="P97" s="94" t="s">
        <v>1842</v>
      </c>
    </row>
    <row r="98" ht="15.75" customHeight="1">
      <c r="A98" s="94" t="s">
        <v>211</v>
      </c>
      <c r="B98" s="94" t="s">
        <v>1565</v>
      </c>
      <c r="C98" s="95">
        <v>46298.0</v>
      </c>
      <c r="D98" s="96" t="s">
        <v>3222</v>
      </c>
      <c r="E98" s="97" t="s">
        <v>1770</v>
      </c>
      <c r="F98" s="161">
        <v>6.94</v>
      </c>
      <c r="G98" s="94" t="s">
        <v>51</v>
      </c>
      <c r="H98" s="94" t="s">
        <v>59</v>
      </c>
      <c r="I98" s="172" t="s">
        <v>1568</v>
      </c>
      <c r="J98" s="172" t="s">
        <v>1433</v>
      </c>
      <c r="K98" s="72" t="str">
        <f t="array" ref="K98">XLOOKUP(A:A,'MLP Data'!A:A, 'MLP Data'!B:B, "Not Found")</f>
        <v>Not Found</v>
      </c>
      <c r="L98" s="72" t="str">
        <f t="array" ref="L98">XLOOKUP(A:A,'MLP Data'!A:A, 'MLP Data'!C:C, "Not Found")</f>
        <v>Not Found</v>
      </c>
      <c r="M98" s="72" t="str">
        <f t="array" ref="M98">XLOOKUP(A:A,'DLP Data'!A:A, 'DLP Data'!B:B, "Not Found")</f>
        <v>Not Found</v>
      </c>
      <c r="N98" s="72" t="str">
        <f t="array" ref="N98">XLOOKUP(A:A,'DLP Data'!A:A, 'DLP Data'!C:C, "Not Found")</f>
        <v>Not Found</v>
      </c>
      <c r="O98" s="94" t="str">
        <f t="array" ref="O98">IF(COUNTIFS(Summary!A:A,A98,Summary!L:L,"YES")&gt;0,"YES",
IFERROR(INDEX(Summary!L:L,MATCH(A98,Summary!A:A,0)),""))</f>
        <v/>
      </c>
      <c r="P98" s="94" t="s">
        <v>1842</v>
      </c>
    </row>
    <row r="99" ht="15.75" customHeight="1">
      <c r="A99" s="94" t="s">
        <v>532</v>
      </c>
      <c r="B99" s="94" t="s">
        <v>529</v>
      </c>
      <c r="C99" s="95">
        <v>46298.0</v>
      </c>
      <c r="D99" s="96" t="s">
        <v>3814</v>
      </c>
      <c r="E99" s="97" t="s">
        <v>2208</v>
      </c>
      <c r="F99" s="161">
        <v>6.84</v>
      </c>
      <c r="G99" s="94" t="s">
        <v>51</v>
      </c>
      <c r="H99" s="94" t="s">
        <v>59</v>
      </c>
      <c r="I99" s="135" t="s">
        <v>1548</v>
      </c>
      <c r="J99" s="135" t="s">
        <v>1550</v>
      </c>
      <c r="K99" s="72" t="str">
        <f t="array" ref="K99">XLOOKUP(A:A,'MLP Data'!A:A, 'MLP Data'!B:B, "Not Found")</f>
        <v>Not Found</v>
      </c>
      <c r="L99" s="72" t="str">
        <f t="array" ref="L99">XLOOKUP(A:A,'MLP Data'!A:A, 'MLP Data'!C:C, "Not Found")</f>
        <v>Not Found</v>
      </c>
      <c r="M99" s="72" t="str">
        <f t="array" ref="M99">XLOOKUP(A:A,'DLP Data'!A:A, 'DLP Data'!B:B, "Not Found")</f>
        <v>Not Found</v>
      </c>
      <c r="N99" s="72" t="str">
        <f t="array" ref="N99">XLOOKUP(A:A,'DLP Data'!A:A, 'DLP Data'!C:C, "Not Found")</f>
        <v>Not Found</v>
      </c>
      <c r="O99" s="94" t="str">
        <f t="array" ref="O99">IF(COUNTIFS(Summary!A:A,A99,Summary!L:L,"YES")&gt;0,"YES",
IFERROR(INDEX(Summary!L:L,MATCH(A99,Summary!A:A,0)),""))</f>
        <v/>
      </c>
      <c r="P99" s="94" t="s">
        <v>1833</v>
      </c>
    </row>
    <row r="100" ht="15.75" customHeight="1">
      <c r="A100" s="94" t="s">
        <v>1100</v>
      </c>
      <c r="B100" s="94" t="s">
        <v>1101</v>
      </c>
      <c r="C100" s="95">
        <v>46298.0</v>
      </c>
      <c r="D100" s="96" t="s">
        <v>3858</v>
      </c>
      <c r="E100" s="97" t="s">
        <v>2208</v>
      </c>
      <c r="F100" s="161">
        <v>7.12</v>
      </c>
      <c r="G100" s="94" t="s">
        <v>51</v>
      </c>
      <c r="H100" s="94" t="s">
        <v>59</v>
      </c>
      <c r="I100" s="135" t="s">
        <v>1580</v>
      </c>
      <c r="J100" s="135" t="s">
        <v>1581</v>
      </c>
      <c r="K100" s="72" t="str">
        <f t="array" ref="K100">XLOOKUP(A:A,'MLP Data'!A:A, 'MLP Data'!B:B, "Not Found")</f>
        <v>Not Found</v>
      </c>
      <c r="L100" s="72" t="str">
        <f t="array" ref="L100">XLOOKUP(A:A,'MLP Data'!A:A, 'MLP Data'!C:C, "Not Found")</f>
        <v>Not Found</v>
      </c>
      <c r="M100" s="72" t="str">
        <f t="array" ref="M100">XLOOKUP(A:A,'DLP Data'!A:A, 'DLP Data'!B:B, "Not Found")</f>
        <v>Not Found</v>
      </c>
      <c r="N100" s="72" t="str">
        <f t="array" ref="N100">XLOOKUP(A:A,'DLP Data'!A:A, 'DLP Data'!C:C, "Not Found")</f>
        <v>Not Found</v>
      </c>
      <c r="O100" s="94" t="str">
        <f t="array" ref="O100">IF(COUNTIFS(Summary!A:A,A100,Summary!L:L,"YES")&gt;0,"YES",
IFERROR(INDEX(Summary!L:L,MATCH(A100,Summary!A:A,0)),""))</f>
        <v/>
      </c>
      <c r="P100" s="94" t="s">
        <v>1833</v>
      </c>
    </row>
    <row r="101" ht="15.75" customHeight="1">
      <c r="A101" s="94" t="s">
        <v>39</v>
      </c>
      <c r="B101" s="94" t="s">
        <v>37</v>
      </c>
      <c r="C101" s="95">
        <v>46329.0</v>
      </c>
      <c r="D101" s="96" t="s">
        <v>2928</v>
      </c>
      <c r="E101" s="104" t="s">
        <v>1748</v>
      </c>
      <c r="F101" s="161">
        <v>7.6</v>
      </c>
      <c r="G101" s="94" t="s">
        <v>51</v>
      </c>
      <c r="H101" s="94" t="s">
        <v>59</v>
      </c>
      <c r="I101" s="135" t="s">
        <v>43</v>
      </c>
      <c r="J101" s="135" t="s">
        <v>53</v>
      </c>
      <c r="K101" s="72" t="str">
        <f t="array" ref="K101">XLOOKUP(A:A,'MLP Data'!A:A, 'MLP Data'!B:B, "Not Found")</f>
        <v>Not Found</v>
      </c>
      <c r="L101" s="72" t="str">
        <f t="array" ref="L101">XLOOKUP(A:A,'MLP Data'!A:A, 'MLP Data'!C:C, "Not Found")</f>
        <v>Not Found</v>
      </c>
      <c r="M101" s="72" t="str">
        <f t="array" ref="M101">XLOOKUP(A:A,'DLP Data'!A:A, 'DLP Data'!B:B, "Not Found")</f>
        <v>Not Found</v>
      </c>
      <c r="N101" s="72" t="str">
        <f t="array" ref="N101">XLOOKUP(A:A,'DLP Data'!A:A, 'DLP Data'!C:C, "Not Found")</f>
        <v>Not Found</v>
      </c>
      <c r="O101" s="94" t="str">
        <f t="array" ref="O101">IF(COUNTIFS(Summary!A:A,A101,Summary!L:L,"YES")&gt;0,"YES",
IFERROR(INDEX(Summary!L:L,MATCH(A101,Summary!A:A,0)),""))</f>
        <v/>
      </c>
      <c r="P101" s="94" t="s">
        <v>1833</v>
      </c>
    </row>
    <row r="102" ht="15.75" customHeight="1">
      <c r="A102" s="94" t="s">
        <v>542</v>
      </c>
      <c r="B102" s="94" t="s">
        <v>544</v>
      </c>
      <c r="C102" s="95">
        <v>46329.0</v>
      </c>
      <c r="D102" s="96" t="s">
        <v>2974</v>
      </c>
      <c r="E102" s="104" t="s">
        <v>1748</v>
      </c>
      <c r="F102" s="161">
        <v>7.93</v>
      </c>
      <c r="G102" s="94" t="s">
        <v>51</v>
      </c>
      <c r="H102" s="94" t="s">
        <v>59</v>
      </c>
      <c r="I102" s="135" t="s">
        <v>1652</v>
      </c>
      <c r="J102" s="135" t="s">
        <v>1654</v>
      </c>
      <c r="K102" s="72" t="str">
        <f t="array" ref="K102">XLOOKUP(A:A,'MLP Data'!A:A, 'MLP Data'!B:B, "Not Found")</f>
        <v>Not Found</v>
      </c>
      <c r="L102" s="72" t="str">
        <f t="array" ref="L102">XLOOKUP(A:A,'MLP Data'!A:A, 'MLP Data'!C:C, "Not Found")</f>
        <v>Not Found</v>
      </c>
      <c r="M102" s="72" t="str">
        <f t="array" ref="M102">XLOOKUP(A:A,'DLP Data'!A:A, 'DLP Data'!B:B, "Not Found")</f>
        <v>Not Found</v>
      </c>
      <c r="N102" s="72" t="str">
        <f t="array" ref="N102">XLOOKUP(A:A,'DLP Data'!A:A, 'DLP Data'!C:C, "Not Found")</f>
        <v>Not Found</v>
      </c>
      <c r="O102" s="94" t="str">
        <f t="array" ref="O102">IF(COUNTIFS(Summary!A:A,A102,Summary!L:L,"YES")&gt;0,"YES",
IFERROR(INDEX(Summary!L:L,MATCH(A102,Summary!A:A,0)),""))</f>
        <v/>
      </c>
      <c r="P102" s="94" t="s">
        <v>1842</v>
      </c>
    </row>
    <row r="103" ht="15.75" customHeight="1">
      <c r="A103" s="94" t="s">
        <v>174</v>
      </c>
      <c r="B103" s="94" t="s">
        <v>175</v>
      </c>
      <c r="C103" s="95">
        <v>46329.0</v>
      </c>
      <c r="D103" s="96" t="s">
        <v>3743</v>
      </c>
      <c r="E103" s="104" t="s">
        <v>1748</v>
      </c>
      <c r="F103" s="161">
        <v>7.05</v>
      </c>
      <c r="G103" s="94" t="s">
        <v>51</v>
      </c>
      <c r="H103" s="94" t="s">
        <v>59</v>
      </c>
      <c r="I103" s="135" t="s">
        <v>1637</v>
      </c>
      <c r="J103" s="135" t="s">
        <v>1640</v>
      </c>
      <c r="K103" s="72">
        <f t="array" ref="K103">XLOOKUP(A:A,'MLP Data'!A:A, 'MLP Data'!B:B, "Not Found")</f>
        <v>45</v>
      </c>
      <c r="L103" s="72" t="str">
        <f t="array" ref="L103">XLOOKUP(A:A,'MLP Data'!A:A, 'MLP Data'!C:C, "Not Found")</f>
        <v>Candidate has good understanding on basics,  should  foucs more to understand the core concepts in details and cover more technical pointers while explaining</v>
      </c>
      <c r="M103" s="72" t="str">
        <f t="array" ref="M103">XLOOKUP(A:A,'DLP Data'!A:A, 'DLP Data'!B:B, "Not Found")</f>
        <v>Not Found</v>
      </c>
      <c r="N103" s="72" t="str">
        <f t="array" ref="N103">XLOOKUP(A:A,'DLP Data'!A:A, 'DLP Data'!C:C, "Not Found")</f>
        <v>Not Found</v>
      </c>
      <c r="O103" s="94" t="str">
        <f t="array" ref="O103">IF(COUNTIFS(Summary!A:A,A103,Summary!L:L,"YES")&gt;0,"YES",
IFERROR(INDEX(Summary!L:L,MATCH(A103,Summary!A:A,0)),""))</f>
        <v/>
      </c>
      <c r="P103" s="94" t="s">
        <v>1833</v>
      </c>
    </row>
    <row r="104" ht="15.75" customHeight="1">
      <c r="A104" s="94" t="s">
        <v>92</v>
      </c>
      <c r="B104" s="94" t="s">
        <v>94</v>
      </c>
      <c r="C104" s="95">
        <v>46329.0</v>
      </c>
      <c r="D104" s="96" t="s">
        <v>3628</v>
      </c>
      <c r="E104" s="97" t="s">
        <v>2501</v>
      </c>
      <c r="F104" s="161">
        <v>8.56</v>
      </c>
      <c r="G104" s="94" t="s">
        <v>603</v>
      </c>
      <c r="H104" s="94" t="s">
        <v>59</v>
      </c>
      <c r="I104" s="135" t="s">
        <v>1709</v>
      </c>
      <c r="J104" s="135" t="s">
        <v>1714</v>
      </c>
      <c r="K104" s="72">
        <f t="array" ref="K104">XLOOKUP(A:A,'MLP Data'!A:A, 'MLP Data'!B:B, "Not Found")</f>
        <v>49</v>
      </c>
      <c r="L104" s="72" t="str">
        <f t="array" ref="L104">XLOOKUP(A:A,'MLP Data'!A:A, 'MLP Data'!C:C, "Not Found")</f>
        <v>Very good. Time series models could be explored</v>
      </c>
      <c r="M104" s="72" t="str">
        <f t="array" ref="M104">XLOOKUP(A:A,'DLP Data'!A:A, 'DLP Data'!B:B, "Not Found")</f>
        <v>Not Found</v>
      </c>
      <c r="N104" s="72" t="str">
        <f t="array" ref="N104">XLOOKUP(A:A,'DLP Data'!A:A, 'DLP Data'!C:C, "Not Found")</f>
        <v>Not Found</v>
      </c>
      <c r="O104" s="94" t="str">
        <f t="array" ref="O104">IF(COUNTIFS(Summary!A:A,A104,Summary!L:L,"YES")&gt;0,"YES",
IFERROR(INDEX(Summary!L:L,MATCH(A104,Summary!A:A,0)),""))</f>
        <v/>
      </c>
      <c r="P104" s="94" t="s">
        <v>1842</v>
      </c>
    </row>
    <row r="105" ht="15.75" customHeight="1">
      <c r="A105" s="94" t="s">
        <v>283</v>
      </c>
      <c r="B105" s="94" t="s">
        <v>1663</v>
      </c>
      <c r="C105" s="95">
        <v>46359.0</v>
      </c>
      <c r="D105" s="96" t="s">
        <v>2974</v>
      </c>
      <c r="E105" s="104" t="s">
        <v>1748</v>
      </c>
      <c r="F105" s="161">
        <v>6.5</v>
      </c>
      <c r="G105" s="94" t="s">
        <v>51</v>
      </c>
      <c r="H105" s="94" t="s">
        <v>59</v>
      </c>
      <c r="I105" s="135" t="s">
        <v>1664</v>
      </c>
      <c r="J105" s="135" t="s">
        <v>1667</v>
      </c>
      <c r="K105" s="72">
        <f t="array" ref="K105">XLOOKUP(A:A,'MLP Data'!A:A, 'MLP Data'!B:B, "Not Found")</f>
        <v>30</v>
      </c>
      <c r="L105" s="72" t="str">
        <f t="array" ref="L105">XLOOKUP(A:A,'MLP Data'!A:A, 'MLP Data'!C:C, "Not Found")</f>
        <v>Need to improve technical knowledge. She was not clear about unsupervised learning, L1 and L2 regularization, and the concepts of underfitting and overfitting.</v>
      </c>
      <c r="M105" s="72" t="str">
        <f t="array" ref="M105">XLOOKUP(A:A,'DLP Data'!A:A, 'DLP Data'!B:B, "Not Found")</f>
        <v>Not Found</v>
      </c>
      <c r="N105" s="72" t="str">
        <f t="array" ref="N105">XLOOKUP(A:A,'DLP Data'!A:A, 'DLP Data'!C:C, "Not Found")</f>
        <v>Not Found</v>
      </c>
      <c r="O105" s="94" t="str">
        <f t="array" ref="O105">IF(COUNTIFS(Summary!A:A,A105,Summary!L:L,"YES")&gt;0,"YES",
IFERROR(INDEX(Summary!L:L,MATCH(A105,Summary!A:A,0)),""))</f>
        <v/>
      </c>
      <c r="P105" s="94" t="s">
        <v>1833</v>
      </c>
    </row>
    <row r="106" ht="15.75" customHeight="1">
      <c r="A106" s="94" t="s">
        <v>454</v>
      </c>
      <c r="B106" s="94" t="s">
        <v>455</v>
      </c>
      <c r="C106" s="95">
        <v>46359.0</v>
      </c>
      <c r="D106" s="96" t="s">
        <v>3743</v>
      </c>
      <c r="E106" s="104" t="s">
        <v>1748</v>
      </c>
      <c r="F106" s="161">
        <v>8.87</v>
      </c>
      <c r="G106" s="94" t="s">
        <v>51</v>
      </c>
      <c r="H106" s="94" t="s">
        <v>59</v>
      </c>
      <c r="I106" s="135" t="s">
        <v>1674</v>
      </c>
      <c r="J106" s="135" t="s">
        <v>1676</v>
      </c>
      <c r="K106" s="72" t="str">
        <f t="array" ref="K106">XLOOKUP(A:A,'MLP Data'!A:A, 'MLP Data'!B:B, "Not Found")</f>
        <v>Not Found</v>
      </c>
      <c r="L106" s="72" t="str">
        <f t="array" ref="L106">XLOOKUP(A:A,'MLP Data'!A:A, 'MLP Data'!C:C, "Not Found")</f>
        <v>Not Found</v>
      </c>
      <c r="M106" s="72" t="str">
        <f t="array" ref="M106">XLOOKUP(A:A,'DLP Data'!A:A, 'DLP Data'!B:B, "Not Found")</f>
        <v>Not Found</v>
      </c>
      <c r="N106" s="72" t="str">
        <f t="array" ref="N106">XLOOKUP(A:A,'DLP Data'!A:A, 'DLP Data'!C:C, "Not Found")</f>
        <v>Not Found</v>
      </c>
      <c r="O106" s="94" t="str">
        <f t="array" ref="O106">IF(COUNTIFS(Summary!A:A,A106,Summary!L:L,"YES")&gt;0,"YES",
IFERROR(INDEX(Summary!L:L,MATCH(A106,Summary!A:A,0)),""))</f>
        <v/>
      </c>
      <c r="P106" s="94" t="s">
        <v>1842</v>
      </c>
    </row>
    <row r="107" ht="15.75" customHeight="1">
      <c r="A107" s="94" t="s">
        <v>370</v>
      </c>
      <c r="B107" s="94" t="s">
        <v>367</v>
      </c>
      <c r="C107" s="95">
        <v>46359.0</v>
      </c>
      <c r="D107" s="96" t="s">
        <v>3780</v>
      </c>
      <c r="E107" s="104" t="s">
        <v>1748</v>
      </c>
      <c r="F107" s="161">
        <v>6.06</v>
      </c>
      <c r="G107" s="94" t="s">
        <v>51</v>
      </c>
      <c r="H107" s="94" t="s">
        <v>59</v>
      </c>
      <c r="I107" s="135" t="s">
        <v>1690</v>
      </c>
      <c r="J107" s="135" t="s">
        <v>1692</v>
      </c>
      <c r="K107" s="72" t="str">
        <f t="array" ref="K107">XLOOKUP(A:A,'MLP Data'!A:A, 'MLP Data'!B:B, "Not Found")</f>
        <v>Not Found</v>
      </c>
      <c r="L107" s="72" t="str">
        <f t="array" ref="L107">XLOOKUP(A:A,'MLP Data'!A:A, 'MLP Data'!C:C, "Not Found")</f>
        <v>Not Found</v>
      </c>
      <c r="M107" s="72">
        <f t="array" ref="M107">XLOOKUP(A:A,'DLP Data'!A:A, 'DLP Data'!B:B, "Not Found")</f>
        <v>25</v>
      </c>
      <c r="N107" s="72" t="str">
        <f t="array" ref="N107">XLOOKUP(A:A,'DLP Data'!A:A, 'DLP Data'!C:C, "Not Found")</f>
        <v>The presentation of the NPPE notebooks lacked clarity, making it difficult to follow the approach and reasoning. It became evident that the student was underprepared, with gaps in basic understanding of Hugging Face workflows and general deep learning concepts. Many responses were poorly articulated, and explanations often lacked structure and precision.
During the Q&amp;A, the student at times struggled to comprehend the questions and provided answers that were out of context. Overall, there were significant gaps across NLP, speech, and vision domains, indicating insufficient conceptual grounding and preparation. The performance was well below the expected level for this stage of the course and requires substantial improvement across all areas.</v>
      </c>
      <c r="O107" s="94" t="str">
        <f t="array" ref="O107">IF(COUNTIFS(Summary!A:A,A107,Summary!L:L,"YES")&gt;0,"YES",
IFERROR(INDEX(Summary!L:L,MATCH(A107,Summary!A:A,0)),""))</f>
        <v/>
      </c>
      <c r="P107" s="94" t="s">
        <v>1833</v>
      </c>
    </row>
    <row r="108" ht="15.75" customHeight="1">
      <c r="A108" s="94" t="s">
        <v>21</v>
      </c>
      <c r="B108" s="94" t="s">
        <v>1536</v>
      </c>
      <c r="C108" s="95">
        <v>46359.0</v>
      </c>
      <c r="D108" s="96" t="s">
        <v>3568</v>
      </c>
      <c r="E108" s="97" t="s">
        <v>1784</v>
      </c>
      <c r="F108" s="161">
        <v>7.09</v>
      </c>
      <c r="G108" s="94" t="s">
        <v>51</v>
      </c>
      <c r="H108" s="94" t="s">
        <v>59</v>
      </c>
      <c r="I108" s="135" t="s">
        <v>1538</v>
      </c>
      <c r="J108" s="135" t="s">
        <v>1540</v>
      </c>
      <c r="K108" s="72">
        <f t="array" ref="K108">XLOOKUP(A:A,'MLP Data'!A:A, 'MLP Data'!B:B, "Not Found")</f>
        <v>42</v>
      </c>
      <c r="L108" s="72" t="str">
        <f t="array" ref="L108">XLOOKUP(A:A,'MLP Data'!A:A, 'MLP Data'!C:C, "Not Found")</f>
        <v>The student has shown good understanding of the data and applied the modeling workflow effectively. Their analysis and feature handling were solid, but there is room for improvement in a few areas. They should ensure unnecessary columns like the ID column are removed before training and build a stronger understanding of multicollinearity when using regression models. The student is encouraged to deepen their knowledge of time-series handling, learn the difference between bagging and boosting, and assess whether the data is right- or left-skewed to improve preprocessing decisions. Strengthening these aspects will help them progress toward more robust, industry-ready modeling practices.</v>
      </c>
      <c r="M108" s="72" t="str">
        <f t="array" ref="M108">XLOOKUP(A:A,'DLP Data'!A:A, 'DLP Data'!B:B, "Not Found")</f>
        <v>Not Found</v>
      </c>
      <c r="N108" s="72" t="str">
        <f t="array" ref="N108">XLOOKUP(A:A,'DLP Data'!A:A, 'DLP Data'!C:C, "Not Found")</f>
        <v>Not Found</v>
      </c>
      <c r="O108" s="94" t="str">
        <f t="array" ref="O108">IF(COUNTIFS(Summary!A:A,A108,Summary!L:L,"YES")&gt;0,"YES",
IFERROR(INDEX(Summary!L:L,MATCH(A108,Summary!A:A,0)),""))</f>
        <v/>
      </c>
      <c r="P108" s="94" t="s">
        <v>1842</v>
      </c>
    </row>
    <row r="109" ht="15.75" customHeight="1">
      <c r="A109" s="94" t="s">
        <v>524</v>
      </c>
      <c r="B109" s="94" t="s">
        <v>1306</v>
      </c>
      <c r="C109" s="95">
        <v>46359.0</v>
      </c>
      <c r="D109" s="96" t="s">
        <v>3568</v>
      </c>
      <c r="E109" s="97" t="s">
        <v>2501</v>
      </c>
      <c r="F109" s="161">
        <v>7.54</v>
      </c>
      <c r="G109" s="94" t="s">
        <v>603</v>
      </c>
      <c r="H109" s="94" t="s">
        <v>59</v>
      </c>
      <c r="I109" s="135" t="s">
        <v>1621</v>
      </c>
      <c r="J109" s="135" t="s">
        <v>1623</v>
      </c>
      <c r="K109" s="72" t="str">
        <f t="array" ref="K109">XLOOKUP(A:A,'MLP Data'!A:A, 'MLP Data'!B:B, "Not Found")</f>
        <v>Not Found</v>
      </c>
      <c r="L109" s="72" t="str">
        <f t="array" ref="L109">XLOOKUP(A:A,'MLP Data'!A:A, 'MLP Data'!C:C, "Not Found")</f>
        <v>Not Found</v>
      </c>
      <c r="M109" s="72" t="str">
        <f t="array" ref="M109">XLOOKUP(A:A,'DLP Data'!A:A, 'DLP Data'!B:B, "Not Found")</f>
        <v>Not Found</v>
      </c>
      <c r="N109" s="72" t="str">
        <f t="array" ref="N109">XLOOKUP(A:A,'DLP Data'!A:A, 'DLP Data'!C:C, "Not Found")</f>
        <v>Not Found</v>
      </c>
      <c r="O109" s="94" t="str">
        <f t="array" ref="O109">IF(COUNTIFS(Summary!A:A,A109,Summary!L:L,"YES")&gt;0,"YES",
IFERROR(INDEX(Summary!L:L,MATCH(A109,Summary!A:A,0)),""))</f>
        <v/>
      </c>
      <c r="P109" s="94" t="s">
        <v>1833</v>
      </c>
    </row>
    <row r="110" ht="15.75" customHeight="1">
      <c r="A110" s="94" t="s">
        <v>80</v>
      </c>
      <c r="B110" s="94" t="s">
        <v>81</v>
      </c>
      <c r="C110" s="95">
        <v>46359.0</v>
      </c>
      <c r="D110" s="96" t="s">
        <v>3628</v>
      </c>
      <c r="E110" s="97" t="s">
        <v>1784</v>
      </c>
      <c r="F110" s="161">
        <v>7.22</v>
      </c>
      <c r="G110" s="94" t="s">
        <v>51</v>
      </c>
      <c r="H110" s="94" t="s">
        <v>59</v>
      </c>
      <c r="I110" s="135" t="s">
        <v>1531</v>
      </c>
      <c r="J110" s="135" t="s">
        <v>1532</v>
      </c>
      <c r="K110" s="72" t="str">
        <f t="array" ref="K110">XLOOKUP(A:A,'MLP Data'!A:A, 'MLP Data'!B:B, "Not Found")</f>
        <v>Not Found</v>
      </c>
      <c r="L110" s="72" t="str">
        <f t="array" ref="L110">XLOOKUP(A:A,'MLP Data'!A:A, 'MLP Data'!C:C, "Not Found")</f>
        <v>Not Found</v>
      </c>
      <c r="M110" s="72" t="str">
        <f t="array" ref="M110">XLOOKUP(A:A,'DLP Data'!A:A, 'DLP Data'!B:B, "Not Found")</f>
        <v>Not Found</v>
      </c>
      <c r="N110" s="72" t="str">
        <f t="array" ref="N110">XLOOKUP(A:A,'DLP Data'!A:A, 'DLP Data'!C:C, "Not Found")</f>
        <v>Not Found</v>
      </c>
      <c r="O110" s="94" t="str">
        <f t="array" ref="O110">IF(COUNTIFS(Summary!A:A,A110,Summary!L:L,"YES")&gt;0,"YES",
IFERROR(INDEX(Summary!L:L,MATCH(A110,Summary!A:A,0)),""))</f>
        <v/>
      </c>
      <c r="P110" s="94" t="s">
        <v>1842</v>
      </c>
    </row>
    <row r="111" ht="15.75" customHeight="1">
      <c r="A111" s="94" t="s">
        <v>253</v>
      </c>
      <c r="B111" s="94" t="s">
        <v>254</v>
      </c>
      <c r="C111" s="95">
        <v>46359.0</v>
      </c>
      <c r="D111" s="96" t="s">
        <v>3628</v>
      </c>
      <c r="E111" s="97" t="s">
        <v>2501</v>
      </c>
      <c r="F111" s="161">
        <v>7.1</v>
      </c>
      <c r="G111" s="94" t="s">
        <v>603</v>
      </c>
      <c r="H111" s="94" t="s">
        <v>59</v>
      </c>
      <c r="I111" s="135" t="s">
        <v>1699</v>
      </c>
      <c r="J111" s="135" t="s">
        <v>1701</v>
      </c>
      <c r="K111" s="72" t="str">
        <f t="array" ref="K111">XLOOKUP(A:A,'MLP Data'!A:A, 'MLP Data'!B:B, "Not Found")</f>
        <v>Not Found</v>
      </c>
      <c r="L111" s="72" t="str">
        <f t="array" ref="L111">XLOOKUP(A:A,'MLP Data'!A:A, 'MLP Data'!C:C, "Not Found")</f>
        <v>Not Found</v>
      </c>
      <c r="M111" s="72" t="str">
        <f t="array" ref="M111">XLOOKUP(A:A,'DLP Data'!A:A, 'DLP Data'!B:B, "Not Found")</f>
        <v>Not Found</v>
      </c>
      <c r="N111" s="72" t="str">
        <f t="array" ref="N111">XLOOKUP(A:A,'DLP Data'!A:A, 'DLP Data'!C:C, "Not Found")</f>
        <v>Not Found</v>
      </c>
      <c r="O111" s="94" t="str">
        <f t="array" ref="O111">IF(COUNTIFS(Summary!A:A,A111,Summary!L:L,"YES")&gt;0,"YES",
IFERROR(INDEX(Summary!L:L,MATCH(A111,Summary!A:A,0)),""))</f>
        <v/>
      </c>
      <c r="P111" s="94" t="s">
        <v>1842</v>
      </c>
    </row>
    <row r="112" ht="15.75" customHeight="1">
      <c r="A112" s="94" t="s">
        <v>653</v>
      </c>
      <c r="B112" s="94" t="s">
        <v>650</v>
      </c>
      <c r="C112" s="95" t="s">
        <v>4429</v>
      </c>
      <c r="D112" s="96" t="s">
        <v>3385</v>
      </c>
      <c r="E112" s="97" t="s">
        <v>1756</v>
      </c>
      <c r="F112" s="161">
        <v>7.03</v>
      </c>
      <c r="G112" s="94" t="s">
        <v>603</v>
      </c>
      <c r="H112" s="94" t="s">
        <v>59</v>
      </c>
      <c r="I112" s="135" t="s">
        <v>658</v>
      </c>
      <c r="J112" s="135" t="s">
        <v>663</v>
      </c>
      <c r="K112" s="72" t="str">
        <f t="array" ref="K112">XLOOKUP(A:A,'MLP Data'!A:A, 'MLP Data'!B:B, "Not Found")</f>
        <v>Not Found</v>
      </c>
      <c r="L112" s="72" t="str">
        <f t="array" ref="L112">XLOOKUP(A:A,'MLP Data'!A:A, 'MLP Data'!C:C, "Not Found")</f>
        <v>Not Found</v>
      </c>
      <c r="M112" s="72" t="str">
        <f t="array" ref="M112">XLOOKUP(A:A,'DLP Data'!A:A, 'DLP Data'!B:B, "Not Found")</f>
        <v>Not Found</v>
      </c>
      <c r="N112" s="72" t="str">
        <f t="array" ref="N112">XLOOKUP(A:A,'DLP Data'!A:A, 'DLP Data'!C:C, "Not Found")</f>
        <v>Not Found</v>
      </c>
      <c r="O112" s="94" t="str">
        <f t="array" ref="O112">IF(COUNTIFS(Summary!A:A,A112,Summary!L:L,"YES")&gt;0,"YES",
IFERROR(INDEX(Summary!L:L,MATCH(A112,Summary!A:A,0)),""))</f>
        <v/>
      </c>
      <c r="P112" s="94" t="s">
        <v>1833</v>
      </c>
    </row>
    <row r="113" ht="15.75" customHeight="1">
      <c r="A113" s="94" t="s">
        <v>1246</v>
      </c>
      <c r="B113" s="94" t="s">
        <v>1681</v>
      </c>
      <c r="C113" s="95" t="s">
        <v>4429</v>
      </c>
      <c r="D113" s="96" t="s">
        <v>3433</v>
      </c>
      <c r="E113" s="97" t="s">
        <v>1756</v>
      </c>
      <c r="F113" s="161">
        <v>8.96</v>
      </c>
      <c r="G113" s="94" t="s">
        <v>603</v>
      </c>
      <c r="H113" s="94" t="s">
        <v>59</v>
      </c>
      <c r="I113" s="135" t="s">
        <v>1683</v>
      </c>
      <c r="J113" s="135" t="s">
        <v>1685</v>
      </c>
      <c r="K113" s="72" t="str">
        <f t="array" ref="K113">XLOOKUP(A:A,'MLP Data'!A:A, 'MLP Data'!B:B, "Not Found")</f>
        <v>Not Found</v>
      </c>
      <c r="L113" s="72" t="str">
        <f t="array" ref="L113">XLOOKUP(A:A,'MLP Data'!A:A, 'MLP Data'!C:C, "Not Found")</f>
        <v>Not Found</v>
      </c>
      <c r="M113" s="72" t="str">
        <f t="array" ref="M113">XLOOKUP(A:A,'DLP Data'!A:A, 'DLP Data'!B:B, "Not Found")</f>
        <v>Not Found</v>
      </c>
      <c r="N113" s="72" t="str">
        <f t="array" ref="N113">XLOOKUP(A:A,'DLP Data'!A:A, 'DLP Data'!C:C, "Not Found")</f>
        <v>Not Found</v>
      </c>
      <c r="O113" s="94" t="str">
        <f t="array" ref="O113">IF(COUNTIFS(Summary!A:A,A113,Summary!L:L,"YES")&gt;0,"YES",
IFERROR(INDEX(Summary!L:L,MATCH(A113,Summary!A:A,0)),""))</f>
        <v/>
      </c>
      <c r="P113" s="94" t="s">
        <v>1842</v>
      </c>
    </row>
    <row r="114" ht="15.75" customHeight="1">
      <c r="A114" s="94" t="s">
        <v>120</v>
      </c>
      <c r="B114" s="94" t="s">
        <v>1586</v>
      </c>
      <c r="C114" s="95" t="s">
        <v>4429</v>
      </c>
      <c r="D114" s="96" t="s">
        <v>3568</v>
      </c>
      <c r="E114" s="97" t="s">
        <v>1758</v>
      </c>
      <c r="F114" s="161">
        <v>6.96</v>
      </c>
      <c r="G114" s="94" t="s">
        <v>603</v>
      </c>
      <c r="H114" s="94" t="s">
        <v>59</v>
      </c>
      <c r="I114" s="135" t="s">
        <v>1628</v>
      </c>
      <c r="J114" s="135" t="s">
        <v>1631</v>
      </c>
      <c r="K114" s="72" t="str">
        <f t="array" ref="K114">XLOOKUP(A:A,'MLP Data'!A:A, 'MLP Data'!B:B, "Not Found")</f>
        <v>Not Found</v>
      </c>
      <c r="L114" s="72" t="str">
        <f t="array" ref="L114">XLOOKUP(A:A,'MLP Data'!A:A, 'MLP Data'!C:C, "Not Found")</f>
        <v>Not Found</v>
      </c>
      <c r="M114" s="72" t="str">
        <f t="array" ref="M114">XLOOKUP(A:A,'DLP Data'!A:A, 'DLP Data'!B:B, "Not Found")</f>
        <v>Not Found</v>
      </c>
      <c r="N114" s="72" t="str">
        <f t="array" ref="N114">XLOOKUP(A:A,'DLP Data'!A:A, 'DLP Data'!C:C, "Not Found")</f>
        <v>Not Found</v>
      </c>
      <c r="O114" s="94" t="str">
        <f t="array" ref="O114">IF(COUNTIFS(Summary!A:A,A114,Summary!L:L,"YES")&gt;0,"YES",
IFERROR(INDEX(Summary!L:L,MATCH(A114,Summary!A:A,0)),""))</f>
        <v/>
      </c>
      <c r="P114" s="94" t="s">
        <v>1842</v>
      </c>
    </row>
    <row r="115" ht="15.75" customHeight="1">
      <c r="A115" s="94" t="s">
        <v>240</v>
      </c>
      <c r="B115" s="94" t="s">
        <v>1093</v>
      </c>
      <c r="C115" s="95" t="s">
        <v>4429</v>
      </c>
      <c r="D115" s="96" t="s">
        <v>3628</v>
      </c>
      <c r="E115" s="97" t="s">
        <v>1758</v>
      </c>
      <c r="F115" s="161">
        <v>7.35</v>
      </c>
      <c r="G115" s="94" t="s">
        <v>603</v>
      </c>
      <c r="H115" s="94" t="s">
        <v>59</v>
      </c>
      <c r="I115" s="135" t="s">
        <v>1099</v>
      </c>
      <c r="J115" s="135" t="s">
        <v>1103</v>
      </c>
      <c r="K115" s="72" t="str">
        <f t="array" ref="K115">XLOOKUP(A:A,'MLP Data'!A:A, 'MLP Data'!B:B, "Not Found")</f>
        <v>Not Found</v>
      </c>
      <c r="L115" s="72" t="str">
        <f t="array" ref="L115">XLOOKUP(A:A,'MLP Data'!A:A, 'MLP Data'!C:C, "Not Found")</f>
        <v>Not Found</v>
      </c>
      <c r="M115" s="72" t="str">
        <f t="array" ref="M115">XLOOKUP(A:A,'DLP Data'!A:A, 'DLP Data'!B:B, "Not Found")</f>
        <v>Not Found</v>
      </c>
      <c r="N115" s="72" t="str">
        <f t="array" ref="N115">XLOOKUP(A:A,'DLP Data'!A:A, 'DLP Data'!C:C, "Not Found")</f>
        <v>Not Found</v>
      </c>
      <c r="O115" s="94" t="str">
        <f t="array" ref="O115">IF(COUNTIFS(Summary!A:A,A115,Summary!L:L,"YES")&gt;0,"YES",
IFERROR(INDEX(Summary!L:L,MATCH(A115,Summary!A:A,0)),""))</f>
        <v/>
      </c>
      <c r="P115" s="94" t="s">
        <v>1833</v>
      </c>
    </row>
    <row r="116" ht="15.75" customHeight="1">
      <c r="A116" s="62" t="s">
        <v>284</v>
      </c>
      <c r="B116" s="62" t="s">
        <v>1260</v>
      </c>
      <c r="C116" s="185" t="s">
        <v>4430</v>
      </c>
      <c r="D116" s="186" t="s">
        <v>2928</v>
      </c>
      <c r="E116" s="104" t="s">
        <v>1748</v>
      </c>
      <c r="F116" s="149">
        <v>7.87</v>
      </c>
      <c r="G116" s="62" t="s">
        <v>51</v>
      </c>
      <c r="H116" s="65"/>
      <c r="I116" s="135" t="s">
        <v>288</v>
      </c>
      <c r="J116" s="135" t="s">
        <v>295</v>
      </c>
      <c r="K116" s="72" t="str">
        <f t="array" ref="K116">XLOOKUP(A:A,'MLP Data'!A:A, 'MLP Data'!B:B, "Not Found")</f>
        <v>Not Found</v>
      </c>
      <c r="L116" s="72" t="str">
        <f t="array" ref="L116">XLOOKUP(A:A,'MLP Data'!A:A, 'MLP Data'!C:C, "Not Found")</f>
        <v>Not Found</v>
      </c>
      <c r="M116" s="72" t="str">
        <f t="array" ref="M116">XLOOKUP(A:A,'DLP Data'!A:A, 'DLP Data'!B:B, "Not Found")</f>
        <v>Not Found</v>
      </c>
      <c r="N116" s="72" t="str">
        <f t="array" ref="N116">XLOOKUP(A:A,'DLP Data'!A:A, 'DLP Data'!C:C, "Not Found")</f>
        <v>Not Found</v>
      </c>
      <c r="O116" s="94" t="str">
        <f t="array" ref="O116">IF(COUNTIFS(Summary!A:A,A116,Summary!L:L,"YES")&gt;0,"YES",
IFERROR(INDEX(Summary!L:L,MATCH(A116,Summary!A:A,0)),""))</f>
        <v/>
      </c>
      <c r="P116" s="67"/>
    </row>
    <row r="117" ht="15.75" customHeight="1">
      <c r="A117" s="62" t="s">
        <v>201</v>
      </c>
      <c r="B117" s="62" t="s">
        <v>202</v>
      </c>
      <c r="C117" s="185" t="s">
        <v>4430</v>
      </c>
      <c r="D117" s="186" t="s">
        <v>2974</v>
      </c>
      <c r="E117" s="104" t="s">
        <v>1748</v>
      </c>
      <c r="F117" s="149">
        <v>7.55</v>
      </c>
      <c r="G117" s="62" t="s">
        <v>51</v>
      </c>
      <c r="H117" s="94" t="s">
        <v>59</v>
      </c>
      <c r="I117" s="135" t="s">
        <v>1162</v>
      </c>
      <c r="J117" s="135" t="s">
        <v>1167</v>
      </c>
      <c r="K117" s="72">
        <f t="array" ref="K117">XLOOKUP(A:A,'MLP Data'!A:A, 'MLP Data'!B:B, "Not Found")</f>
        <v>45</v>
      </c>
      <c r="L117" s="72" t="str">
        <f t="array" ref="L117">XLOOKUP(A:A,'MLP Data'!A:A, 'MLP Data'!C:C, "Not Found")</f>
        <v>Candidate has sound knowledge of fundamentals</v>
      </c>
      <c r="M117" s="72" t="str">
        <f t="array" ref="M117">XLOOKUP(A:A,'DLP Data'!A:A, 'DLP Data'!B:B, "Not Found")</f>
        <v>Not Found</v>
      </c>
      <c r="N117" s="72" t="str">
        <f t="array" ref="N117">XLOOKUP(A:A,'DLP Data'!A:A, 'DLP Data'!C:C, "Not Found")</f>
        <v>Not Found</v>
      </c>
      <c r="O117" s="94" t="str">
        <f t="array" ref="O117">IF(COUNTIFS(Summary!A:A,A117,Summary!L:L,"YES")&gt;0,"YES",
IFERROR(INDEX(Summary!L:L,MATCH(A117,Summary!A:A,0)),""))</f>
        <v/>
      </c>
      <c r="P117" s="94" t="s">
        <v>1842</v>
      </c>
    </row>
    <row r="118" ht="15.75" customHeight="1">
      <c r="A118" s="62" t="s">
        <v>1172</v>
      </c>
      <c r="B118" s="62" t="s">
        <v>1173</v>
      </c>
      <c r="C118" s="185" t="s">
        <v>4430</v>
      </c>
      <c r="D118" s="186" t="s">
        <v>3743</v>
      </c>
      <c r="E118" s="104" t="s">
        <v>1748</v>
      </c>
      <c r="F118" s="149">
        <v>8.34</v>
      </c>
      <c r="G118" s="62" t="s">
        <v>51</v>
      </c>
      <c r="H118" s="62" t="s">
        <v>1828</v>
      </c>
      <c r="I118" s="135" t="s">
        <v>1229</v>
      </c>
      <c r="J118" s="135" t="s">
        <v>1242</v>
      </c>
      <c r="K118" s="72" t="str">
        <f t="array" ref="K118">XLOOKUP(A:A,'MLP Data'!A:A, 'MLP Data'!B:B, "Not Found")</f>
        <v>Not Found</v>
      </c>
      <c r="L118" s="72" t="str">
        <f t="array" ref="L118">XLOOKUP(A:A,'MLP Data'!A:A, 'MLP Data'!C:C, "Not Found")</f>
        <v>Not Found</v>
      </c>
      <c r="M118" s="72" t="str">
        <f t="array" ref="M118">XLOOKUP(A:A,'DLP Data'!A:A, 'DLP Data'!B:B, "Not Found")</f>
        <v>Not Found</v>
      </c>
      <c r="N118" s="72" t="str">
        <f t="array" ref="N118">XLOOKUP(A:A,'DLP Data'!A:A, 'DLP Data'!C:C, "Not Found")</f>
        <v>Not Found</v>
      </c>
      <c r="O118" s="94" t="str">
        <f t="array" ref="O118">IF(COUNTIFS(Summary!A:A,A118,Summary!L:L,"YES")&gt;0,"YES",
IFERROR(INDEX(Summary!L:L,MATCH(A118,Summary!A:A,0)),""))</f>
        <v/>
      </c>
      <c r="P118" s="94" t="s">
        <v>1842</v>
      </c>
    </row>
    <row r="119" ht="15.75" customHeight="1">
      <c r="A119" s="62" t="s">
        <v>551</v>
      </c>
      <c r="B119" s="62" t="s">
        <v>917</v>
      </c>
      <c r="C119" s="185" t="s">
        <v>4430</v>
      </c>
      <c r="D119" s="186" t="s">
        <v>3780</v>
      </c>
      <c r="E119" s="104" t="s">
        <v>1748</v>
      </c>
      <c r="F119" s="149">
        <v>6.91</v>
      </c>
      <c r="G119" s="62" t="s">
        <v>51</v>
      </c>
      <c r="H119" s="62" t="s">
        <v>59</v>
      </c>
      <c r="I119" s="135" t="s">
        <v>924</v>
      </c>
      <c r="J119" s="135" t="s">
        <v>931</v>
      </c>
      <c r="K119" s="72">
        <f t="array" ref="K119">XLOOKUP(A:A,'MLP Data'!A:A, 'MLP Data'!B:B, "Not Found")</f>
        <v>45</v>
      </c>
      <c r="L119" s="72" t="str">
        <f t="array" ref="L119">XLOOKUP(A:A,'MLP Data'!A:A, 'MLP Data'!C:C, "Not Found")</f>
        <v>Strong clarity, interpretation, and communication; notebook originality can improve. Strengthen coding structure and explore advanced EDA techniques. To become industry-ready, work on producing polished, client-facing notebooks and presentations.</v>
      </c>
      <c r="M119" s="72" t="str">
        <f t="array" ref="M119">XLOOKUP(A:A,'DLP Data'!A:A, 'DLP Data'!B:B, "Not Found")</f>
        <v>Not Found</v>
      </c>
      <c r="N119" s="72" t="str">
        <f t="array" ref="N119">XLOOKUP(A:A,'DLP Data'!A:A, 'DLP Data'!C:C, "Not Found")</f>
        <v>Not Found</v>
      </c>
      <c r="O119" s="94" t="str">
        <f t="array" ref="O119">IF(COUNTIFS(Summary!A:A,A119,Summary!L:L,"YES")&gt;0,"YES",
IFERROR(INDEX(Summary!L:L,MATCH(A119,Summary!A:A,0)),""))</f>
        <v/>
      </c>
      <c r="P119" s="94" t="s">
        <v>1842</v>
      </c>
    </row>
    <row r="120" ht="15.75" customHeight="1">
      <c r="A120" s="62" t="s">
        <v>745</v>
      </c>
      <c r="B120" s="62" t="s">
        <v>747</v>
      </c>
      <c r="C120" s="185" t="s">
        <v>4430</v>
      </c>
      <c r="D120" s="186" t="s">
        <v>3164</v>
      </c>
      <c r="E120" s="51" t="s">
        <v>1754</v>
      </c>
      <c r="F120" s="149">
        <v>9.01</v>
      </c>
      <c r="G120" s="62" t="s">
        <v>603</v>
      </c>
      <c r="H120" s="65"/>
      <c r="I120" s="135" t="s">
        <v>1071</v>
      </c>
      <c r="J120" s="135" t="s">
        <v>1077</v>
      </c>
      <c r="K120" s="72">
        <f t="array" ref="K120">XLOOKUP(A:A,'MLP Data'!A:A, 'MLP Data'!B:B, "Not Found")</f>
        <v>44</v>
      </c>
      <c r="L120" s="72" t="str">
        <f t="array" ref="L120">XLOOKUP(A:A,'MLP Data'!A:A, 'MLP Data'!C:C, "Not Found")</f>
        <v>
* Good overall structure and confidence, clear explanation of EDA, class imbalance, and preprocessing choices.
* Strong practical understanding of TF-IDF, encoding, and basic ML workflow; coding ability is decent.
*Gaps in deeper concepts like logistic regression intuition, scaling details, and XGBoost vs LGBM architecture.
* struggled in coding task.</v>
      </c>
      <c r="M120" s="72" t="str">
        <f t="array" ref="M120">XLOOKUP(A:A,'DLP Data'!A:A, 'DLP Data'!B:B, "Not Found")</f>
        <v>Not Found</v>
      </c>
      <c r="N120" s="72" t="str">
        <f t="array" ref="N120">XLOOKUP(A:A,'DLP Data'!A:A, 'DLP Data'!C:C, "Not Found")</f>
        <v>Not Found</v>
      </c>
      <c r="O120" s="94" t="str">
        <f t="array" ref="O120">IF(COUNTIFS(Summary!A:A,A120,Summary!L:L,"YES")&gt;0,"YES",
IFERROR(INDEX(Summary!L:L,MATCH(A120,Summary!A:A,0)),""))</f>
        <v/>
      </c>
      <c r="P120" s="94" t="s">
        <v>1842</v>
      </c>
    </row>
    <row r="121" ht="15.75" customHeight="1">
      <c r="A121" s="62" t="s">
        <v>442</v>
      </c>
      <c r="B121" s="62" t="s">
        <v>443</v>
      </c>
      <c r="C121" s="185" t="s">
        <v>4430</v>
      </c>
      <c r="D121" s="186" t="s">
        <v>3222</v>
      </c>
      <c r="E121" s="51" t="s">
        <v>1754</v>
      </c>
      <c r="F121" s="149">
        <v>8.18</v>
      </c>
      <c r="G121" s="62" t="s">
        <v>603</v>
      </c>
      <c r="H121" s="65"/>
      <c r="I121" s="135" t="s">
        <v>982</v>
      </c>
      <c r="J121" s="135" t="s">
        <v>992</v>
      </c>
      <c r="K121" s="72">
        <f t="array" ref="K121">XLOOKUP(A:A,'MLP Data'!A:A, 'MLP Data'!B:B, "Not Found")</f>
        <v>34</v>
      </c>
      <c r="L121" s="72" t="str">
        <f t="array" ref="L121">XLOOKUP(A:A,'MLP Data'!A:A, 'MLP Data'!C:C, "Not Found")</f>
        <v>good understanding of data / problem statement
input data : stored it as a dict ; 8 CSV files including submission file
Data pre-processng: removed 7 feature: merged the 7 CSV files into one df
Feature selection : only date features / time series data set only used
EDA: line plots, box plots check for outliers (removed outliers) , kde plots
Models: Linear / Reg Regression / Random Forest / Light GBM, XGBoost
Holiday feature selection function created to find pattern of data on holidays
Optuna library for HPT in XGBoost / Light GBM
R2 Score :0.33
Suggestion : Need to try lag/rolling mean/std dev specific to timeseries forecast problem
</v>
      </c>
      <c r="M121" s="72" t="str">
        <f t="array" ref="M121">XLOOKUP(A:A,'DLP Data'!A:A, 'DLP Data'!B:B, "Not Found")</f>
        <v>Not Found</v>
      </c>
      <c r="N121" s="72" t="str">
        <f t="array" ref="N121">XLOOKUP(A:A,'DLP Data'!A:A, 'DLP Data'!C:C, "Not Found")</f>
        <v>Not Found</v>
      </c>
      <c r="O121" s="94" t="str">
        <f t="array" ref="O121">IF(COUNTIFS(Summary!A:A,A121,Summary!L:L,"YES")&gt;0,"YES",
IFERROR(INDEX(Summary!L:L,MATCH(A121,Summary!A:A,0)),""))</f>
        <v/>
      </c>
      <c r="P121" s="94" t="s">
        <v>1842</v>
      </c>
    </row>
    <row r="122" ht="15.75" customHeight="1">
      <c r="A122" s="62" t="s">
        <v>182</v>
      </c>
      <c r="B122" s="62" t="s">
        <v>177</v>
      </c>
      <c r="C122" s="185" t="s">
        <v>4430</v>
      </c>
      <c r="D122" s="186" t="s">
        <v>3222</v>
      </c>
      <c r="E122" s="104" t="s">
        <v>1748</v>
      </c>
      <c r="F122" s="149">
        <v>8.26</v>
      </c>
      <c r="G122" s="62" t="s">
        <v>51</v>
      </c>
      <c r="H122" s="65"/>
      <c r="I122" s="135" t="s">
        <v>1191</v>
      </c>
      <c r="J122" s="135" t="s">
        <v>193</v>
      </c>
      <c r="K122" s="72" t="str">
        <f t="array" ref="K122">XLOOKUP(A:A,'MLP Data'!A:A, 'MLP Data'!B:B, "Not Found")</f>
        <v>Not Found</v>
      </c>
      <c r="L122" s="72" t="str">
        <f t="array" ref="L122">XLOOKUP(A:A,'MLP Data'!A:A, 'MLP Data'!C:C, "Not Found")</f>
        <v>Not Found</v>
      </c>
      <c r="M122" s="72" t="str">
        <f t="array" ref="M122">XLOOKUP(A:A,'DLP Data'!A:A, 'DLP Data'!B:B, "Not Found")</f>
        <v>Not Found</v>
      </c>
      <c r="N122" s="72" t="str">
        <f t="array" ref="N122">XLOOKUP(A:A,'DLP Data'!A:A, 'DLP Data'!C:C, "Not Found")</f>
        <v>Not Found</v>
      </c>
      <c r="O122" s="94" t="str">
        <f t="array" ref="O122">IF(COUNTIFS(Summary!A:A,A122,Summary!L:L,"YES")&gt;0,"YES",
IFERROR(INDEX(Summary!L:L,MATCH(A122,Summary!A:A,0)),""))</f>
        <v/>
      </c>
      <c r="P122" s="67"/>
    </row>
    <row r="123" ht="15.75" customHeight="1">
      <c r="A123" s="62" t="s">
        <v>792</v>
      </c>
      <c r="B123" s="62" t="s">
        <v>794</v>
      </c>
      <c r="C123" s="185" t="s">
        <v>4430</v>
      </c>
      <c r="D123" s="186" t="s">
        <v>3385</v>
      </c>
      <c r="E123" s="104" t="s">
        <v>1748</v>
      </c>
      <c r="F123" s="149">
        <v>6.9</v>
      </c>
      <c r="G123" s="62" t="s">
        <v>51</v>
      </c>
      <c r="H123" s="65"/>
      <c r="I123" s="135" t="s">
        <v>1129</v>
      </c>
      <c r="J123" s="135" t="s">
        <v>1136</v>
      </c>
      <c r="K123" s="72" t="str">
        <f t="array" ref="K123">XLOOKUP(A:A,'MLP Data'!A:A, 'MLP Data'!B:B, "Not Found")</f>
        <v>Not Found</v>
      </c>
      <c r="L123" s="72" t="str">
        <f t="array" ref="L123">XLOOKUP(A:A,'MLP Data'!A:A, 'MLP Data'!C:C, "Not Found")</f>
        <v>Not Found</v>
      </c>
      <c r="M123" s="72">
        <f t="array" ref="M123">XLOOKUP(A:A,'DLP Data'!A:A, 'DLP Data'!B:B, "Not Found")</f>
        <v>79</v>
      </c>
      <c r="N123" s="72" t="str">
        <f t="array" ref="N123">XLOOKUP(A:A,'DLP Data'!A:A, 'DLP Data'!C:C, "Not Found")</f>
        <v>TEXT: Above average, a revision would have been bettter
AUDIO: Fair enough, needs much revision and candidate needs to understand theory as well
IMAGE: YOLO and Obj detection were not prepared.
Coding : Requires improvement and practice
Communication: Please work on loudness and tone. It shows how much confident and prepared you are. </v>
      </c>
      <c r="O123" s="94" t="str">
        <f t="array" ref="O123">IF(COUNTIFS(Summary!A:A,A123,Summary!L:L,"YES")&gt;0,"YES",
IFERROR(INDEX(Summary!L:L,MATCH(A123,Summary!A:A,0)),""))</f>
        <v/>
      </c>
      <c r="P123" s="94" t="s">
        <v>1842</v>
      </c>
    </row>
    <row r="124" ht="15.75" customHeight="1">
      <c r="A124" s="62" t="s">
        <v>365</v>
      </c>
      <c r="B124" s="62" t="s">
        <v>366</v>
      </c>
      <c r="C124" s="185" t="s">
        <v>4430</v>
      </c>
      <c r="D124" s="186" t="s">
        <v>3433</v>
      </c>
      <c r="E124" s="104" t="s">
        <v>1748</v>
      </c>
      <c r="F124" s="149">
        <v>7.12</v>
      </c>
      <c r="G124" s="62" t="s">
        <v>51</v>
      </c>
      <c r="H124" s="65"/>
      <c r="I124" s="135" t="s">
        <v>1041</v>
      </c>
      <c r="J124" s="135" t="s">
        <v>725</v>
      </c>
      <c r="K124" s="72" t="str">
        <f t="array" ref="K124">XLOOKUP(A:A,'MLP Data'!A:A, 'MLP Data'!B:B, "Not Found")</f>
        <v>Not Found</v>
      </c>
      <c r="L124" s="72" t="str">
        <f t="array" ref="L124">XLOOKUP(A:A,'MLP Data'!A:A, 'MLP Data'!C:C, "Not Found")</f>
        <v>Not Found</v>
      </c>
      <c r="M124" s="72" t="str">
        <f t="array" ref="M124">XLOOKUP(A:A,'DLP Data'!A:A, 'DLP Data'!B:B, "Not Found")</f>
        <v>Not Found</v>
      </c>
      <c r="N124" s="72" t="str">
        <f t="array" ref="N124">XLOOKUP(A:A,'DLP Data'!A:A, 'DLP Data'!C:C, "Not Found")</f>
        <v>Not Found</v>
      </c>
      <c r="O124" s="94" t="str">
        <f t="array" ref="O124">IF(COUNTIFS(Summary!A:A,A124,Summary!L:L,"YES")&gt;0,"YES",
IFERROR(INDEX(Summary!L:L,MATCH(A124,Summary!A:A,0)),""))</f>
        <v/>
      </c>
      <c r="P124" s="67"/>
    </row>
    <row r="125" ht="15.75" customHeight="1">
      <c r="A125" s="62" t="s">
        <v>150</v>
      </c>
      <c r="B125" s="62" t="s">
        <v>1010</v>
      </c>
      <c r="C125" s="185" t="s">
        <v>4430</v>
      </c>
      <c r="D125" s="186" t="s">
        <v>3814</v>
      </c>
      <c r="E125" s="104" t="s">
        <v>1748</v>
      </c>
      <c r="F125" s="149">
        <v>6.94</v>
      </c>
      <c r="G125" s="62" t="s">
        <v>51</v>
      </c>
      <c r="H125" s="65"/>
      <c r="I125" s="135" t="s">
        <v>1018</v>
      </c>
      <c r="J125" s="135" t="s">
        <v>1026</v>
      </c>
      <c r="K125" s="72">
        <f t="array" ref="K125">XLOOKUP(A:A,'MLP Data'!A:A, 'MLP Data'!B:B, "Not Found")</f>
        <v>46</v>
      </c>
      <c r="L125" s="72" t="str">
        <f t="array" ref="L125">XLOOKUP(A:A,'MLP Data'!A:A, 'MLP Data'!C:C, "Not Found")</f>
        <v>Ravisha’s  data understanding and command of hyperparameter tuning techniques were both good providing a robust foundation for your projects. To achieve the next level of professional distinction, focus on mastering the technical narrative: ensure your project explanations consistently structure your choices around the Problem</v>
      </c>
      <c r="M125" s="72" t="str">
        <f t="array" ref="M125">XLOOKUP(A:A,'DLP Data'!A:A, 'DLP Data'!B:B, "Not Found")</f>
        <v>Not Found</v>
      </c>
      <c r="N125" s="72" t="str">
        <f t="array" ref="N125">XLOOKUP(A:A,'DLP Data'!A:A, 'DLP Data'!C:C, "Not Found")</f>
        <v>Not Found</v>
      </c>
      <c r="O125" s="94" t="str">
        <f t="array" ref="O125">IF(COUNTIFS(Summary!A:A,A125,Summary!L:L,"YES")&gt;0,"YES",
IFERROR(INDEX(Summary!L:L,MATCH(A125,Summary!A:A,0)),""))</f>
        <v/>
      </c>
      <c r="P125" s="94" t="s">
        <v>1842</v>
      </c>
    </row>
    <row r="126" ht="15.75" customHeight="1">
      <c r="A126" s="62" t="s">
        <v>240</v>
      </c>
      <c r="B126" s="62" t="s">
        <v>1093</v>
      </c>
      <c r="C126" s="185" t="s">
        <v>4431</v>
      </c>
      <c r="D126" s="186" t="s">
        <v>3222</v>
      </c>
      <c r="E126" s="51" t="s">
        <v>1752</v>
      </c>
      <c r="F126" s="149">
        <v>7.35</v>
      </c>
      <c r="G126" s="62" t="s">
        <v>603</v>
      </c>
      <c r="H126" s="65"/>
      <c r="I126" s="98" t="s">
        <v>1099</v>
      </c>
      <c r="J126" s="98" t="s">
        <v>1103</v>
      </c>
      <c r="K126" s="72" t="str">
        <f t="array" ref="K126">XLOOKUP(A:A,'MLP Data'!A:A, 'MLP Data'!B:B, "Not Found")</f>
        <v>Not Found</v>
      </c>
      <c r="L126" s="72" t="str">
        <f t="array" ref="L126">XLOOKUP(A:A,'MLP Data'!A:A, 'MLP Data'!C:C, "Not Found")</f>
        <v>Not Found</v>
      </c>
      <c r="M126" s="72" t="str">
        <f t="array" ref="M126">XLOOKUP(A:A,'DLP Data'!A:A, 'DLP Data'!B:B, "Not Found")</f>
        <v>Not Found</v>
      </c>
      <c r="N126" s="72" t="str">
        <f t="array" ref="N126">XLOOKUP(A:A,'DLP Data'!A:A, 'DLP Data'!C:C, "Not Found")</f>
        <v>Not Found</v>
      </c>
      <c r="O126" s="94" t="str">
        <f t="array" ref="O126">IF(COUNTIFS(Summary!A:A,A126,Summary!L:L,"YES")&gt;0,"YES",
IFERROR(INDEX(Summary!L:L,MATCH(A126,Summary!A:A,0)),""))</f>
        <v/>
      </c>
      <c r="P126" s="94" t="s">
        <v>1842</v>
      </c>
    </row>
    <row r="127" ht="15.75" customHeight="1">
      <c r="A127" s="62" t="s">
        <v>524</v>
      </c>
      <c r="B127" s="62" t="s">
        <v>1306</v>
      </c>
      <c r="C127" s="185" t="s">
        <v>4431</v>
      </c>
      <c r="D127" s="186" t="s">
        <v>3222</v>
      </c>
      <c r="E127" s="51" t="s">
        <v>1754</v>
      </c>
      <c r="F127" s="149">
        <v>7.54</v>
      </c>
      <c r="G127" s="62" t="s">
        <v>603</v>
      </c>
      <c r="H127" s="65"/>
      <c r="I127" s="98" t="s">
        <v>1315</v>
      </c>
      <c r="J127" s="98" t="s">
        <v>1326</v>
      </c>
      <c r="K127" s="72" t="str">
        <f t="array" ref="K127">XLOOKUP(A:A,'MLP Data'!A:A, 'MLP Data'!B:B, "Not Found")</f>
        <v>Not Found</v>
      </c>
      <c r="L127" s="72" t="str">
        <f t="array" ref="L127">XLOOKUP(A:A,'MLP Data'!A:A, 'MLP Data'!C:C, "Not Found")</f>
        <v>Not Found</v>
      </c>
      <c r="M127" s="72" t="str">
        <f t="array" ref="M127">XLOOKUP(A:A,'DLP Data'!A:A, 'DLP Data'!B:B, "Not Found")</f>
        <v>Not Found</v>
      </c>
      <c r="N127" s="72" t="str">
        <f t="array" ref="N127">XLOOKUP(A:A,'DLP Data'!A:A, 'DLP Data'!C:C, "Not Found")</f>
        <v>Not Found</v>
      </c>
      <c r="O127" s="94" t="str">
        <f t="array" ref="O127">IF(COUNTIFS(Summary!A:A,A127,Summary!L:L,"YES")&gt;0,"YES",
IFERROR(INDEX(Summary!L:L,MATCH(A127,Summary!A:A,0)),""))</f>
        <v/>
      </c>
      <c r="P127" s="94" t="s">
        <v>1842</v>
      </c>
    </row>
    <row r="128" ht="15.75" customHeight="1">
      <c r="A128" s="62" t="s">
        <v>99</v>
      </c>
      <c r="B128" s="62" t="s">
        <v>100</v>
      </c>
      <c r="C128" s="185" t="s">
        <v>4431</v>
      </c>
      <c r="D128" s="186" t="s">
        <v>3568</v>
      </c>
      <c r="E128" s="51" t="s">
        <v>1784</v>
      </c>
      <c r="F128" s="149">
        <v>8.05</v>
      </c>
      <c r="G128" s="62" t="s">
        <v>51</v>
      </c>
      <c r="H128" s="65"/>
      <c r="I128" s="98" t="s">
        <v>947</v>
      </c>
      <c r="J128" s="98" t="s">
        <v>951</v>
      </c>
      <c r="K128" s="72">
        <f t="array" ref="K128">XLOOKUP(A:A,'MLP Data'!A:A, 'MLP Data'!B:B, "Not Found")</f>
        <v>50</v>
      </c>
      <c r="L128" s="72" t="str">
        <f t="array" ref="L128">XLOOKUP(A:A,'MLP Data'!A:A, 'MLP Data'!C:C, "Not Found")</f>
        <v>Feedback: Outstanding performance across all categories—excellent EDA, creativity, code quality, and strong viva understanding.
Industry Suggestion: Continue this momentum. Start contributing to GitHub/Kaggle to build a strong industry-ready portfolio.</v>
      </c>
      <c r="M128" s="72" t="str">
        <f t="array" ref="M128">XLOOKUP(A:A,'DLP Data'!A:A, 'DLP Data'!B:B, "Not Found")</f>
        <v>Not Found</v>
      </c>
      <c r="N128" s="72" t="str">
        <f t="array" ref="N128">XLOOKUP(A:A,'DLP Data'!A:A, 'DLP Data'!C:C, "Not Found")</f>
        <v>Not Found</v>
      </c>
      <c r="O128" s="94" t="str">
        <f t="array" ref="O128">IF(COUNTIFS(Summary!A:A,A128,Summary!L:L,"YES")&gt;0,"YES",
IFERROR(INDEX(Summary!L:L,MATCH(A128,Summary!A:A,0)),""))</f>
        <v/>
      </c>
      <c r="P128" s="94" t="s">
        <v>1842</v>
      </c>
    </row>
    <row r="129" ht="15.75" customHeight="1">
      <c r="A129" s="62" t="s">
        <v>149</v>
      </c>
      <c r="B129" s="62" t="s">
        <v>146</v>
      </c>
      <c r="C129" s="185" t="s">
        <v>4431</v>
      </c>
      <c r="D129" s="186" t="s">
        <v>3628</v>
      </c>
      <c r="E129" s="51" t="s">
        <v>1784</v>
      </c>
      <c r="F129" s="149">
        <v>7.52</v>
      </c>
      <c r="G129" s="62" t="s">
        <v>51</v>
      </c>
      <c r="H129" s="65"/>
      <c r="I129" s="98" t="s">
        <v>153</v>
      </c>
      <c r="J129" s="98" t="s">
        <v>161</v>
      </c>
      <c r="K129" s="72" t="str">
        <f t="array" ref="K129">XLOOKUP(A:A,'MLP Data'!A:A, 'MLP Data'!B:B, "Not Found")</f>
        <v>Not Found</v>
      </c>
      <c r="L129" s="72" t="str">
        <f t="array" ref="L129">XLOOKUP(A:A,'MLP Data'!A:A, 'MLP Data'!C:C, "Not Found")</f>
        <v>Not Found</v>
      </c>
      <c r="M129" s="72">
        <f t="array" ref="M129">XLOOKUP(A:A,'DLP Data'!A:A, 'DLP Data'!B:B, "Not Found")</f>
        <v>32</v>
      </c>
      <c r="N129" s="72" t="str">
        <f t="array" ref="N129">XLOOKUP(A:A,'DLP Data'!A:A, 'DLP Data'!C:C, "Not Found")</f>
        <v>The student presented overly complex notebooks for NPPE 1 and NPPE 2, which appeared to be LLM-generated. This made it difficult for the student to clearly explain the implementation and equally challenging for reviewers to follow and assess the work. The situation pointed to a lack of ownership and insufficient understanding of the code and underlying concepts.
Overall, there were significant gaps across NLP, speech, and vision domains, indicating weak conceptual grounding and inadequate preparation. The student needs to focus on building a clearer understanding of core principles and ensure they can confidently explain and justify their own implementation choices.</v>
      </c>
      <c r="O129" s="94" t="str">
        <f t="array" ref="O129">IF(COUNTIFS(Summary!A:A,A129,Summary!L:L,"YES")&gt;0,"YES",
IFERROR(INDEX(Summary!L:L,MATCH(A129,Summary!A:A,0)),""))</f>
        <v/>
      </c>
      <c r="P129" s="67"/>
    </row>
    <row r="130" ht="15.75" customHeight="1">
      <c r="A130" s="62" t="s">
        <v>425</v>
      </c>
      <c r="B130" s="62" t="s">
        <v>422</v>
      </c>
      <c r="C130" s="185" t="s">
        <v>4432</v>
      </c>
      <c r="D130" s="186" t="s">
        <v>2928</v>
      </c>
      <c r="E130" s="104" t="s">
        <v>1748</v>
      </c>
      <c r="F130" s="149">
        <v>7.19</v>
      </c>
      <c r="G130" s="62" t="s">
        <v>51</v>
      </c>
      <c r="H130" s="62" t="s">
        <v>49</v>
      </c>
      <c r="I130" s="98" t="s">
        <v>428</v>
      </c>
      <c r="J130" s="98" t="s">
        <v>433</v>
      </c>
      <c r="K130" s="72" t="str">
        <f t="array" ref="K130">XLOOKUP(A:A,'MLP Data'!A:A, 'MLP Data'!B:B, "Not Found")</f>
        <v>Not Found</v>
      </c>
      <c r="L130" s="72" t="str">
        <f t="array" ref="L130">XLOOKUP(A:A,'MLP Data'!A:A, 'MLP Data'!C:C, "Not Found")</f>
        <v>Not Found</v>
      </c>
      <c r="M130" s="72" t="str">
        <f t="array" ref="M130">XLOOKUP(A:A,'DLP Data'!A:A, 'DLP Data'!B:B, "Not Found")</f>
        <v>Not Found</v>
      </c>
      <c r="N130" s="72" t="str">
        <f t="array" ref="N130">XLOOKUP(A:A,'DLP Data'!A:A, 'DLP Data'!C:C, "Not Found")</f>
        <v>Not Found</v>
      </c>
      <c r="O130" s="94" t="str">
        <f t="array" ref="O130">IF(COUNTIFS(Summary!A:A,A130,Summary!L:L,"YES")&gt;0,"YES",
IFERROR(INDEX(Summary!L:L,MATCH(A130,Summary!A:A,0)),""))</f>
        <v/>
      </c>
      <c r="P130" s="67"/>
    </row>
    <row r="131" ht="15.75" customHeight="1">
      <c r="A131" s="62" t="s">
        <v>473</v>
      </c>
      <c r="B131" s="62" t="s">
        <v>516</v>
      </c>
      <c r="C131" s="185" t="s">
        <v>4432</v>
      </c>
      <c r="D131" s="186" t="s">
        <v>2974</v>
      </c>
      <c r="E131" s="104" t="s">
        <v>1748</v>
      </c>
      <c r="F131" s="149">
        <v>7.16</v>
      </c>
      <c r="G131" s="62" t="s">
        <v>51</v>
      </c>
      <c r="H131" s="62" t="s">
        <v>59</v>
      </c>
      <c r="I131" s="98" t="s">
        <v>523</v>
      </c>
      <c r="J131" s="98" t="s">
        <v>531</v>
      </c>
      <c r="K131" s="72" t="str">
        <f t="array" ref="K131">XLOOKUP(A:A,'MLP Data'!A:A, 'MLP Data'!B:B, "Not Found")</f>
        <v>Not Found</v>
      </c>
      <c r="L131" s="72" t="str">
        <f t="array" ref="L131">XLOOKUP(A:A,'MLP Data'!A:A, 'MLP Data'!C:C, "Not Found")</f>
        <v>Not Found</v>
      </c>
      <c r="M131" s="72" t="str">
        <f t="array" ref="M131">XLOOKUP(A:A,'DLP Data'!A:A, 'DLP Data'!B:B, "Not Found")</f>
        <v>Not Found</v>
      </c>
      <c r="N131" s="72" t="str">
        <f t="array" ref="N131">XLOOKUP(A:A,'DLP Data'!A:A, 'DLP Data'!C:C, "Not Found")</f>
        <v>Not Found</v>
      </c>
      <c r="O131" s="94" t="str">
        <f t="array" ref="O131">IF(COUNTIFS(Summary!A:A,A131,Summary!L:L,"YES")&gt;0,"YES",
IFERROR(INDEX(Summary!L:L,MATCH(A131,Summary!A:A,0)),""))</f>
        <v/>
      </c>
      <c r="P131" s="94" t="s">
        <v>1842</v>
      </c>
    </row>
    <row r="132" ht="15.75" customHeight="1">
      <c r="A132" s="62" t="s">
        <v>174</v>
      </c>
      <c r="B132" s="62" t="s">
        <v>291</v>
      </c>
      <c r="C132" s="185" t="s">
        <v>4432</v>
      </c>
      <c r="D132" s="186" t="s">
        <v>3743</v>
      </c>
      <c r="E132" s="104" t="s">
        <v>1748</v>
      </c>
      <c r="F132" s="149">
        <v>7.05</v>
      </c>
      <c r="G132" s="62" t="s">
        <v>51</v>
      </c>
      <c r="H132" s="62" t="s">
        <v>59</v>
      </c>
      <c r="I132" s="98" t="s">
        <v>297</v>
      </c>
      <c r="J132" s="98" t="s">
        <v>307</v>
      </c>
      <c r="K132" s="72">
        <f t="array" ref="K132">XLOOKUP(A:A,'MLP Data'!A:A, 'MLP Data'!B:B, "Not Found")</f>
        <v>45</v>
      </c>
      <c r="L132" s="72" t="str">
        <f t="array" ref="L132">XLOOKUP(A:A,'MLP Data'!A:A, 'MLP Data'!C:C, "Not Found")</f>
        <v>Candidate has good understanding on basics,  should  foucs more to understand the core concepts in details and cover more technical pointers while explaining</v>
      </c>
      <c r="M132" s="72" t="str">
        <f t="array" ref="M132">XLOOKUP(A:A,'DLP Data'!A:A, 'DLP Data'!B:B, "Not Found")</f>
        <v>Not Found</v>
      </c>
      <c r="N132" s="72" t="str">
        <f t="array" ref="N132">XLOOKUP(A:A,'DLP Data'!A:A, 'DLP Data'!C:C, "Not Found")</f>
        <v>Not Found</v>
      </c>
      <c r="O132" s="94" t="str">
        <f t="array" ref="O132">IF(COUNTIFS(Summary!A:A,A132,Summary!L:L,"YES")&gt;0,"YES",
IFERROR(INDEX(Summary!L:L,MATCH(A132,Summary!A:A,0)),""))</f>
        <v/>
      </c>
      <c r="P132" s="94" t="s">
        <v>1842</v>
      </c>
    </row>
    <row r="133" ht="15.75" customHeight="1">
      <c r="A133" s="62" t="s">
        <v>66</v>
      </c>
      <c r="B133" s="62" t="s">
        <v>63</v>
      </c>
      <c r="C133" s="185" t="s">
        <v>4433</v>
      </c>
      <c r="D133" s="186" t="s">
        <v>3164</v>
      </c>
      <c r="E133" s="51" t="s">
        <v>2208</v>
      </c>
      <c r="F133" s="149">
        <v>7.14</v>
      </c>
      <c r="G133" s="62" t="s">
        <v>51</v>
      </c>
      <c r="H133" s="62" t="s">
        <v>59</v>
      </c>
      <c r="I133" s="98" t="s">
        <v>73</v>
      </c>
      <c r="J133" s="98" t="s">
        <v>85</v>
      </c>
      <c r="K133" s="72" t="str">
        <f t="array" ref="K133">XLOOKUP(A:A,'MLP Data'!A:A, 'MLP Data'!B:B, "Not Found")</f>
        <v>Not Found</v>
      </c>
      <c r="L133" s="72" t="str">
        <f t="array" ref="L133">XLOOKUP(A:A,'MLP Data'!A:A, 'MLP Data'!C:C, "Not Found")</f>
        <v>Not Found</v>
      </c>
      <c r="M133" s="72" t="str">
        <f t="array" ref="M133">XLOOKUP(A:A,'DLP Data'!A:A, 'DLP Data'!B:B, "Not Found")</f>
        <v/>
      </c>
      <c r="N133" s="72" t="str">
        <f t="array" ref="N133">XLOOKUP(A:A,'DLP Data'!A:A, 'DLP Data'!C:C, "Not Found")</f>
        <v/>
      </c>
      <c r="O133" s="94" t="str">
        <f t="array" ref="O133">IF(COUNTIFS(Summary!A:A,A133,Summary!L:L,"YES")&gt;0,"YES",
IFERROR(INDEX(Summary!L:L,MATCH(A133,Summary!A:A,0)),""))</f>
        <v/>
      </c>
      <c r="P133" s="67"/>
    </row>
    <row r="134" ht="15.75" customHeight="1">
      <c r="A134" s="62" t="s">
        <v>76</v>
      </c>
      <c r="B134" s="62" t="s">
        <v>74</v>
      </c>
      <c r="C134" s="185" t="s">
        <v>4433</v>
      </c>
      <c r="D134" s="186" t="s">
        <v>3164</v>
      </c>
      <c r="E134" s="51" t="s">
        <v>1770</v>
      </c>
      <c r="F134" s="149">
        <v>7.3</v>
      </c>
      <c r="G134" s="62" t="s">
        <v>51</v>
      </c>
      <c r="H134" s="62" t="s">
        <v>59</v>
      </c>
      <c r="I134" s="98" t="s">
        <v>79</v>
      </c>
      <c r="J134" s="98" t="s">
        <v>83</v>
      </c>
      <c r="K134" s="72" t="str">
        <f t="array" ref="K134">XLOOKUP(A:A,'MLP Data'!A:A, 'MLP Data'!B:B, "Not Found")</f>
        <v>Not Found</v>
      </c>
      <c r="L134" s="72" t="str">
        <f t="array" ref="L134">XLOOKUP(A:A,'MLP Data'!A:A, 'MLP Data'!C:C, "Not Found")</f>
        <v>Not Found</v>
      </c>
      <c r="M134" s="72" t="str">
        <f t="array" ref="M134">XLOOKUP(A:A,'DLP Data'!A:A, 'DLP Data'!B:B, "Not Found")</f>
        <v>Not Found</v>
      </c>
      <c r="N134" s="72" t="str">
        <f t="array" ref="N134">XLOOKUP(A:A,'DLP Data'!A:A, 'DLP Data'!C:C, "Not Found")</f>
        <v>Not Found</v>
      </c>
      <c r="O134" s="94" t="str">
        <f t="array" ref="O134">IF(COUNTIFS(Summary!A:A,A134,Summary!L:L,"YES")&gt;0,"YES",
IFERROR(INDEX(Summary!L:L,MATCH(A134,Summary!A:A,0)),""))</f>
        <v/>
      </c>
      <c r="P134" s="67"/>
    </row>
    <row r="135" ht="15.75" customHeight="1">
      <c r="A135" s="62" t="s">
        <v>34</v>
      </c>
      <c r="B135" s="62" t="s">
        <v>98</v>
      </c>
      <c r="C135" s="185" t="s">
        <v>4433</v>
      </c>
      <c r="D135" s="186" t="s">
        <v>3222</v>
      </c>
      <c r="E135" s="51" t="s">
        <v>2208</v>
      </c>
      <c r="F135" s="149">
        <v>7.64</v>
      </c>
      <c r="G135" s="62" t="s">
        <v>51</v>
      </c>
      <c r="H135" s="62" t="s">
        <v>59</v>
      </c>
      <c r="I135" s="98" t="s">
        <v>106</v>
      </c>
      <c r="J135" s="98" t="s">
        <v>114</v>
      </c>
      <c r="K135" s="72" t="str">
        <f t="array" ref="K135">XLOOKUP(A:A,'MLP Data'!A:A, 'MLP Data'!B:B, "Not Found")</f>
        <v>Not Found</v>
      </c>
      <c r="L135" s="72" t="str">
        <f t="array" ref="L135">XLOOKUP(A:A,'MLP Data'!A:A, 'MLP Data'!C:C, "Not Found")</f>
        <v>Not Found</v>
      </c>
      <c r="M135" s="72" t="str">
        <f t="array" ref="M135">XLOOKUP(A:A,'DLP Data'!A:A, 'DLP Data'!B:B, "Not Found")</f>
        <v>Not Found</v>
      </c>
      <c r="N135" s="72" t="str">
        <f t="array" ref="N135">XLOOKUP(A:A,'DLP Data'!A:A, 'DLP Data'!C:C, "Not Found")</f>
        <v>Not Found</v>
      </c>
      <c r="O135" s="94" t="str">
        <f t="array" ref="O135">IF(COUNTIFS(Summary!A:A,A135,Summary!L:L,"YES")&gt;0,"YES",
IFERROR(INDEX(Summary!L:L,MATCH(A135,Summary!A:A,0)),""))</f>
        <v/>
      </c>
      <c r="P135" s="67"/>
    </row>
    <row r="136" ht="15.75" customHeight="1">
      <c r="A136" s="62" t="s">
        <v>26</v>
      </c>
      <c r="B136" s="62" t="s">
        <v>27</v>
      </c>
      <c r="C136" s="185" t="s">
        <v>4433</v>
      </c>
      <c r="D136" s="186" t="s">
        <v>3222</v>
      </c>
      <c r="E136" s="51" t="s">
        <v>1770</v>
      </c>
      <c r="F136" s="149">
        <v>7.09</v>
      </c>
      <c r="G136" s="62" t="s">
        <v>51</v>
      </c>
      <c r="H136" s="62" t="s">
        <v>59</v>
      </c>
      <c r="I136" s="101" t="s">
        <v>166</v>
      </c>
      <c r="J136" s="101" t="s">
        <v>176</v>
      </c>
      <c r="K136" s="72">
        <f t="array" ref="K136">XLOOKUP(A:A,'MLP Data'!A:A, 'MLP Data'!B:B, "Not Found")</f>
        <v>47</v>
      </c>
      <c r="L136" s="72" t="str">
        <f t="array" ref="L136">XLOOKUP(A:A,'MLP Data'!A:A, 'MLP Data'!C:C, "Not Found")</f>
        <v>Madhan karthikeyan demonstrates good conceptual clarity  EDA, Models  and solid coding skills. The next area to refine is project storytelling  framing your work using a clear Problem Action Quantified Result structure. Strengthening this narrative flow will make your interviews far more compelling.</v>
      </c>
      <c r="M136" s="72" t="str">
        <f t="array" ref="M136">XLOOKUP(A:A,'DLP Data'!A:A, 'DLP Data'!B:B, "Not Found")</f>
        <v>Not Found</v>
      </c>
      <c r="N136" s="72" t="str">
        <f t="array" ref="N136">XLOOKUP(A:A,'DLP Data'!A:A, 'DLP Data'!C:C, "Not Found")</f>
        <v>Not Found</v>
      </c>
      <c r="O136" s="94" t="str">
        <f t="array" ref="O136">IF(COUNTIFS(Summary!A:A,A136,Summary!L:L,"YES")&gt;0,"YES",
IFERROR(INDEX(Summary!L:L,MATCH(A136,Summary!A:A,0)),""))</f>
        <v/>
      </c>
      <c r="P136" s="94" t="s">
        <v>1842</v>
      </c>
    </row>
    <row r="137" ht="15.75" customHeight="1">
      <c r="A137" s="62" t="s">
        <v>108</v>
      </c>
      <c r="B137" s="62" t="s">
        <v>104</v>
      </c>
      <c r="C137" s="185" t="s">
        <v>4433</v>
      </c>
      <c r="D137" s="186" t="s">
        <v>3385</v>
      </c>
      <c r="E137" s="51" t="s">
        <v>1770</v>
      </c>
      <c r="F137" s="149">
        <v>7.95</v>
      </c>
      <c r="G137" s="62" t="s">
        <v>51</v>
      </c>
      <c r="H137" s="62" t="s">
        <v>59</v>
      </c>
      <c r="I137" s="101" t="s">
        <v>200</v>
      </c>
      <c r="J137" s="101" t="s">
        <v>208</v>
      </c>
      <c r="K137" s="72" t="str">
        <f t="array" ref="K137">XLOOKUP(A:A,'MLP Data'!A:A, 'MLP Data'!B:B, "Not Found")</f>
        <v>Not Found</v>
      </c>
      <c r="L137" s="72" t="str">
        <f t="array" ref="L137">XLOOKUP(A:A,'MLP Data'!A:A, 'MLP Data'!C:C, "Not Found")</f>
        <v>Not Found</v>
      </c>
      <c r="M137" s="72" t="str">
        <f t="array" ref="M137">XLOOKUP(A:A,'DLP Data'!A:A, 'DLP Data'!B:B, "Not Found")</f>
        <v>Not Found</v>
      </c>
      <c r="N137" s="72" t="str">
        <f t="array" ref="N137">XLOOKUP(A:A,'DLP Data'!A:A, 'DLP Data'!C:C, "Not Found")</f>
        <v>Not Found</v>
      </c>
      <c r="O137" s="94" t="str">
        <f t="array" ref="O137">IF(COUNTIFS(Summary!A:A,A137,Summary!L:L,"YES")&gt;0,"YES",
IFERROR(INDEX(Summary!L:L,MATCH(A137,Summary!A:A,0)),""))</f>
        <v/>
      </c>
      <c r="P137" s="67"/>
    </row>
    <row r="138" ht="15.75" customHeight="1">
      <c r="A138" s="62" t="s">
        <v>229</v>
      </c>
      <c r="B138" s="62" t="s">
        <v>227</v>
      </c>
      <c r="C138" s="185" t="s">
        <v>4433</v>
      </c>
      <c r="D138" s="186" t="s">
        <v>3433</v>
      </c>
      <c r="E138" s="51" t="s">
        <v>1770</v>
      </c>
      <c r="F138" s="149">
        <v>8.91</v>
      </c>
      <c r="G138" s="62" t="s">
        <v>51</v>
      </c>
      <c r="H138" s="62" t="s">
        <v>59</v>
      </c>
      <c r="I138" s="101" t="s">
        <v>234</v>
      </c>
      <c r="J138" s="101" t="s">
        <v>248</v>
      </c>
      <c r="K138" s="72">
        <f t="array" ref="K138">XLOOKUP(A:A,'MLP Data'!A:A, 'MLP Data'!B:B, "Not Found")</f>
        <v>34</v>
      </c>
      <c r="L138" s="72" t="str">
        <f t="array" ref="L138">XLOOKUP(A:A,'MLP Data'!A:A, 'MLP Data'!C:C, "Not Found")</f>
        <v>- Did not use time series models in kaggle notebook
- Was quite good in live coding. Did not use documentation. 
- Could answer some viva questions, but many he could not. 
- Needs to work on the fundamentals, for example, Could not explain the difference between KNN and Kmeans</v>
      </c>
      <c r="M138" s="72" t="str">
        <f t="array" ref="M138">XLOOKUP(A:A,'DLP Data'!A:A, 'DLP Data'!B:B, "Not Found")</f>
        <v>Not Found</v>
      </c>
      <c r="N138" s="72" t="str">
        <f t="array" ref="N138">XLOOKUP(A:A,'DLP Data'!A:A, 'DLP Data'!C:C, "Not Found")</f>
        <v>Not Found</v>
      </c>
      <c r="O138" s="94" t="str">
        <f t="array" ref="O138">IF(COUNTIFS(Summary!A:A,A138,Summary!L:L,"YES")&gt;0,"YES",
IFERROR(INDEX(Summary!L:L,MATCH(A138,Summary!A:A,0)),""))</f>
        <v/>
      </c>
      <c r="P138" s="94" t="s">
        <v>1842</v>
      </c>
    </row>
    <row r="139" ht="15.75" customHeight="1">
      <c r="A139" s="62" t="s">
        <v>476</v>
      </c>
      <c r="B139" s="62" t="s">
        <v>472</v>
      </c>
      <c r="C139" s="185" t="s">
        <v>4434</v>
      </c>
      <c r="D139" s="186" t="s">
        <v>2928</v>
      </c>
      <c r="E139" s="104" t="s">
        <v>1748</v>
      </c>
      <c r="F139" s="149">
        <v>7.55</v>
      </c>
      <c r="G139" s="62" t="s">
        <v>51</v>
      </c>
      <c r="H139" s="62" t="s">
        <v>59</v>
      </c>
      <c r="I139" s="98" t="s">
        <v>483</v>
      </c>
      <c r="J139" s="98" t="s">
        <v>496</v>
      </c>
      <c r="K139" s="72" t="str">
        <f t="array" ref="K139">XLOOKUP(A:A,'MLP Data'!A:A, 'MLP Data'!B:B, "Not Found")</f>
        <v>Not Found</v>
      </c>
      <c r="L139" s="72" t="str">
        <f t="array" ref="L139">XLOOKUP(A:A,'MLP Data'!A:A, 'MLP Data'!C:C, "Not Found")</f>
        <v>Not Found</v>
      </c>
      <c r="M139" s="72" t="str">
        <f t="array" ref="M139">XLOOKUP(A:A,'DLP Data'!A:A, 'DLP Data'!B:B, "Not Found")</f>
        <v>Not Found</v>
      </c>
      <c r="N139" s="72" t="str">
        <f t="array" ref="N139">XLOOKUP(A:A,'DLP Data'!A:A, 'DLP Data'!C:C, "Not Found")</f>
        <v>Not Found</v>
      </c>
      <c r="O139" s="94" t="str">
        <f t="array" ref="O139">IF(COUNTIFS(Summary!A:A,A139,Summary!L:L,"YES")&gt;0,"YES",
IFERROR(INDEX(Summary!L:L,MATCH(A139,Summary!A:A,0)),""))</f>
        <v/>
      </c>
      <c r="P139" s="67"/>
    </row>
    <row r="140" ht="15.75" customHeight="1">
      <c r="A140" s="62" t="s">
        <v>113</v>
      </c>
      <c r="B140" s="62" t="s">
        <v>115</v>
      </c>
      <c r="C140" s="185" t="s">
        <v>4434</v>
      </c>
      <c r="D140" s="186" t="s">
        <v>2974</v>
      </c>
      <c r="E140" s="104" t="s">
        <v>1748</v>
      </c>
      <c r="F140" s="149">
        <v>7.45</v>
      </c>
      <c r="G140" s="62" t="s">
        <v>51</v>
      </c>
      <c r="H140" s="62" t="s">
        <v>59</v>
      </c>
      <c r="I140" s="98" t="s">
        <v>429</v>
      </c>
      <c r="J140" s="98" t="s">
        <v>440</v>
      </c>
      <c r="K140" s="72" t="str">
        <f t="array" ref="K140">XLOOKUP(A:A,'MLP Data'!A:A, 'MLP Data'!B:B, "Not Found")</f>
        <v>Not Found</v>
      </c>
      <c r="L140" s="72" t="str">
        <f t="array" ref="L140">XLOOKUP(A:A,'MLP Data'!A:A, 'MLP Data'!C:C, "Not Found")</f>
        <v>Not Found</v>
      </c>
      <c r="M140" s="72" t="str">
        <f t="array" ref="M140">XLOOKUP(A:A,'DLP Data'!A:A, 'DLP Data'!B:B, "Not Found")</f>
        <v>Not Found</v>
      </c>
      <c r="N140" s="72" t="str">
        <f t="array" ref="N140">XLOOKUP(A:A,'DLP Data'!A:A, 'DLP Data'!C:C, "Not Found")</f>
        <v>Not Found</v>
      </c>
      <c r="O140" s="94" t="str">
        <f t="array" ref="O140">IF(COUNTIFS(Summary!A:A,A140,Summary!L:L,"YES")&gt;0,"YES",
IFERROR(INDEX(Summary!L:L,MATCH(A140,Summary!A:A,0)),""))</f>
        <v/>
      </c>
      <c r="P140" s="94" t="s">
        <v>1842</v>
      </c>
    </row>
    <row r="141" ht="15.75" customHeight="1">
      <c r="A141" s="62" t="s">
        <v>246</v>
      </c>
      <c r="B141" s="62" t="s">
        <v>381</v>
      </c>
      <c r="C141" s="185" t="s">
        <v>4434</v>
      </c>
      <c r="D141" s="186" t="s">
        <v>3743</v>
      </c>
      <c r="E141" s="104" t="s">
        <v>1748</v>
      </c>
      <c r="F141" s="149">
        <v>6.64</v>
      </c>
      <c r="G141" s="62" t="s">
        <v>51</v>
      </c>
      <c r="H141" s="62" t="s">
        <v>59</v>
      </c>
      <c r="I141" s="98" t="s">
        <v>251</v>
      </c>
      <c r="J141" s="98" t="s">
        <v>260</v>
      </c>
      <c r="K141" s="72" t="str">
        <f t="array" ref="K141">XLOOKUP(A:A,'MLP Data'!A:A, 'MLP Data'!B:B, "Not Found")</f>
        <v>Not Found</v>
      </c>
      <c r="L141" s="72" t="str">
        <f t="array" ref="L141">XLOOKUP(A:A,'MLP Data'!A:A, 'MLP Data'!C:C, "Not Found")</f>
        <v>Not Found</v>
      </c>
      <c r="M141" s="72">
        <f t="array" ref="M141">XLOOKUP(A:A,'DLP Data'!A:A, 'DLP Data'!B:B, "Not Found")</f>
        <v>41</v>
      </c>
      <c r="N141" s="72" t="str">
        <f t="array" ref="N141">XLOOKUP(A:A,'DLP Data'!A:A, 'DLP Data'!C:C, "Not Found")</f>
        <v>NOTEBOOKS: NPPE 1 not submitted, NPPE 2 - had difficulty in explaining
TEXT: below avg, need to go through theory
AUDIO:  below avg, need to go through theory
IMAGE:  below avg, need to go through theory
CODING:  not at all tried
Candidate was not prepared, and had difficulty in explaining basics, and did not even try coding part. Needs to be serious for such viva voce and prepare well.</v>
      </c>
      <c r="O141" s="94" t="str">
        <f t="array" ref="O141">IF(COUNTIFS(Summary!A:A,A141,Summary!L:L,"YES")&gt;0,"YES",
IFERROR(INDEX(Summary!L:L,MATCH(A141,Summary!A:A,0)),""))</f>
        <v/>
      </c>
      <c r="P141" s="67"/>
    </row>
    <row r="142" ht="15.75" customHeight="1">
      <c r="A142" s="62" t="s">
        <v>355</v>
      </c>
      <c r="B142" s="62" t="s">
        <v>352</v>
      </c>
      <c r="C142" s="185" t="s">
        <v>4434</v>
      </c>
      <c r="D142" s="186" t="s">
        <v>3780</v>
      </c>
      <c r="E142" s="104" t="s">
        <v>1748</v>
      </c>
      <c r="F142" s="149">
        <v>7.28</v>
      </c>
      <c r="G142" s="62" t="s">
        <v>51</v>
      </c>
      <c r="H142" s="62" t="s">
        <v>59</v>
      </c>
      <c r="I142" s="98" t="s">
        <v>359</v>
      </c>
      <c r="J142" s="98" t="s">
        <v>369</v>
      </c>
      <c r="K142" s="72" t="str">
        <f t="array" ref="K142">XLOOKUP(A:A,'MLP Data'!A:A, 'MLP Data'!B:B, "Not Found")</f>
        <v>Not Found</v>
      </c>
      <c r="L142" s="72" t="str">
        <f t="array" ref="L142">XLOOKUP(A:A,'MLP Data'!A:A, 'MLP Data'!C:C, "Not Found")</f>
        <v>Not Found</v>
      </c>
      <c r="M142" s="72">
        <f t="array" ref="M142">XLOOKUP(A:A,'DLP Data'!A:A, 'DLP Data'!B:B, "Not Found")</f>
        <v>66</v>
      </c>
      <c r="N142" s="72" t="str">
        <f t="array" ref="N142">XLOOKUP(A:A,'DLP Data'!A:A, 'DLP Data'!C:C, "Not Found")</f>
        <v>gave a line by line walkthrough of what he has coded. answered questions from text module but could not answer many questions from speech or image module like TTS pipeline, ASR pipeline, YOLO, Faster RCNN etc. needs to revise more on concepts from week 5</v>
      </c>
      <c r="O142" s="94" t="str">
        <f t="array" ref="O142">IF(COUNTIFS(Summary!A:A,A142,Summary!L:L,"YES")&gt;0,"YES",
IFERROR(INDEX(Summary!L:L,MATCH(A142,Summary!A:A,0)),""))</f>
        <v/>
      </c>
      <c r="P142" s="94" t="s">
        <v>1842</v>
      </c>
    </row>
    <row r="143" ht="15.75" customHeight="1">
      <c r="A143" s="37" t="s">
        <v>362</v>
      </c>
      <c r="B143" s="62" t="s">
        <v>704</v>
      </c>
      <c r="C143" s="187" t="s">
        <v>4435</v>
      </c>
      <c r="D143" s="186" t="s">
        <v>3164</v>
      </c>
      <c r="E143" s="104" t="s">
        <v>1752</v>
      </c>
      <c r="F143" s="62">
        <v>6.86</v>
      </c>
      <c r="G143" s="62" t="s">
        <v>59</v>
      </c>
      <c r="H143" s="62" t="s">
        <v>603</v>
      </c>
      <c r="I143" s="72" t="s">
        <v>710</v>
      </c>
      <c r="J143" s="72" t="s">
        <v>718</v>
      </c>
      <c r="K143" s="72" t="str">
        <f t="array" ref="K143">XLOOKUP(A:A,'MLP Data'!A:A, 'MLP Data'!B:B, "Not Found")</f>
        <v>Not Found</v>
      </c>
      <c r="L143" s="72" t="str">
        <f t="array" ref="L143">XLOOKUP(A:A,'MLP Data'!A:A, 'MLP Data'!C:C, "Not Found")</f>
        <v>Not Found</v>
      </c>
      <c r="M143" s="72" t="str">
        <f t="array" ref="M143">XLOOKUP(A:A,'DLP Data'!A:A, 'DLP Data'!B:B, "Not Found")</f>
        <v>Not Found</v>
      </c>
      <c r="N143" s="72" t="str">
        <f t="array" ref="N143">XLOOKUP(A:A,'DLP Data'!A:A, 'DLP Data'!C:C, "Not Found")</f>
        <v>Not Found</v>
      </c>
      <c r="O143" s="94" t="str">
        <f t="array" ref="O143">IF(COUNTIFS(Summary!A:A,A143,Summary!L:L,"YES")&gt;0,"YES",
IFERROR(INDEX(Summary!L:L,MATCH(A143,Summary!A:A,0)),""))</f>
        <v/>
      </c>
      <c r="P143" s="67"/>
    </row>
    <row r="144" ht="15.75" customHeight="1">
      <c r="A144" s="62" t="s">
        <v>546</v>
      </c>
      <c r="B144" s="62" t="s">
        <v>746</v>
      </c>
      <c r="C144" s="187" t="s">
        <v>4435</v>
      </c>
      <c r="D144" s="186" t="s">
        <v>4436</v>
      </c>
      <c r="E144" s="104" t="s">
        <v>1752</v>
      </c>
      <c r="F144" s="62">
        <v>8.57</v>
      </c>
      <c r="G144" s="62" t="s">
        <v>49</v>
      </c>
      <c r="H144" s="62" t="s">
        <v>603</v>
      </c>
      <c r="I144" s="72" t="s">
        <v>755</v>
      </c>
      <c r="J144" s="72" t="s">
        <v>765</v>
      </c>
      <c r="K144" s="72" t="str">
        <f t="array" ref="K144">XLOOKUP(A:A,'MLP Data'!A:A, 'MLP Data'!B:B, "Not Found")</f>
        <v>Not Found</v>
      </c>
      <c r="L144" s="72" t="str">
        <f t="array" ref="L144">XLOOKUP(A:A,'MLP Data'!A:A, 'MLP Data'!C:C, "Not Found")</f>
        <v>Not Found</v>
      </c>
      <c r="M144" s="72" t="str">
        <f t="array" ref="M144">XLOOKUP(A:A,'DLP Data'!A:A, 'DLP Data'!B:B, "Not Found")</f>
        <v>Not Found</v>
      </c>
      <c r="N144" s="72" t="str">
        <f t="array" ref="N144">XLOOKUP(A:A,'DLP Data'!A:A, 'DLP Data'!C:C, "Not Found")</f>
        <v>Not Found</v>
      </c>
      <c r="O144" s="94" t="str">
        <f t="array" ref="O144">IF(COUNTIFS(Summary!A:A,A144,Summary!L:L,"YES")&gt;0,"YES",
IFERROR(INDEX(Summary!L:L,MATCH(A144,Summary!A:A,0)),""))</f>
        <v/>
      </c>
      <c r="P144" s="94" t="s">
        <v>1842</v>
      </c>
    </row>
    <row r="145" ht="15.75" customHeight="1">
      <c r="A145" s="62" t="s">
        <v>276</v>
      </c>
      <c r="B145" s="62" t="s">
        <v>278</v>
      </c>
      <c r="C145" s="187" t="s">
        <v>4435</v>
      </c>
      <c r="D145" s="186" t="s">
        <v>3164</v>
      </c>
      <c r="E145" s="104" t="s">
        <v>1754</v>
      </c>
      <c r="F145" s="62"/>
      <c r="G145" s="62" t="s">
        <v>603</v>
      </c>
      <c r="H145" s="62" t="s">
        <v>59</v>
      </c>
      <c r="I145" s="72"/>
      <c r="J145" s="72"/>
      <c r="K145" s="72" t="str">
        <f t="array" ref="K145">XLOOKUP(A:A,'MLP Data'!A:A, 'MLP Data'!B:B, "Not Found")</f>
        <v>Not Found</v>
      </c>
      <c r="L145" s="72" t="str">
        <f t="array" ref="L145">XLOOKUP(A:A,'MLP Data'!A:A, 'MLP Data'!C:C, "Not Found")</f>
        <v>Not Found</v>
      </c>
      <c r="M145" s="72" t="str">
        <f t="array" ref="M145">XLOOKUP(A:A,'DLP Data'!A:A, 'DLP Data'!B:B, "Not Found")</f>
        <v>Not Found</v>
      </c>
      <c r="N145" s="72" t="str">
        <f t="array" ref="N145">XLOOKUP(A:A,'DLP Data'!A:A, 'DLP Data'!C:C, "Not Found")</f>
        <v>Not Found</v>
      </c>
      <c r="O145" s="94" t="str">
        <f t="array" ref="O145">IF(COUNTIFS(Summary!A:A,A145,Summary!L:L,"YES")&gt;0,"YES",
IFERROR(INDEX(Summary!L:L,MATCH(A145,Summary!A:A,0)),""))</f>
        <v/>
      </c>
      <c r="P145" s="94" t="s">
        <v>1842</v>
      </c>
    </row>
    <row r="146" ht="15.75" customHeight="1">
      <c r="A146" s="62" t="s">
        <v>421</v>
      </c>
      <c r="B146" s="62" t="s">
        <v>778</v>
      </c>
      <c r="C146" s="187" t="s">
        <v>4435</v>
      </c>
      <c r="D146" s="186" t="s">
        <v>4436</v>
      </c>
      <c r="E146" s="104" t="s">
        <v>1754</v>
      </c>
      <c r="F146" s="62">
        <v>7.41</v>
      </c>
      <c r="G146" s="62" t="s">
        <v>603</v>
      </c>
      <c r="H146" s="62" t="s">
        <v>59</v>
      </c>
      <c r="I146" s="72" t="s">
        <v>788</v>
      </c>
      <c r="J146" s="72" t="s">
        <v>807</v>
      </c>
      <c r="K146" s="72" t="str">
        <f t="array" ref="K146">XLOOKUP(A:A,'MLP Data'!A:A, 'MLP Data'!B:B, "Not Found")</f>
        <v>Not Found</v>
      </c>
      <c r="L146" s="72" t="str">
        <f t="array" ref="L146">XLOOKUP(A:A,'MLP Data'!A:A, 'MLP Data'!C:C, "Not Found")</f>
        <v>Not Found</v>
      </c>
      <c r="M146" s="72" t="str">
        <f t="array" ref="M146">XLOOKUP(A:A,'DLP Data'!A:A, 'DLP Data'!B:B, "Not Found")</f>
        <v>Not Found</v>
      </c>
      <c r="N146" s="72" t="str">
        <f t="array" ref="N146">XLOOKUP(A:A,'DLP Data'!A:A, 'DLP Data'!C:C, "Not Found")</f>
        <v>Not Found</v>
      </c>
      <c r="O146" s="94" t="str">
        <f t="array" ref="O146">IF(COUNTIFS(Summary!A:A,A146,Summary!L:L,"YES")&gt;0,"YES",
IFERROR(INDEX(Summary!L:L,MATCH(A146,Summary!A:A,0)),""))</f>
        <v/>
      </c>
      <c r="P146" s="94" t="s">
        <v>1833</v>
      </c>
    </row>
    <row r="147" ht="15.75" customHeight="1">
      <c r="A147" s="62" t="s">
        <v>1181</v>
      </c>
      <c r="B147" s="62" t="s">
        <v>1474</v>
      </c>
      <c r="C147" s="187" t="s">
        <v>4437</v>
      </c>
      <c r="D147" s="186" t="s">
        <v>4438</v>
      </c>
      <c r="E147" s="51" t="s">
        <v>1748</v>
      </c>
      <c r="F147" s="149">
        <v>6.4</v>
      </c>
      <c r="G147" s="62" t="s">
        <v>51</v>
      </c>
      <c r="H147" s="62" t="s">
        <v>49</v>
      </c>
      <c r="I147" s="98" t="s">
        <v>1477</v>
      </c>
      <c r="J147" s="98" t="s">
        <v>1480</v>
      </c>
      <c r="K147" s="72" t="str">
        <f t="array" ref="K147">XLOOKUP(A:A,'MLP Data'!A:A, 'MLP Data'!B:B, "Not Found")</f>
        <v>Not Found</v>
      </c>
      <c r="L147" s="72" t="str">
        <f t="array" ref="L147">XLOOKUP(A:A,'MLP Data'!A:A, 'MLP Data'!C:C, "Not Found")</f>
        <v>Not Found</v>
      </c>
      <c r="M147" s="72" t="str">
        <f t="array" ref="M147">XLOOKUP(A:A,'DLP Data'!A:A, 'DLP Data'!B:B, "Not Found")</f>
        <v>Not Found</v>
      </c>
      <c r="N147" s="72" t="str">
        <f t="array" ref="N147">XLOOKUP(A:A,'DLP Data'!A:A, 'DLP Data'!C:C, "Not Found")</f>
        <v>Not Found</v>
      </c>
      <c r="O147" s="94" t="str">
        <f t="array" ref="O147">IF(COUNTIFS(Summary!A:A,A147,Summary!L:L,"YES")&gt;0,"YES",
IFERROR(INDEX(Summary!L:L,MATCH(A147,Summary!A:A,0)),""))</f>
        <v/>
      </c>
      <c r="P147" s="94" t="s">
        <v>1842</v>
      </c>
    </row>
    <row r="148" ht="15.75" customHeight="1">
      <c r="A148" s="62" t="s">
        <v>156</v>
      </c>
      <c r="B148" s="62" t="s">
        <v>1554</v>
      </c>
      <c r="C148" s="187" t="s">
        <v>4437</v>
      </c>
      <c r="D148" s="186" t="s">
        <v>4439</v>
      </c>
      <c r="E148" s="51" t="s">
        <v>1748</v>
      </c>
      <c r="F148" s="149">
        <v>7.27</v>
      </c>
      <c r="G148" s="62" t="s">
        <v>51</v>
      </c>
      <c r="H148" s="62" t="s">
        <v>59</v>
      </c>
      <c r="I148" s="98" t="s">
        <v>450</v>
      </c>
      <c r="J148" s="98" t="s">
        <v>1562</v>
      </c>
      <c r="K148" s="72" t="str">
        <f t="array" ref="K148">XLOOKUP(A:A,'MLP Data'!A:A, 'MLP Data'!B:B, "Not Found")</f>
        <v>Not Found</v>
      </c>
      <c r="L148" s="72" t="str">
        <f t="array" ref="L148">XLOOKUP(A:A,'MLP Data'!A:A, 'MLP Data'!C:C, "Not Found")</f>
        <v>Not Found</v>
      </c>
      <c r="M148" s="72">
        <f t="array" ref="M148">XLOOKUP(A:A,'DLP Data'!A:A, 'DLP Data'!B:B, "Not Found")</f>
        <v>85</v>
      </c>
      <c r="N148" s="72" t="str">
        <f t="array" ref="N148">XLOOKUP(A:A,'DLP Data'!A:A, 'DLP Data'!C:C, "Not Found")</f>
        <v>NOTEBOOKS: v good explanation
TEXT: above avg, a little revision suggested
AUDIO:  above avg, a little revision suggested
IMAGE: Good, usage of techical jargon must be adopted
CODING: a lil nudge was need, but above avg</v>
      </c>
      <c r="O148" s="94" t="str">
        <f t="array" ref="O148">IF(COUNTIFS(Summary!A:A,A148,Summary!L:L,"YES")&gt;0,"YES",
IFERROR(INDEX(Summary!L:L,MATCH(A148,Summary!A:A,0)),""))</f>
        <v/>
      </c>
      <c r="P148" s="67"/>
    </row>
    <row r="149" ht="15.75" customHeight="1">
      <c r="A149" s="62" t="s">
        <v>299</v>
      </c>
      <c r="B149" s="62" t="s">
        <v>1541</v>
      </c>
      <c r="C149" s="187" t="s">
        <v>4437</v>
      </c>
      <c r="D149" s="186" t="s">
        <v>4440</v>
      </c>
      <c r="E149" s="51" t="s">
        <v>1748</v>
      </c>
      <c r="F149" s="149">
        <v>7.59</v>
      </c>
      <c r="G149" s="62" t="s">
        <v>51</v>
      </c>
      <c r="H149" s="62" t="s">
        <v>59</v>
      </c>
      <c r="I149" s="98" t="s">
        <v>1544</v>
      </c>
      <c r="J149" s="98" t="s">
        <v>1547</v>
      </c>
      <c r="K149" s="72">
        <f t="array" ref="K149">XLOOKUP(A:A,'MLP Data'!A:A, 'MLP Data'!B:B, "Not Found")</f>
        <v>38</v>
      </c>
      <c r="L149" s="72" t="str">
        <f t="array" ref="L149">XLOOKUP(A:A,'MLP Data'!A:A, 'MLP Data'!C:C, "Not Found")</f>
        <v>- Did not use time series models in kaggle notebook
- Could not do basic live coding without documentation reference.
- Was above average in answering technical questions during viva</v>
      </c>
      <c r="M149" s="72" t="str">
        <f t="array" ref="M149">XLOOKUP(A:A,'DLP Data'!A:A, 'DLP Data'!B:B, "Not Found")</f>
        <v>Not Found</v>
      </c>
      <c r="N149" s="72" t="str">
        <f t="array" ref="N149">XLOOKUP(A:A,'DLP Data'!A:A, 'DLP Data'!C:C, "Not Found")</f>
        <v>Not Found</v>
      </c>
      <c r="O149" s="94" t="str">
        <f t="array" ref="O149">IF(COUNTIFS(Summary!A:A,A149,Summary!L:L,"YES")&gt;0,"YES",
IFERROR(INDEX(Summary!L:L,MATCH(A149,Summary!A:A,0)),""))</f>
        <v/>
      </c>
      <c r="P149" s="94" t="s">
        <v>1842</v>
      </c>
    </row>
    <row r="150" ht="15.75" customHeight="1">
      <c r="A150" s="62" t="s">
        <v>105</v>
      </c>
      <c r="B150" s="62" t="s">
        <v>107</v>
      </c>
      <c r="C150" s="187" t="s">
        <v>4437</v>
      </c>
      <c r="D150" s="186" t="s">
        <v>4441</v>
      </c>
      <c r="E150" s="51" t="s">
        <v>1748</v>
      </c>
      <c r="F150" s="149">
        <v>8.16</v>
      </c>
      <c r="G150" s="62" t="s">
        <v>51</v>
      </c>
      <c r="H150" s="62" t="s">
        <v>59</v>
      </c>
      <c r="I150" s="98" t="s">
        <v>1533</v>
      </c>
      <c r="J150" s="98" t="s">
        <v>1535</v>
      </c>
      <c r="K150" s="72" t="str">
        <f t="array" ref="K150">XLOOKUP(A:A,'MLP Data'!A:A, 'MLP Data'!B:B, "Not Found")</f>
        <v>Not Found</v>
      </c>
      <c r="L150" s="72" t="str">
        <f t="array" ref="L150">XLOOKUP(A:A,'MLP Data'!A:A, 'MLP Data'!C:C, "Not Found")</f>
        <v>Not Found</v>
      </c>
      <c r="M150" s="72" t="str">
        <f t="array" ref="M150">XLOOKUP(A:A,'DLP Data'!A:A, 'DLP Data'!B:B, "Not Found")</f>
        <v>Not Found</v>
      </c>
      <c r="N150" s="72" t="str">
        <f t="array" ref="N150">XLOOKUP(A:A,'DLP Data'!A:A, 'DLP Data'!C:C, "Not Found")</f>
        <v>Not Found</v>
      </c>
      <c r="O150" s="94" t="str">
        <f t="array" ref="O150">IF(COUNTIFS(Summary!A:A,A150,Summary!L:L,"YES")&gt;0,"YES",
IFERROR(INDEX(Summary!L:L,MATCH(A150,Summary!A:A,0)),""))</f>
        <v/>
      </c>
      <c r="P150" s="94" t="s">
        <v>1842</v>
      </c>
    </row>
    <row r="151" ht="15.75" customHeight="1">
      <c r="A151" s="62" t="s">
        <v>1074</v>
      </c>
      <c r="B151" s="62" t="s">
        <v>1075</v>
      </c>
      <c r="C151" s="187" t="s">
        <v>4437</v>
      </c>
      <c r="D151" s="186" t="s">
        <v>4442</v>
      </c>
      <c r="E151" s="51" t="s">
        <v>1748</v>
      </c>
      <c r="F151" s="149">
        <v>8.47</v>
      </c>
      <c r="G151" s="62" t="s">
        <v>51</v>
      </c>
      <c r="H151" s="62" t="s">
        <v>59</v>
      </c>
      <c r="I151" s="98" t="s">
        <v>1225</v>
      </c>
      <c r="J151" s="98" t="s">
        <v>1241</v>
      </c>
      <c r="K151" s="72" t="str">
        <f t="array" ref="K151">XLOOKUP(A:A,'MLP Data'!A:A, 'MLP Data'!B:B, "Not Found")</f>
        <v>Not Found</v>
      </c>
      <c r="L151" s="72" t="str">
        <f t="array" ref="L151">XLOOKUP(A:A,'MLP Data'!A:A, 'MLP Data'!C:C, "Not Found")</f>
        <v>Not Found</v>
      </c>
      <c r="M151" s="72" t="str">
        <f t="array" ref="M151">XLOOKUP(A:A,'DLP Data'!A:A, 'DLP Data'!B:B, "Not Found")</f>
        <v>Not Found</v>
      </c>
      <c r="N151" s="72" t="str">
        <f t="array" ref="N151">XLOOKUP(A:A,'DLP Data'!A:A, 'DLP Data'!C:C, "Not Found")</f>
        <v>Not Found</v>
      </c>
      <c r="O151" s="94" t="str">
        <f t="array" ref="O151">IF(COUNTIFS(Summary!A:A,A151,Summary!L:L,"YES")&gt;0,"YES",
IFERROR(INDEX(Summary!L:L,MATCH(A151,Summary!A:A,0)),""))</f>
        <v/>
      </c>
      <c r="P151" s="94" t="s">
        <v>1842</v>
      </c>
    </row>
    <row r="152" ht="15.75" customHeight="1">
      <c r="A152" s="62" t="s">
        <v>68</v>
      </c>
      <c r="B152" s="62" t="s">
        <v>62</v>
      </c>
      <c r="C152" s="187" t="s">
        <v>4437</v>
      </c>
      <c r="D152" s="186" t="s">
        <v>4443</v>
      </c>
      <c r="E152" s="51" t="s">
        <v>1748</v>
      </c>
      <c r="F152" s="149">
        <v>7.31</v>
      </c>
      <c r="G152" s="62" t="s">
        <v>51</v>
      </c>
      <c r="H152" s="62" t="s">
        <v>59</v>
      </c>
      <c r="I152" s="98" t="s">
        <v>1045</v>
      </c>
      <c r="J152" s="98" t="s">
        <v>130</v>
      </c>
      <c r="K152" s="72">
        <f t="array" ref="K152">XLOOKUP(A:A,'MLP Data'!A:A, 'MLP Data'!B:B, "Not Found")</f>
        <v>39</v>
      </c>
      <c r="L152" s="72" t="str">
        <f t="array" ref="L152">XLOOKUP(A:A,'MLP Data'!A:A, 'MLP Data'!C:C, "Not Found")</f>
        <v>Try time series forecasting models</v>
      </c>
      <c r="M152" s="72" t="str">
        <f t="array" ref="M152">XLOOKUP(A:A,'DLP Data'!A:A, 'DLP Data'!B:B, "Not Found")</f>
        <v>Not Found</v>
      </c>
      <c r="N152" s="72" t="str">
        <f t="array" ref="N152">XLOOKUP(A:A,'DLP Data'!A:A, 'DLP Data'!C:C, "Not Found")</f>
        <v>Not Found</v>
      </c>
      <c r="O152" s="94" t="str">
        <f t="array" ref="O152">IF(COUNTIFS(Summary!A:A,A152,Summary!L:L,"YES")&gt;0,"YES",
IFERROR(INDEX(Summary!L:L,MATCH(A152,Summary!A:A,0)),""))</f>
        <v/>
      </c>
      <c r="P152" s="67"/>
    </row>
    <row r="153" ht="15.75" customHeight="1">
      <c r="A153" s="62" t="s">
        <v>414</v>
      </c>
      <c r="B153" s="62" t="s">
        <v>1595</v>
      </c>
      <c r="C153" s="187" t="s">
        <v>4444</v>
      </c>
      <c r="D153" s="186" t="s">
        <v>3164</v>
      </c>
      <c r="E153" s="51" t="s">
        <v>1784</v>
      </c>
      <c r="F153" s="149">
        <v>7.75</v>
      </c>
      <c r="G153" s="62" t="s">
        <v>51</v>
      </c>
      <c r="H153" s="62" t="s">
        <v>59</v>
      </c>
      <c r="I153" s="98" t="s">
        <v>1599</v>
      </c>
      <c r="J153" s="98" t="s">
        <v>1604</v>
      </c>
      <c r="K153" s="72" t="str">
        <f t="array" ref="K153">XLOOKUP(A:A,'MLP Data'!A:A, 'MLP Data'!B:B, "Not Found")</f>
        <v>Not Found</v>
      </c>
      <c r="L153" s="72" t="str">
        <f t="array" ref="L153">XLOOKUP(A:A,'MLP Data'!A:A, 'MLP Data'!C:C, "Not Found")</f>
        <v>Not Found</v>
      </c>
      <c r="M153" s="72" t="str">
        <f t="array" ref="M153">XLOOKUP(A:A,'DLP Data'!A:A, 'DLP Data'!B:B, "Not Found")</f>
        <v>Not Found</v>
      </c>
      <c r="N153" s="72" t="str">
        <f t="array" ref="N153">XLOOKUP(A:A,'DLP Data'!A:A, 'DLP Data'!C:C, "Not Found")</f>
        <v>Not Found</v>
      </c>
      <c r="O153" s="94" t="s">
        <v>1842</v>
      </c>
      <c r="P153" s="94" t="s">
        <v>1842</v>
      </c>
    </row>
    <row r="154" ht="15.75" customHeight="1">
      <c r="A154" s="62" t="s">
        <v>656</v>
      </c>
      <c r="B154" s="62" t="s">
        <v>657</v>
      </c>
      <c r="C154" s="187" t="s">
        <v>4444</v>
      </c>
      <c r="D154" s="186" t="s">
        <v>3385</v>
      </c>
      <c r="E154" s="51" t="s">
        <v>1784</v>
      </c>
      <c r="F154" s="149">
        <v>6.7</v>
      </c>
      <c r="G154" s="62" t="s">
        <v>51</v>
      </c>
      <c r="H154" s="62" t="s">
        <v>59</v>
      </c>
      <c r="I154" s="98" t="s">
        <v>1626</v>
      </c>
      <c r="J154" s="98" t="s">
        <v>1629</v>
      </c>
      <c r="K154" s="72" t="str">
        <f t="array" ref="K154">XLOOKUP(A:A,'MLP Data'!A:A, 'MLP Data'!B:B, "Not Found")</f>
        <v>Not Found</v>
      </c>
      <c r="L154" s="72" t="str">
        <f t="array" ref="L154">XLOOKUP(A:A,'MLP Data'!A:A, 'MLP Data'!C:C, "Not Found")</f>
        <v>Not Found</v>
      </c>
      <c r="M154" s="72" t="str">
        <f t="array" ref="M154">XLOOKUP(A:A,'DLP Data'!A:A, 'DLP Data'!B:B, "Not Found")</f>
        <v>Not Found</v>
      </c>
      <c r="N154" s="72" t="str">
        <f t="array" ref="N154">XLOOKUP(A:A,'DLP Data'!A:A, 'DLP Data'!C:C, "Not Found")</f>
        <v>Not Found</v>
      </c>
      <c r="O154" s="94" t="s">
        <v>1842</v>
      </c>
      <c r="P154" s="94" t="s">
        <v>1842</v>
      </c>
    </row>
    <row r="155" ht="15.75" customHeight="1">
      <c r="A155" s="62" t="s">
        <v>89</v>
      </c>
      <c r="B155" s="62" t="s">
        <v>90</v>
      </c>
      <c r="C155" s="187" t="s">
        <v>4444</v>
      </c>
      <c r="D155" s="186" t="s">
        <v>3814</v>
      </c>
      <c r="E155" s="51" t="s">
        <v>1782</v>
      </c>
      <c r="F155" s="149">
        <v>7.27</v>
      </c>
      <c r="G155" s="62" t="s">
        <v>51</v>
      </c>
      <c r="H155" s="62" t="s">
        <v>59</v>
      </c>
      <c r="I155" s="98" t="s">
        <v>1636</v>
      </c>
      <c r="J155" s="98" t="s">
        <v>1639</v>
      </c>
      <c r="K155" s="72">
        <f t="array" ref="K155">XLOOKUP(A:A,'MLP Data'!A:A, 'MLP Data'!B:B, "Not Found")</f>
        <v>32</v>
      </c>
      <c r="L155" s="72" t="str">
        <f t="array" ref="L155">XLOOKUP(A:A,'MLP Data'!A:A, 'MLP Data'!C:C, "Not Found")</f>
        <v>- Conceptual clarity needs to be worked on
- good at using the libraries but conceptual understanding is limited
- not posing the right questions to the data 
- Error analysis is not performed 
- Further Improvement can be made on 
-&gt; data exploration and analysis 
-&gt; conceptual clarity and inner working of a model/algorithm</v>
      </c>
      <c r="M155" s="72" t="str">
        <f t="array" ref="M155">XLOOKUP(A:A,'DLP Data'!A:A, 'DLP Data'!B:B, "Not Found")</f>
        <v>Not Found</v>
      </c>
      <c r="N155" s="72" t="str">
        <f t="array" ref="N155">XLOOKUP(A:A,'DLP Data'!A:A, 'DLP Data'!C:C, "Not Found")</f>
        <v>Not Found</v>
      </c>
      <c r="O155" s="94" t="str">
        <f t="array" ref="O155">IF(COUNTIFS(Summary!A:A,A155,Summary!L:L,"YES")&gt;0,"YES",
IFERROR(INDEX(Summary!L:L,MATCH(A155,Summary!A:A,0)),""))</f>
        <v/>
      </c>
      <c r="P155" s="67"/>
    </row>
    <row r="156" ht="15.75" customHeight="1">
      <c r="A156" s="62" t="s">
        <v>149</v>
      </c>
      <c r="B156" s="62" t="s">
        <v>146</v>
      </c>
      <c r="C156" s="187" t="s">
        <v>4444</v>
      </c>
      <c r="D156" s="186" t="s">
        <v>3858</v>
      </c>
      <c r="E156" s="51" t="s">
        <v>1782</v>
      </c>
      <c r="F156" s="149">
        <v>7.52</v>
      </c>
      <c r="G156" s="62" t="s">
        <v>51</v>
      </c>
      <c r="H156" s="62" t="s">
        <v>59</v>
      </c>
      <c r="I156" s="98" t="s">
        <v>1613</v>
      </c>
      <c r="J156" s="98" t="s">
        <v>1616</v>
      </c>
      <c r="K156" s="72" t="str">
        <f t="array" ref="K156">XLOOKUP(A:A,'MLP Data'!A:A, 'MLP Data'!B:B, "Not Found")</f>
        <v>Not Found</v>
      </c>
      <c r="L156" s="72" t="str">
        <f t="array" ref="L156">XLOOKUP(A:A,'MLP Data'!A:A, 'MLP Data'!C:C, "Not Found")</f>
        <v>Not Found</v>
      </c>
      <c r="M156" s="72">
        <f t="array" ref="M156">XLOOKUP(A:A,'DLP Data'!A:A, 'DLP Data'!B:B, "Not Found")</f>
        <v>32</v>
      </c>
      <c r="N156" s="72" t="str">
        <f t="array" ref="N156">XLOOKUP(A:A,'DLP Data'!A:A, 'DLP Data'!C:C, "Not Found")</f>
        <v>The student presented overly complex notebooks for NPPE 1 and NPPE 2, which appeared to be LLM-generated. This made it difficult for the student to clearly explain the implementation and equally challenging for reviewers to follow and assess the work. The situation pointed to a lack of ownership and insufficient understanding of the code and underlying concepts.
Overall, there were significant gaps across NLP, speech, and vision domains, indicating weak conceptual grounding and inadequate preparation. The student needs to focus on building a clearer understanding of core principles and ensure they can confidently explain and justify their own implementation choices.</v>
      </c>
      <c r="O156" s="94" t="str">
        <f t="array" ref="O156">IF(COUNTIFS(Summary!A:A,A156,Summary!L:L,"YES")&gt;0,"YES",
IFERROR(INDEX(Summary!L:L,MATCH(A156,Summary!A:A,0)),""))</f>
        <v/>
      </c>
      <c r="P156" s="67"/>
    </row>
    <row r="157" ht="15.75" customHeight="1">
      <c r="A157" s="62" t="s">
        <v>87</v>
      </c>
      <c r="B157" s="62" t="s">
        <v>1460</v>
      </c>
      <c r="C157" s="187" t="s">
        <v>4445</v>
      </c>
      <c r="D157" s="186" t="s">
        <v>4438</v>
      </c>
      <c r="E157" s="51" t="s">
        <v>1748</v>
      </c>
      <c r="F157" s="149">
        <v>8.1</v>
      </c>
      <c r="G157" s="62" t="s">
        <v>51</v>
      </c>
      <c r="H157" s="62" t="s">
        <v>59</v>
      </c>
      <c r="I157" s="98" t="s">
        <v>1462</v>
      </c>
      <c r="J157" s="98" t="s">
        <v>1465</v>
      </c>
      <c r="K157" s="72" t="str">
        <f t="array" ref="K157">XLOOKUP(A:A,'MLP Data'!A:A, 'MLP Data'!B:B, "Not Found")</f>
        <v>Not Found</v>
      </c>
      <c r="L157" s="72" t="str">
        <f t="array" ref="L157">XLOOKUP(A:A,'MLP Data'!A:A, 'MLP Data'!C:C, "Not Found")</f>
        <v>Not Found</v>
      </c>
      <c r="M157" s="72">
        <f t="array" ref="M157">XLOOKUP(A:A,'DLP Data'!A:A, 'DLP Data'!B:B, "Not Found")</f>
        <v>40</v>
      </c>
      <c r="N157" s="72" t="str">
        <f t="array" ref="N157">XLOOKUP(A:A,'DLP Data'!A:A, 'DLP Data'!C:C, "Not Found")</f>
        <v>explained whatever he has coded in NPPE notebooks but needs to work on his communication skills. cannot answer how LoRa works, what is positional encoding. can answer only on surface level cannot go deeper than that, needs to revise more on all 3 modules. could not explain ASR pipeline, TTS pipeline. could not answer any questions from image module.</v>
      </c>
      <c r="O157" s="94" t="str">
        <f t="array" ref="O157">IF(COUNTIFS(Summary!A:A,A157,Summary!L:L,"YES")&gt;0,"YES",
IFERROR(INDEX(Summary!L:L,MATCH(A157,Summary!A:A,0)),""))</f>
        <v/>
      </c>
      <c r="P157" s="94" t="s">
        <v>1842</v>
      </c>
    </row>
    <row r="158" ht="15.75" customHeight="1">
      <c r="A158" s="62" t="s">
        <v>211</v>
      </c>
      <c r="B158" s="62" t="s">
        <v>1419</v>
      </c>
      <c r="C158" s="187" t="s">
        <v>4445</v>
      </c>
      <c r="D158" s="186" t="s">
        <v>4446</v>
      </c>
      <c r="E158" s="51" t="s">
        <v>1748</v>
      </c>
      <c r="F158" s="149">
        <v>6.94</v>
      </c>
      <c r="G158" s="62" t="s">
        <v>51</v>
      </c>
      <c r="H158" s="62" t="s">
        <v>59</v>
      </c>
      <c r="I158" s="98" t="s">
        <v>1427</v>
      </c>
      <c r="J158" s="98" t="s">
        <v>1433</v>
      </c>
      <c r="K158" s="72" t="str">
        <f t="array" ref="K158">XLOOKUP(A:A,'MLP Data'!A:A, 'MLP Data'!B:B, "Not Found")</f>
        <v>Not Found</v>
      </c>
      <c r="L158" s="72" t="str">
        <f t="array" ref="L158">XLOOKUP(A:A,'MLP Data'!A:A, 'MLP Data'!C:C, "Not Found")</f>
        <v>Not Found</v>
      </c>
      <c r="M158" s="72" t="str">
        <f t="array" ref="M158">XLOOKUP(A:A,'DLP Data'!A:A, 'DLP Data'!B:B, "Not Found")</f>
        <v>Not Found</v>
      </c>
      <c r="N158" s="72" t="str">
        <f t="array" ref="N158">XLOOKUP(A:A,'DLP Data'!A:A, 'DLP Data'!C:C, "Not Found")</f>
        <v>Not Found</v>
      </c>
      <c r="O158" s="94" t="str">
        <f t="array" ref="O158">IF(COUNTIFS(Summary!A:A,A158,Summary!L:L,"YES")&gt;0,"YES",
IFERROR(INDEX(Summary!L:L,MATCH(A158,Summary!A:A,0)),""))</f>
        <v/>
      </c>
      <c r="P158" s="94" t="s">
        <v>1842</v>
      </c>
    </row>
    <row r="159" ht="15.75" customHeight="1">
      <c r="A159" s="62" t="s">
        <v>99</v>
      </c>
      <c r="B159" s="62" t="s">
        <v>1004</v>
      </c>
      <c r="C159" s="187" t="s">
        <v>4445</v>
      </c>
      <c r="D159" s="186" t="s">
        <v>4439</v>
      </c>
      <c r="E159" s="51" t="s">
        <v>1748</v>
      </c>
      <c r="F159" s="149">
        <v>8.05</v>
      </c>
      <c r="G159" s="62" t="s">
        <v>51</v>
      </c>
      <c r="H159" s="62" t="s">
        <v>59</v>
      </c>
      <c r="I159" s="98" t="s">
        <v>1012</v>
      </c>
      <c r="J159" s="98" t="s">
        <v>951</v>
      </c>
      <c r="K159" s="72">
        <f t="array" ref="K159">XLOOKUP(A:A,'MLP Data'!A:A, 'MLP Data'!B:B, "Not Found")</f>
        <v>50</v>
      </c>
      <c r="L159" s="72" t="str">
        <f t="array" ref="L159">XLOOKUP(A:A,'MLP Data'!A:A, 'MLP Data'!C:C, "Not Found")</f>
        <v>Feedback: Outstanding performance across all categories—excellent EDA, creativity, code quality, and strong viva understanding.
Industry Suggestion: Continue this momentum. Start contributing to GitHub/Kaggle to build a strong industry-ready portfolio.</v>
      </c>
      <c r="M159" s="72" t="str">
        <f t="array" ref="M159">XLOOKUP(A:A,'DLP Data'!A:A, 'DLP Data'!B:B, "Not Found")</f>
        <v>Not Found</v>
      </c>
      <c r="N159" s="72" t="str">
        <f t="array" ref="N159">XLOOKUP(A:A,'DLP Data'!A:A, 'DLP Data'!C:C, "Not Found")</f>
        <v>Not Found</v>
      </c>
      <c r="O159" s="94" t="str">
        <f t="array" ref="O159">IF(COUNTIFS(Summary!A:A,A159,Summary!L:L,"YES")&gt;0,"YES",
IFERROR(INDEX(Summary!L:L,MATCH(A159,Summary!A:A,0)),""))</f>
        <v/>
      </c>
      <c r="P159" s="94" t="s">
        <v>1842</v>
      </c>
    </row>
    <row r="160" ht="15.75" customHeight="1">
      <c r="A160" s="62" t="s">
        <v>1294</v>
      </c>
      <c r="B160" s="62" t="s">
        <v>1353</v>
      </c>
      <c r="C160" s="187" t="s">
        <v>4445</v>
      </c>
      <c r="D160" s="186" t="s">
        <v>4440</v>
      </c>
      <c r="E160" s="51" t="s">
        <v>1748</v>
      </c>
      <c r="F160" s="149">
        <v>7.89</v>
      </c>
      <c r="G160" s="62" t="s">
        <v>51</v>
      </c>
      <c r="H160" s="62" t="s">
        <v>49</v>
      </c>
      <c r="I160" s="98" t="s">
        <v>1362</v>
      </c>
      <c r="J160" s="98" t="s">
        <v>1375</v>
      </c>
      <c r="K160" s="72" t="str">
        <f t="array" ref="K160">XLOOKUP(A:A,'MLP Data'!A:A, 'MLP Data'!B:B, "Not Found")</f>
        <v>Not Found</v>
      </c>
      <c r="L160" s="72" t="str">
        <f t="array" ref="L160">XLOOKUP(A:A,'MLP Data'!A:A, 'MLP Data'!C:C, "Not Found")</f>
        <v>Not Found</v>
      </c>
      <c r="M160" s="72" t="str">
        <f t="array" ref="M160">XLOOKUP(A:A,'DLP Data'!A:A, 'DLP Data'!B:B, "Not Found")</f>
        <v>Not Found</v>
      </c>
      <c r="N160" s="72" t="str">
        <f t="array" ref="N160">XLOOKUP(A:A,'DLP Data'!A:A, 'DLP Data'!C:C, "Not Found")</f>
        <v>Not Found</v>
      </c>
      <c r="O160" s="94" t="str">
        <f t="array" ref="O160">IF(COUNTIFS(Summary!A:A,A160,Summary!L:L,"YES")&gt;0,"YES",
IFERROR(INDEX(Summary!L:L,MATCH(A160,Summary!A:A,0)),""))</f>
        <v/>
      </c>
      <c r="P160" s="94" t="s">
        <v>1833</v>
      </c>
    </row>
    <row r="161" ht="15.75" customHeight="1">
      <c r="A161" s="62" t="s">
        <v>1266</v>
      </c>
      <c r="B161" s="62" t="s">
        <v>1391</v>
      </c>
      <c r="C161" s="187" t="s">
        <v>4445</v>
      </c>
      <c r="D161" s="186" t="s">
        <v>4441</v>
      </c>
      <c r="E161" s="51" t="s">
        <v>1748</v>
      </c>
      <c r="F161" s="149">
        <v>7.52</v>
      </c>
      <c r="G161" s="62" t="s">
        <v>51</v>
      </c>
      <c r="H161" s="62" t="s">
        <v>49</v>
      </c>
      <c r="I161" s="98" t="s">
        <v>1400</v>
      </c>
      <c r="J161" s="98" t="s">
        <v>1407</v>
      </c>
      <c r="K161" s="72" t="str">
        <f t="array" ref="K161">XLOOKUP(A:A,'MLP Data'!A:A, 'MLP Data'!B:B, "Not Found")</f>
        <v>Not Found</v>
      </c>
      <c r="L161" s="72" t="str">
        <f t="array" ref="L161">XLOOKUP(A:A,'MLP Data'!A:A, 'MLP Data'!C:C, "Not Found")</f>
        <v>Not Found</v>
      </c>
      <c r="M161" s="72" t="str">
        <f t="array" ref="M161">XLOOKUP(A:A,'DLP Data'!A:A, 'DLP Data'!B:B, "Not Found")</f>
        <v>Not Found</v>
      </c>
      <c r="N161" s="72" t="str">
        <f t="array" ref="N161">XLOOKUP(A:A,'DLP Data'!A:A, 'DLP Data'!C:C, "Not Found")</f>
        <v>Not Found</v>
      </c>
      <c r="O161" s="94" t="str">
        <f t="array" ref="O161">IF(COUNTIFS(Summary!A:A,A161,Summary!L:L,"YES")&gt;0,"YES",
IFERROR(INDEX(Summary!L:L,MATCH(A161,Summary!A:A,0)),""))</f>
        <v/>
      </c>
      <c r="P161" s="67"/>
    </row>
    <row r="162" ht="15.75" customHeight="1">
      <c r="A162" s="62" t="s">
        <v>855</v>
      </c>
      <c r="B162" s="62" t="s">
        <v>856</v>
      </c>
      <c r="C162" s="187" t="s">
        <v>4445</v>
      </c>
      <c r="D162" s="186" t="s">
        <v>4447</v>
      </c>
      <c r="E162" s="51" t="s">
        <v>1748</v>
      </c>
      <c r="F162" s="149">
        <v>9.02</v>
      </c>
      <c r="G162" s="62" t="s">
        <v>51</v>
      </c>
      <c r="H162" s="62" t="s">
        <v>59</v>
      </c>
      <c r="I162" s="98" t="s">
        <v>1331</v>
      </c>
      <c r="J162" s="98" t="s">
        <v>1338</v>
      </c>
      <c r="K162" s="72" t="str">
        <f t="array" ref="K162">XLOOKUP(A:A,'MLP Data'!A:A, 'MLP Data'!B:B, "Not Found")</f>
        <v>Not Found</v>
      </c>
      <c r="L162" s="72" t="str">
        <f t="array" ref="L162">XLOOKUP(A:A,'MLP Data'!A:A, 'MLP Data'!C:C, "Not Found")</f>
        <v>Not Found</v>
      </c>
      <c r="M162" s="72" t="str">
        <f t="array" ref="M162">XLOOKUP(A:A,'DLP Data'!A:A, 'DLP Data'!B:B, "Not Found")</f>
        <v>Not Found</v>
      </c>
      <c r="N162" s="72" t="str">
        <f t="array" ref="N162">XLOOKUP(A:A,'DLP Data'!A:A, 'DLP Data'!C:C, "Not Found")</f>
        <v>Not Found</v>
      </c>
      <c r="O162" s="94" t="str">
        <f t="array" ref="O162">IF(COUNTIFS(Summary!A:A,A162,Summary!L:L,"YES")&gt;0,"YES",
IFERROR(INDEX(Summary!L:L,MATCH(A162,Summary!A:A,0)),""))</f>
        <v/>
      </c>
      <c r="P162" s="94" t="s">
        <v>1842</v>
      </c>
    </row>
    <row r="163" ht="15.75" customHeight="1">
      <c r="A163" s="62" t="s">
        <v>564</v>
      </c>
      <c r="B163" s="62" t="s">
        <v>1179</v>
      </c>
      <c r="C163" s="187" t="s">
        <v>4445</v>
      </c>
      <c r="D163" s="186" t="s">
        <v>4442</v>
      </c>
      <c r="E163" s="51" t="s">
        <v>1748</v>
      </c>
      <c r="F163" s="149">
        <v>7.81</v>
      </c>
      <c r="G163" s="62" t="s">
        <v>51</v>
      </c>
      <c r="H163" s="62" t="s">
        <v>59</v>
      </c>
      <c r="I163" s="98" t="s">
        <v>1183</v>
      </c>
      <c r="J163" s="98" t="s">
        <v>1192</v>
      </c>
      <c r="K163" s="72">
        <f t="array" ref="K163">XLOOKUP(A:A,'MLP Data'!A:A, 'MLP Data'!B:B, "Not Found")</f>
        <v>32</v>
      </c>
      <c r="L163" s="72" t="str">
        <f t="array" ref="L163">XLOOKUP(A:A,'MLP Data'!A:A, 'MLP Data'!C:C, "Not Found")</f>
        <v>1.work on feature engineering and EDA.
2.Work on statistical analysis.
3.Work on data quality issue and findings
</v>
      </c>
      <c r="M163" s="72" t="str">
        <f t="array" ref="M163">XLOOKUP(A:A,'DLP Data'!A:A, 'DLP Data'!B:B, "Not Found")</f>
        <v>Not Found</v>
      </c>
      <c r="N163" s="72" t="str">
        <f t="array" ref="N163">XLOOKUP(A:A,'DLP Data'!A:A, 'DLP Data'!C:C, "Not Found")</f>
        <v>Not Found</v>
      </c>
      <c r="O163" s="94" t="str">
        <f t="array" ref="O163">IF(COUNTIFS(Summary!A:A,A163,Summary!L:L,"YES")&gt;0,"YES",
IFERROR(INDEX(Summary!L:L,MATCH(A163,Summary!A:A,0)),""))</f>
        <v/>
      </c>
      <c r="P163" s="94" t="s">
        <v>1842</v>
      </c>
    </row>
    <row r="164" ht="15.75" customHeight="1">
      <c r="A164" s="62" t="s">
        <v>143</v>
      </c>
      <c r="B164" s="62" t="s">
        <v>144</v>
      </c>
      <c r="C164" s="187" t="s">
        <v>4445</v>
      </c>
      <c r="D164" s="186" t="s">
        <v>4443</v>
      </c>
      <c r="E164" s="51" t="s">
        <v>1748</v>
      </c>
      <c r="F164" s="149">
        <v>7.79</v>
      </c>
      <c r="G164" s="62" t="s">
        <v>51</v>
      </c>
      <c r="H164" s="62" t="s">
        <v>49</v>
      </c>
      <c r="I164" s="98" t="s">
        <v>1116</v>
      </c>
      <c r="J164" s="98" t="s">
        <v>1126</v>
      </c>
      <c r="K164" s="72" t="str">
        <f t="array" ref="K164">XLOOKUP(A:A,'MLP Data'!A:A, 'MLP Data'!B:B, "Not Found")</f>
        <v>Not Found</v>
      </c>
      <c r="L164" s="72" t="str">
        <f t="array" ref="L164">XLOOKUP(A:A,'MLP Data'!A:A, 'MLP Data'!C:C, "Not Found")</f>
        <v>Not Found</v>
      </c>
      <c r="M164" s="72" t="str">
        <f t="array" ref="M164">XLOOKUP(A:A,'DLP Data'!A:A, 'DLP Data'!B:B, "Not Found")</f>
        <v>Not Found</v>
      </c>
      <c r="N164" s="72" t="str">
        <f t="array" ref="N164">XLOOKUP(A:A,'DLP Data'!A:A, 'DLP Data'!C:C, "Not Found")</f>
        <v>Not Found</v>
      </c>
      <c r="O164" s="94" t="str">
        <f t="array" ref="O164">IF(COUNTIFS(Summary!A:A,A164,Summary!L:L,"YES")&gt;0,"YES",
IFERROR(INDEX(Summary!L:L,MATCH(A164,Summary!A:A,0)),""))</f>
        <v/>
      </c>
      <c r="P164" s="94" t="s">
        <v>1842</v>
      </c>
    </row>
    <row r="165" ht="15.75" customHeight="1">
      <c r="A165" s="62" t="s">
        <v>512</v>
      </c>
      <c r="B165" s="62" t="s">
        <v>517</v>
      </c>
      <c r="C165" s="187" t="s">
        <v>4445</v>
      </c>
      <c r="D165" s="186" t="s">
        <v>3814</v>
      </c>
      <c r="E165" s="51" t="s">
        <v>1782</v>
      </c>
      <c r="F165" s="149">
        <v>8.38</v>
      </c>
      <c r="G165" s="62" t="s">
        <v>51</v>
      </c>
      <c r="H165" s="62" t="s">
        <v>59</v>
      </c>
      <c r="I165" s="98" t="s">
        <v>1647</v>
      </c>
      <c r="J165" s="98" t="s">
        <v>1184</v>
      </c>
      <c r="K165" s="72" t="str">
        <f t="array" ref="K165">XLOOKUP(A:A,'MLP Data'!A:A, 'MLP Data'!B:B, "Not Found")</f>
        <v>Not Found</v>
      </c>
      <c r="L165" s="72" t="str">
        <f t="array" ref="L165">XLOOKUP(A:A,'MLP Data'!A:A, 'MLP Data'!C:C, "Not Found")</f>
        <v>Not Found</v>
      </c>
      <c r="M165" s="72" t="str">
        <f t="array" ref="M165">XLOOKUP(A:A,'DLP Data'!A:A, 'DLP Data'!B:B, "Not Found")</f>
        <v>Not Found</v>
      </c>
      <c r="N165" s="72" t="str">
        <f t="array" ref="N165">XLOOKUP(A:A,'DLP Data'!A:A, 'DLP Data'!C:C, "Not Found")</f>
        <v>Not Found</v>
      </c>
      <c r="O165" s="94" t="str">
        <f t="array" ref="O165">IF(COUNTIFS(Summary!A:A,A165,Summary!L:L,"YES")&gt;0,"YES",
IFERROR(INDEX(Summary!L:L,MATCH(A165,Summary!A:A,0)),""))</f>
        <v/>
      </c>
      <c r="P165" s="67"/>
    </row>
    <row r="166" ht="15.75" customHeight="1">
      <c r="A166" s="62" t="s">
        <v>683</v>
      </c>
      <c r="B166" s="62" t="s">
        <v>685</v>
      </c>
      <c r="C166" s="187" t="s">
        <v>4445</v>
      </c>
      <c r="D166" s="186" t="s">
        <v>3858</v>
      </c>
      <c r="E166" s="51" t="s">
        <v>1782</v>
      </c>
      <c r="F166" s="149">
        <v>8.3</v>
      </c>
      <c r="G166" s="62" t="s">
        <v>51</v>
      </c>
      <c r="H166" s="62" t="s">
        <v>59</v>
      </c>
      <c r="I166" s="98" t="s">
        <v>1584</v>
      </c>
      <c r="J166" s="98" t="s">
        <v>1590</v>
      </c>
      <c r="K166" s="72" t="str">
        <f t="array" ref="K166">XLOOKUP(A:A,'MLP Data'!A:A, 'MLP Data'!B:B, "Not Found")</f>
        <v>Not Found</v>
      </c>
      <c r="L166" s="72" t="str">
        <f t="array" ref="L166">XLOOKUP(A:A,'MLP Data'!A:A, 'MLP Data'!C:C, "Not Found")</f>
        <v>Not Found</v>
      </c>
      <c r="M166" s="72" t="str">
        <f t="array" ref="M166">XLOOKUP(A:A,'DLP Data'!A:A, 'DLP Data'!B:B, "Not Found")</f>
        <v>Not Found</v>
      </c>
      <c r="N166" s="72" t="str">
        <f t="array" ref="N166">XLOOKUP(A:A,'DLP Data'!A:A, 'DLP Data'!C:C, "Not Found")</f>
        <v>Not Found</v>
      </c>
      <c r="O166" s="94" t="str">
        <f t="array" ref="O166">IF(COUNTIFS(Summary!A:A,A166,Summary!L:L,"YES")&gt;0,"YES",
IFERROR(INDEX(Summary!L:L,MATCH(A166,Summary!A:A,0)),""))</f>
        <v/>
      </c>
      <c r="P166" s="63" t="s">
        <v>1842</v>
      </c>
    </row>
    <row r="167" ht="15.75" customHeight="1">
      <c r="A167" s="62" t="s">
        <v>18</v>
      </c>
      <c r="B167" s="62" t="s">
        <v>19</v>
      </c>
      <c r="C167" s="187" t="s">
        <v>4448</v>
      </c>
      <c r="D167" s="186" t="s">
        <v>4438</v>
      </c>
      <c r="E167" s="51" t="s">
        <v>1748</v>
      </c>
      <c r="F167" s="149">
        <v>8.53</v>
      </c>
      <c r="G167" s="62" t="s">
        <v>51</v>
      </c>
      <c r="H167" s="62" t="s">
        <v>59</v>
      </c>
      <c r="I167" s="98" t="s">
        <v>1163</v>
      </c>
      <c r="J167" s="98" t="s">
        <v>321</v>
      </c>
      <c r="K167" s="72" t="str">
        <f t="array" ref="K167">XLOOKUP(A:A,'MLP Data'!A:A, 'MLP Data'!B:B, "Not Found")</f>
        <v>Not Found</v>
      </c>
      <c r="L167" s="72" t="str">
        <f t="array" ref="L167">XLOOKUP(A:A,'MLP Data'!A:A, 'MLP Data'!C:C, "Not Found")</f>
        <v>Not Found</v>
      </c>
      <c r="M167" s="72" t="str">
        <f t="array" ref="M167">XLOOKUP(A:A,'DLP Data'!A:A, 'DLP Data'!B:B, "Not Found")</f>
        <v>Not Found</v>
      </c>
      <c r="N167" s="72" t="str">
        <f t="array" ref="N167">XLOOKUP(A:A,'DLP Data'!A:A, 'DLP Data'!C:C, "Not Found")</f>
        <v>Not Found</v>
      </c>
      <c r="O167" s="94" t="str">
        <f t="array" ref="O167">IF(COUNTIFS(Summary!A:A,A167,Summary!L:L,"YES")&gt;0,"YES",
IFERROR(INDEX(Summary!L:L,MATCH(A167,Summary!A:A,0)),""))</f>
        <v/>
      </c>
      <c r="P167" s="67"/>
    </row>
    <row r="168" ht="15.75" customHeight="1">
      <c r="A168" s="62" t="s">
        <v>60</v>
      </c>
      <c r="B168" s="62" t="s">
        <v>61</v>
      </c>
      <c r="C168" s="187" t="s">
        <v>4448</v>
      </c>
      <c r="D168" s="186" t="s">
        <v>4446</v>
      </c>
      <c r="E168" s="51" t="s">
        <v>1748</v>
      </c>
      <c r="F168" s="149">
        <v>6.64</v>
      </c>
      <c r="G168" s="62" t="s">
        <v>51</v>
      </c>
      <c r="H168" s="62" t="s">
        <v>49</v>
      </c>
      <c r="I168" s="98" t="s">
        <v>1309</v>
      </c>
      <c r="J168" s="98" t="s">
        <v>1316</v>
      </c>
      <c r="K168" s="72" t="str">
        <f t="array" ref="K168">XLOOKUP(A:A,'MLP Data'!A:A, 'MLP Data'!B:B, "Not Found")</f>
        <v>Not Found</v>
      </c>
      <c r="L168" s="72" t="str">
        <f t="array" ref="L168">XLOOKUP(A:A,'MLP Data'!A:A, 'MLP Data'!C:C, "Not Found")</f>
        <v>Not Found</v>
      </c>
      <c r="M168" s="72" t="str">
        <f t="array" ref="M168">XLOOKUP(A:A,'DLP Data'!A:A, 'DLP Data'!B:B, "Not Found")</f>
        <v>Not Found</v>
      </c>
      <c r="N168" s="72" t="str">
        <f t="array" ref="N168">XLOOKUP(A:A,'DLP Data'!A:A, 'DLP Data'!C:C, "Not Found")</f>
        <v>Not Found</v>
      </c>
      <c r="O168" s="94" t="str">
        <f t="array" ref="O168">IF(COUNTIFS(Summary!A:A,A168,Summary!L:L,"YES")&gt;0,"YES",
IFERROR(INDEX(Summary!L:L,MATCH(A168,Summary!A:A,0)),""))</f>
        <v/>
      </c>
      <c r="P168" s="94" t="s">
        <v>1842</v>
      </c>
    </row>
    <row r="169" ht="15.75" customHeight="1">
      <c r="A169" s="62" t="s">
        <v>142</v>
      </c>
      <c r="B169" s="62" t="s">
        <v>1282</v>
      </c>
      <c r="C169" s="187" t="s">
        <v>4448</v>
      </c>
      <c r="D169" s="186" t="s">
        <v>4439</v>
      </c>
      <c r="E169" s="51" t="s">
        <v>1748</v>
      </c>
      <c r="F169" s="149">
        <v>6.44</v>
      </c>
      <c r="G169" s="62" t="s">
        <v>51</v>
      </c>
      <c r="H169" s="62" t="s">
        <v>59</v>
      </c>
      <c r="I169" s="98" t="s">
        <v>1287</v>
      </c>
      <c r="J169" s="98" t="s">
        <v>1287</v>
      </c>
      <c r="K169" s="72" t="str">
        <f t="array" ref="K169">XLOOKUP(A:A,'MLP Data'!A:A, 'MLP Data'!B:B, "Not Found")</f>
        <v>Not Found</v>
      </c>
      <c r="L169" s="72" t="str">
        <f t="array" ref="L169">XLOOKUP(A:A,'MLP Data'!A:A, 'MLP Data'!C:C, "Not Found")</f>
        <v>Not Found</v>
      </c>
      <c r="M169" s="72" t="str">
        <f t="array" ref="M169">XLOOKUP(A:A,'DLP Data'!A:A, 'DLP Data'!B:B, "Not Found")</f>
        <v>Not Found</v>
      </c>
      <c r="N169" s="72" t="str">
        <f t="array" ref="N169">XLOOKUP(A:A,'DLP Data'!A:A, 'DLP Data'!C:C, "Not Found")</f>
        <v>Not Found</v>
      </c>
      <c r="O169" s="94" t="str">
        <f t="array" ref="O169">IF(COUNTIFS(Summary!A:A,A169,Summary!L:L,"YES")&gt;0,"YES",
IFERROR(INDEX(Summary!L:L,MATCH(A169,Summary!A:A,0)),""))</f>
        <v/>
      </c>
      <c r="P169" s="67"/>
    </row>
    <row r="170" ht="15.75" customHeight="1">
      <c r="A170" s="62" t="s">
        <v>969</v>
      </c>
      <c r="B170" s="62" t="s">
        <v>966</v>
      </c>
      <c r="C170" s="187" t="s">
        <v>4448</v>
      </c>
      <c r="D170" s="186" t="s">
        <v>4440</v>
      </c>
      <c r="E170" s="51" t="s">
        <v>1748</v>
      </c>
      <c r="F170" s="149">
        <v>8.06</v>
      </c>
      <c r="G170" s="62" t="s">
        <v>51</v>
      </c>
      <c r="H170" s="62" t="s">
        <v>59</v>
      </c>
      <c r="I170" s="98" t="s">
        <v>978</v>
      </c>
      <c r="J170" s="98" t="s">
        <v>989</v>
      </c>
      <c r="K170" s="72" t="str">
        <f t="array" ref="K170">XLOOKUP(A:A,'MLP Data'!A:A, 'MLP Data'!B:B, "Not Found")</f>
        <v>Not Found</v>
      </c>
      <c r="L170" s="72" t="str">
        <f t="array" ref="L170">XLOOKUP(A:A,'MLP Data'!A:A, 'MLP Data'!C:C, "Not Found")</f>
        <v>Not Found</v>
      </c>
      <c r="M170" s="72" t="str">
        <f t="array" ref="M170">XLOOKUP(A:A,'DLP Data'!A:A, 'DLP Data'!B:B, "Not Found")</f>
        <v>Not Found</v>
      </c>
      <c r="N170" s="72" t="str">
        <f t="array" ref="N170">XLOOKUP(A:A,'DLP Data'!A:A, 'DLP Data'!C:C, "Not Found")</f>
        <v>Not Found</v>
      </c>
      <c r="O170" s="94" t="str">
        <f t="array" ref="O170">IF(COUNTIFS(Summary!A:A,A170,Summary!L:L,"YES")&gt;0,"YES",
IFERROR(INDEX(Summary!L:L,MATCH(A170,Summary!A:A,0)),""))</f>
        <v/>
      </c>
      <c r="P170" s="94" t="s">
        <v>1842</v>
      </c>
    </row>
    <row r="171" ht="15.75" customHeight="1">
      <c r="A171" s="62" t="s">
        <v>373</v>
      </c>
      <c r="B171" s="62" t="s">
        <v>1253</v>
      </c>
      <c r="C171" s="187" t="s">
        <v>4448</v>
      </c>
      <c r="D171" s="186" t="s">
        <v>4441</v>
      </c>
      <c r="E171" s="51" t="s">
        <v>1748</v>
      </c>
      <c r="F171" s="149">
        <v>8.48</v>
      </c>
      <c r="G171" s="62" t="s">
        <v>51</v>
      </c>
      <c r="H171" s="62" t="s">
        <v>49</v>
      </c>
      <c r="I171" s="98" t="s">
        <v>1259</v>
      </c>
      <c r="J171" s="98" t="s">
        <v>1265</v>
      </c>
      <c r="K171" s="72" t="str">
        <f t="array" ref="K171">XLOOKUP(A:A,'MLP Data'!A:A, 'MLP Data'!B:B, "Not Found")</f>
        <v>Not Found</v>
      </c>
      <c r="L171" s="72" t="str">
        <f t="array" ref="L171">XLOOKUP(A:A,'MLP Data'!A:A, 'MLP Data'!C:C, "Not Found")</f>
        <v>Not Found</v>
      </c>
      <c r="M171" s="72" t="str">
        <f t="array" ref="M171">XLOOKUP(A:A,'DLP Data'!A:A, 'DLP Data'!B:B, "Not Found")</f>
        <v>Not Found</v>
      </c>
      <c r="N171" s="72" t="str">
        <f t="array" ref="N171">XLOOKUP(A:A,'DLP Data'!A:A, 'DLP Data'!C:C, "Not Found")</f>
        <v>Not Found</v>
      </c>
      <c r="O171" s="94" t="str">
        <f t="array" ref="O171">IF(COUNTIFS(Summary!A:A,A171,Summary!L:L,"YES")&gt;0,"YES",
IFERROR(INDEX(Summary!L:L,MATCH(A171,Summary!A:A,0)),""))</f>
        <v/>
      </c>
      <c r="P171" s="94" t="s">
        <v>1842</v>
      </c>
    </row>
    <row r="172" ht="15.75" customHeight="1">
      <c r="A172" s="62" t="s">
        <v>893</v>
      </c>
      <c r="B172" s="62" t="s">
        <v>1138</v>
      </c>
      <c r="C172" s="187" t="s">
        <v>4448</v>
      </c>
      <c r="D172" s="186" t="s">
        <v>4447</v>
      </c>
      <c r="E172" s="51" t="s">
        <v>1748</v>
      </c>
      <c r="F172" s="149">
        <v>8.86</v>
      </c>
      <c r="G172" s="62" t="s">
        <v>51</v>
      </c>
      <c r="H172" s="62" t="s">
        <v>49</v>
      </c>
      <c r="I172" s="98" t="s">
        <v>1144</v>
      </c>
      <c r="J172" s="98" t="s">
        <v>1150</v>
      </c>
      <c r="K172" s="72" t="str">
        <f t="array" ref="K172">XLOOKUP(A:A,'MLP Data'!A:A, 'MLP Data'!B:B, "Not Found")</f>
        <v>Not Found</v>
      </c>
      <c r="L172" s="72" t="str">
        <f t="array" ref="L172">XLOOKUP(A:A,'MLP Data'!A:A, 'MLP Data'!C:C, "Not Found")</f>
        <v>Not Found</v>
      </c>
      <c r="M172" s="72" t="str">
        <f t="array" ref="M172">XLOOKUP(A:A,'DLP Data'!A:A, 'DLP Data'!B:B, "Not Found")</f>
        <v>Not Found</v>
      </c>
      <c r="N172" s="72" t="str">
        <f t="array" ref="N172">XLOOKUP(A:A,'DLP Data'!A:A, 'DLP Data'!C:C, "Not Found")</f>
        <v>Not Found</v>
      </c>
      <c r="O172" s="94" t="str">
        <f t="array" ref="O172">IF(COUNTIFS(Summary!A:A,A172,Summary!L:L,"YES")&gt;0,"YES",
IFERROR(INDEX(Summary!L:L,MATCH(A172,Summary!A:A,0)),""))</f>
        <v/>
      </c>
      <c r="P172" s="94" t="s">
        <v>1842</v>
      </c>
    </row>
    <row r="173" ht="15.75" customHeight="1">
      <c r="A173" s="62" t="s">
        <v>212</v>
      </c>
      <c r="B173" s="62" t="s">
        <v>210</v>
      </c>
      <c r="C173" s="187" t="s">
        <v>4448</v>
      </c>
      <c r="D173" s="186" t="s">
        <v>4442</v>
      </c>
      <c r="E173" s="51" t="s">
        <v>1748</v>
      </c>
      <c r="F173" s="149">
        <v>6.41</v>
      </c>
      <c r="G173" s="62" t="s">
        <v>51</v>
      </c>
      <c r="H173" s="62" t="s">
        <v>59</v>
      </c>
      <c r="I173" s="98" t="s">
        <v>1070</v>
      </c>
      <c r="J173" s="98" t="s">
        <v>224</v>
      </c>
      <c r="K173" s="72" t="str">
        <f t="array" ref="K173">XLOOKUP(A:A,'MLP Data'!A:A, 'MLP Data'!B:B, "Not Found")</f>
        <v>Not Found</v>
      </c>
      <c r="L173" s="72" t="str">
        <f t="array" ref="L173">XLOOKUP(A:A,'MLP Data'!A:A, 'MLP Data'!C:C, "Not Found")</f>
        <v>Not Found</v>
      </c>
      <c r="M173" s="72" t="str">
        <f t="array" ref="M173">XLOOKUP(A:A,'DLP Data'!A:A, 'DLP Data'!B:B, "Not Found")</f>
        <v>Not Found</v>
      </c>
      <c r="N173" s="72" t="str">
        <f t="array" ref="N173">XLOOKUP(A:A,'DLP Data'!A:A, 'DLP Data'!C:C, "Not Found")</f>
        <v>Not Found</v>
      </c>
      <c r="O173" s="94" t="str">
        <f t="array" ref="O173">IF(COUNTIFS(Summary!A:A,A173,Summary!L:L,"YES")&gt;0,"YES",
IFERROR(INDEX(Summary!L:L,MATCH(A173,Summary!A:A,0)),""))</f>
        <v/>
      </c>
      <c r="P173" s="67"/>
    </row>
    <row r="174" ht="15.75" customHeight="1">
      <c r="A174" s="62" t="s">
        <v>1087</v>
      </c>
      <c r="B174" s="62" t="s">
        <v>1084</v>
      </c>
      <c r="C174" s="187" t="s">
        <v>4448</v>
      </c>
      <c r="D174" s="186" t="s">
        <v>4443</v>
      </c>
      <c r="E174" s="51" t="s">
        <v>1748</v>
      </c>
      <c r="F174" s="149">
        <v>8.18</v>
      </c>
      <c r="G174" s="62" t="s">
        <v>51</v>
      </c>
      <c r="H174" s="62" t="s">
        <v>59</v>
      </c>
      <c r="I174" s="98" t="s">
        <v>1091</v>
      </c>
      <c r="J174" s="98" t="s">
        <v>1098</v>
      </c>
      <c r="K174" s="72" t="str">
        <f t="array" ref="K174">XLOOKUP(A:A,'MLP Data'!A:A, 'MLP Data'!B:B, "Not Found")</f>
        <v>Not Found</v>
      </c>
      <c r="L174" s="72" t="str">
        <f t="array" ref="L174">XLOOKUP(A:A,'MLP Data'!A:A, 'MLP Data'!C:C, "Not Found")</f>
        <v>Not Found</v>
      </c>
      <c r="M174" s="72" t="str">
        <f t="array" ref="M174">XLOOKUP(A:A,'DLP Data'!A:A, 'DLP Data'!B:B, "Not Found")</f>
        <v>Not Found</v>
      </c>
      <c r="N174" s="72" t="str">
        <f t="array" ref="N174">XLOOKUP(A:A,'DLP Data'!A:A, 'DLP Data'!C:C, "Not Found")</f>
        <v>Not Found</v>
      </c>
      <c r="O174" s="94" t="str">
        <f t="array" ref="O174">IF(COUNTIFS(Summary!A:A,A174,Summary!L:L,"YES")&gt;0,"YES",
IFERROR(INDEX(Summary!L:L,MATCH(A174,Summary!A:A,0)),""))</f>
        <v/>
      </c>
      <c r="P174" s="63" t="s">
        <v>1842</v>
      </c>
    </row>
    <row r="175" ht="15.75" customHeight="1">
      <c r="A175" s="62" t="s">
        <v>907</v>
      </c>
      <c r="B175" s="62" t="s">
        <v>905</v>
      </c>
      <c r="C175" s="187" t="s">
        <v>4448</v>
      </c>
      <c r="D175" s="186" t="s">
        <v>3164</v>
      </c>
      <c r="E175" s="51" t="s">
        <v>1770</v>
      </c>
      <c r="F175" s="149">
        <v>7.61</v>
      </c>
      <c r="G175" s="62" t="s">
        <v>51</v>
      </c>
      <c r="H175" s="62" t="s">
        <v>49</v>
      </c>
      <c r="I175" s="101" t="s">
        <v>911</v>
      </c>
      <c r="J175" s="101" t="s">
        <v>920</v>
      </c>
      <c r="K175" s="72" t="str">
        <f t="array" ref="K175">XLOOKUP(A:A,'MLP Data'!A:A, 'MLP Data'!B:B, "Not Found")</f>
        <v>Not Found</v>
      </c>
      <c r="L175" s="72" t="str">
        <f t="array" ref="L175">XLOOKUP(A:A,'MLP Data'!A:A, 'MLP Data'!C:C, "Not Found")</f>
        <v>Not Found</v>
      </c>
      <c r="M175" s="72">
        <f t="array" ref="M175">XLOOKUP(A:A,'DLP Data'!A:A, 'DLP Data'!B:B, "Not Found")</f>
        <v>45</v>
      </c>
      <c r="N175" s="72" t="str">
        <f t="array" ref="N175">XLOOKUP(A:A,'DLP Data'!A:A, 'DLP Data'!C:C, "Not Found")</f>
        <v>The student presented the NPPE 1 and NPPE 2 notebooks in a superficial and casual manner, with limited clarity and depth in the explanations. During the discussion, frequent prompting was required to elicit relevant responses, indicating difficulty in recall and articulation of key concepts.
While the student demonstrated a basic understanding of Hugging Face workflows and core deep learning principles, the practical implementation was lacking, possibly due to limited hands-on experience or insufficient attention to detail. This restricted the ability to explore their understanding in greater depth during the viva.
Overall, there is considerable scope for improvement across NLP, speech, and vision domains, particularly in strengthening practical application and developing the ability to clearly and confidently explain their work.</v>
      </c>
      <c r="O175" s="94" t="str">
        <f t="array" ref="O175">IF(COUNTIFS(Summary!A:A,A175,Summary!L:L,"YES")&gt;0,"YES",
IFERROR(INDEX(Summary!L:L,MATCH(A175,Summary!A:A,0)),""))</f>
        <v/>
      </c>
      <c r="P175" s="94" t="s">
        <v>1842</v>
      </c>
    </row>
    <row r="176" ht="15.75" customHeight="1">
      <c r="A176" s="62" t="s">
        <v>468</v>
      </c>
      <c r="B176" s="62" t="s">
        <v>1607</v>
      </c>
      <c r="C176" s="187" t="s">
        <v>4448</v>
      </c>
      <c r="D176" s="186" t="s">
        <v>3164</v>
      </c>
      <c r="E176" s="51" t="s">
        <v>1770</v>
      </c>
      <c r="F176" s="149">
        <v>7.84</v>
      </c>
      <c r="G176" s="62" t="s">
        <v>51</v>
      </c>
      <c r="H176" s="62" t="s">
        <v>59</v>
      </c>
      <c r="I176" s="98" t="s">
        <v>474</v>
      </c>
      <c r="J176" s="98" t="s">
        <v>481</v>
      </c>
      <c r="K176" s="72" t="str">
        <f t="array" ref="K176">XLOOKUP(A:A,'MLP Data'!A:A, 'MLP Data'!B:B, "Not Found")</f>
        <v>Not Found</v>
      </c>
      <c r="L176" s="72" t="str">
        <f t="array" ref="L176">XLOOKUP(A:A,'MLP Data'!A:A, 'MLP Data'!C:C, "Not Found")</f>
        <v>Not Found</v>
      </c>
      <c r="M176" s="72" t="str">
        <f t="array" ref="M176">XLOOKUP(A:A,'DLP Data'!A:A, 'DLP Data'!B:B, "Not Found")</f>
        <v>Not Found</v>
      </c>
      <c r="N176" s="72" t="str">
        <f t="array" ref="N176">XLOOKUP(A:A,'DLP Data'!A:A, 'DLP Data'!C:C, "Not Found")</f>
        <v>Not Found</v>
      </c>
      <c r="O176" s="94" t="str">
        <f t="array" ref="O176">IF(COUNTIFS(Summary!A:A,A176,Summary!L:L,"YES")&gt;0,"YES",
IFERROR(INDEX(Summary!L:L,MATCH(A176,Summary!A:A,0)),""))</f>
        <v/>
      </c>
      <c r="P176" s="67"/>
    </row>
    <row r="177" ht="15.75" customHeight="1">
      <c r="A177" s="62" t="s">
        <v>57</v>
      </c>
      <c r="B177" s="62" t="s">
        <v>58</v>
      </c>
      <c r="C177" s="187" t="s">
        <v>4448</v>
      </c>
      <c r="D177" s="186" t="s">
        <v>3164</v>
      </c>
      <c r="E177" s="51" t="s">
        <v>2208</v>
      </c>
      <c r="F177" s="149">
        <v>6.8</v>
      </c>
      <c r="G177" s="62" t="s">
        <v>51</v>
      </c>
      <c r="H177" s="62" t="s">
        <v>59</v>
      </c>
      <c r="I177" s="98" t="s">
        <v>1708</v>
      </c>
      <c r="J177" s="98" t="s">
        <v>1712</v>
      </c>
      <c r="K177" s="72">
        <f t="array" ref="K177">XLOOKUP(A:A,'MLP Data'!A:A, 'MLP Data'!B:B, "Not Found")</f>
        <v>39</v>
      </c>
      <c r="L177" s="72" t="str">
        <f t="array" ref="L177">XLOOKUP(A:A,'MLP Data'!A:A, 'MLP Data'!C:C, "Not Found")</f>
        <v>SARIMA and Prophet can be tried</v>
      </c>
      <c r="M177" s="72" t="str">
        <f t="array" ref="M177">XLOOKUP(A:A,'DLP Data'!A:A, 'DLP Data'!B:B, "Not Found")</f>
        <v>Not Found</v>
      </c>
      <c r="N177" s="72" t="str">
        <f t="array" ref="N177">XLOOKUP(A:A,'DLP Data'!A:A, 'DLP Data'!C:C, "Not Found")</f>
        <v>Not Found</v>
      </c>
      <c r="O177" s="94" t="str">
        <f t="array" ref="O177">IF(COUNTIFS(Summary!A:A,A177,Summary!L:L,"YES")&gt;0,"YES",
IFERROR(INDEX(Summary!L:L,MATCH(A177,Summary!A:A,0)),""))</f>
        <v/>
      </c>
      <c r="P177" s="67"/>
    </row>
    <row r="178" ht="15.75" customHeight="1">
      <c r="A178" s="62" t="s">
        <v>560</v>
      </c>
      <c r="B178" s="62" t="s">
        <v>557</v>
      </c>
      <c r="C178" s="187" t="s">
        <v>4448</v>
      </c>
      <c r="D178" s="186" t="s">
        <v>3222</v>
      </c>
      <c r="E178" s="51" t="s">
        <v>1770</v>
      </c>
      <c r="F178" s="149">
        <v>6.45</v>
      </c>
      <c r="G178" s="62" t="s">
        <v>51</v>
      </c>
      <c r="H178" s="62" t="s">
        <v>59</v>
      </c>
      <c r="I178" s="101" t="s">
        <v>884</v>
      </c>
      <c r="J178" s="101" t="s">
        <v>576</v>
      </c>
      <c r="K178" s="72" t="str">
        <f t="array" ref="K178">XLOOKUP(A:A,'MLP Data'!A:A, 'MLP Data'!B:B, "Not Found")</f>
        <v>Not Found</v>
      </c>
      <c r="L178" s="72" t="str">
        <f t="array" ref="L178">XLOOKUP(A:A,'MLP Data'!A:A, 'MLP Data'!C:C, "Not Found")</f>
        <v>Not Found</v>
      </c>
      <c r="M178" s="72">
        <f t="array" ref="M178">XLOOKUP(A:A,'DLP Data'!A:A, 'DLP Data'!B:B, "Not Found")</f>
        <v>92</v>
      </c>
      <c r="N178" s="72" t="str">
        <f t="array" ref="N178">XLOOKUP(A:A,'DLP Data'!A:A, 'DLP Data'!C:C, "Not Found")</f>
        <v>The student has a strong understanding of all the components but needs further exploration in the image component.</v>
      </c>
      <c r="O178" s="94" t="str">
        <f t="array" ref="O178">IF(COUNTIFS(Summary!A:A,A178,Summary!L:L,"YES")&gt;0,"YES",
IFERROR(INDEX(Summary!L:L,MATCH(A178,Summary!A:A,0)),""))</f>
        <v/>
      </c>
      <c r="P178" s="67"/>
    </row>
    <row r="179" ht="15.75" customHeight="1">
      <c r="A179" s="62" t="s">
        <v>1100</v>
      </c>
      <c r="B179" s="62" t="s">
        <v>1101</v>
      </c>
      <c r="C179" s="187" t="s">
        <v>4448</v>
      </c>
      <c r="D179" s="186" t="s">
        <v>3222</v>
      </c>
      <c r="E179" s="51" t="s">
        <v>1770</v>
      </c>
      <c r="F179" s="149">
        <v>7.12</v>
      </c>
      <c r="G179" s="62" t="s">
        <v>51</v>
      </c>
      <c r="H179" s="62" t="s">
        <v>59</v>
      </c>
      <c r="I179" s="98" t="s">
        <v>1686</v>
      </c>
      <c r="J179" s="98" t="s">
        <v>1581</v>
      </c>
      <c r="K179" s="72" t="str">
        <f t="array" ref="K179">XLOOKUP(A:A,'MLP Data'!A:A, 'MLP Data'!B:B, "Not Found")</f>
        <v>Not Found</v>
      </c>
      <c r="L179" s="72" t="str">
        <f t="array" ref="L179">XLOOKUP(A:A,'MLP Data'!A:A, 'MLP Data'!C:C, "Not Found")</f>
        <v>Not Found</v>
      </c>
      <c r="M179" s="72" t="str">
        <f t="array" ref="M179">XLOOKUP(A:A,'DLP Data'!A:A, 'DLP Data'!B:B, "Not Found")</f>
        <v>Not Found</v>
      </c>
      <c r="N179" s="72" t="str">
        <f t="array" ref="N179">XLOOKUP(A:A,'DLP Data'!A:A, 'DLP Data'!C:C, "Not Found")</f>
        <v>Not Found</v>
      </c>
      <c r="O179" s="94" t="str">
        <f t="array" ref="O179">IF(COUNTIFS(Summary!A:A,A179,Summary!L:L,"YES")&gt;0,"YES",
IFERROR(INDEX(Summary!L:L,MATCH(A179,Summary!A:A,0)),""))</f>
        <v/>
      </c>
      <c r="P179" s="67"/>
    </row>
    <row r="180" ht="15.75" customHeight="1">
      <c r="A180" s="62" t="s">
        <v>226</v>
      </c>
      <c r="B180" s="62" t="s">
        <v>228</v>
      </c>
      <c r="C180" s="187" t="s">
        <v>4448</v>
      </c>
      <c r="D180" s="186" t="s">
        <v>3222</v>
      </c>
      <c r="E180" s="51" t="s">
        <v>2208</v>
      </c>
      <c r="F180" s="149">
        <v>8.29</v>
      </c>
      <c r="G180" s="62" t="s">
        <v>51</v>
      </c>
      <c r="H180" s="62" t="s">
        <v>59</v>
      </c>
      <c r="I180" s="98" t="s">
        <v>1697</v>
      </c>
      <c r="J180" s="98" t="s">
        <v>1697</v>
      </c>
      <c r="K180" s="72" t="str">
        <f t="array" ref="K180">XLOOKUP(A:A,'MLP Data'!A:A, 'MLP Data'!B:B, "Not Found")</f>
        <v>Not Found</v>
      </c>
      <c r="L180" s="72" t="str">
        <f t="array" ref="L180">XLOOKUP(A:A,'MLP Data'!A:A, 'MLP Data'!C:C, "Not Found")</f>
        <v>Not Found</v>
      </c>
      <c r="M180" s="72" t="str">
        <f t="array" ref="M180">XLOOKUP(A:A,'DLP Data'!A:A, 'DLP Data'!B:B, "Not Found")</f>
        <v>Not Found</v>
      </c>
      <c r="N180" s="72" t="str">
        <f t="array" ref="N180">XLOOKUP(A:A,'DLP Data'!A:A, 'DLP Data'!C:C, "Not Found")</f>
        <v>Not Found</v>
      </c>
      <c r="O180" s="94" t="str">
        <f t="array" ref="O180">IF(COUNTIFS(Summary!A:A,A180,Summary!L:L,"YES")&gt;0,"YES",
IFERROR(INDEX(Summary!L:L,MATCH(A180,Summary!A:A,0)),""))</f>
        <v/>
      </c>
      <c r="P180" s="94" t="s">
        <v>1842</v>
      </c>
    </row>
    <row r="181" ht="15.75" customHeight="1">
      <c r="A181" s="62" t="s">
        <v>289</v>
      </c>
      <c r="B181" s="62" t="s">
        <v>290</v>
      </c>
      <c r="C181" s="187" t="s">
        <v>4448</v>
      </c>
      <c r="D181" s="186" t="s">
        <v>3433</v>
      </c>
      <c r="E181" s="51" t="s">
        <v>1775</v>
      </c>
      <c r="F181" s="149">
        <v>7.58</v>
      </c>
      <c r="G181" s="62" t="s">
        <v>51</v>
      </c>
      <c r="H181" s="62" t="s">
        <v>49</v>
      </c>
      <c r="I181" s="98" t="s">
        <v>1733</v>
      </c>
      <c r="J181" s="98" t="s">
        <v>1737</v>
      </c>
      <c r="K181" s="72" t="str">
        <f t="array" ref="K181">XLOOKUP(A:A,'MLP Data'!A:A, 'MLP Data'!B:B, "Not Found")</f>
        <v>Not Found</v>
      </c>
      <c r="L181" s="72" t="str">
        <f t="array" ref="L181">XLOOKUP(A:A,'MLP Data'!A:A, 'MLP Data'!C:C, "Not Found")</f>
        <v>Not Found</v>
      </c>
      <c r="M181" s="72" t="str">
        <f t="array" ref="M181">XLOOKUP(A:A,'DLP Data'!A:A, 'DLP Data'!B:B, "Not Found")</f>
        <v>Not Found</v>
      </c>
      <c r="N181" s="72" t="str">
        <f t="array" ref="N181">XLOOKUP(A:A,'DLP Data'!A:A, 'DLP Data'!C:C, "Not Found")</f>
        <v>Not Found</v>
      </c>
      <c r="O181" s="94" t="str">
        <f t="array" ref="O181">IF(COUNTIFS(Summary!A:A,A181,Summary!L:L,"YES")&gt;0,"YES",
IFERROR(INDEX(Summary!L:L,MATCH(A181,Summary!A:A,0)),""))</f>
        <v/>
      </c>
      <c r="P181" s="67"/>
    </row>
    <row r="182" ht="15.75" customHeight="1">
      <c r="A182" s="62" t="s">
        <v>774</v>
      </c>
      <c r="B182" s="62" t="s">
        <v>775</v>
      </c>
      <c r="C182" s="185">
        <v>46026.0</v>
      </c>
      <c r="D182" s="186" t="s">
        <v>3568</v>
      </c>
      <c r="E182" s="51" t="s">
        <v>1772</v>
      </c>
      <c r="F182" s="149">
        <v>6.9</v>
      </c>
      <c r="G182" s="62" t="s">
        <v>51</v>
      </c>
      <c r="H182" s="62" t="s">
        <v>59</v>
      </c>
      <c r="I182" s="98" t="s">
        <v>950</v>
      </c>
      <c r="J182" s="98" t="s">
        <v>950</v>
      </c>
      <c r="K182" s="72" t="str">
        <f t="array" ref="K182">XLOOKUP(A:A,'MLP Data'!A:A, 'MLP Data'!B:B, "Not Found")</f>
        <v>Not Found</v>
      </c>
      <c r="L182" s="72" t="str">
        <f t="array" ref="L182">XLOOKUP(A:A,'MLP Data'!A:A, 'MLP Data'!C:C, "Not Found")</f>
        <v>Not Found</v>
      </c>
      <c r="M182" s="72" t="str">
        <f t="array" ref="M182">XLOOKUP(A:A,'DLP Data'!A:A, 'DLP Data'!B:B, "Not Found")</f>
        <v>Not Found</v>
      </c>
      <c r="N182" s="72" t="str">
        <f t="array" ref="N182">XLOOKUP(A:A,'DLP Data'!A:A, 'DLP Data'!C:C, "Not Found")</f>
        <v>Not Found</v>
      </c>
      <c r="O182" s="94" t="str">
        <f t="array" ref="O182">IF(COUNTIFS(Summary!A:A,A182,Summary!L:L,"YES")&gt;0,"YES",
IFERROR(INDEX(Summary!L:L,MATCH(A182,Summary!A:A,0)),""))</f>
        <v/>
      </c>
      <c r="P182" s="63" t="s">
        <v>3217</v>
      </c>
    </row>
    <row r="183" ht="15.75" customHeight="1">
      <c r="A183" s="62" t="s">
        <v>337</v>
      </c>
      <c r="B183" s="62" t="s">
        <v>334</v>
      </c>
      <c r="C183" s="185">
        <v>46026.0</v>
      </c>
      <c r="D183" s="186" t="s">
        <v>3628</v>
      </c>
      <c r="E183" s="51" t="s">
        <v>1772</v>
      </c>
      <c r="F183" s="149">
        <v>8.4</v>
      </c>
      <c r="G183" s="62" t="s">
        <v>51</v>
      </c>
      <c r="H183" s="62" t="s">
        <v>49</v>
      </c>
      <c r="I183" s="98" t="s">
        <v>840</v>
      </c>
      <c r="J183" s="98" t="s">
        <v>361</v>
      </c>
      <c r="K183" s="72" t="str">
        <f t="array" ref="K183">XLOOKUP(A:A,'MLP Data'!A:A, 'MLP Data'!B:B, "Not Found")</f>
        <v>Not Found</v>
      </c>
      <c r="L183" s="72" t="str">
        <f t="array" ref="L183">XLOOKUP(A:A,'MLP Data'!A:A, 'MLP Data'!C:C, "Not Found")</f>
        <v>Not Found</v>
      </c>
      <c r="M183" s="72" t="str">
        <f t="array" ref="M183">XLOOKUP(A:A,'DLP Data'!A:A, 'DLP Data'!B:B, "Not Found")</f>
        <v>Not Found</v>
      </c>
      <c r="N183" s="72" t="str">
        <f t="array" ref="N183">XLOOKUP(A:A,'DLP Data'!A:A, 'DLP Data'!C:C, "Not Found")</f>
        <v>Not Found</v>
      </c>
      <c r="O183" s="94" t="str">
        <f t="array" ref="O183">IF(COUNTIFS(Summary!A:A,A183,Summary!L:L,"YES")&gt;0,"YES",
IFERROR(INDEX(Summary!L:L,MATCH(A183,Summary!A:A,0)),""))</f>
        <v/>
      </c>
      <c r="P183" s="67"/>
    </row>
    <row r="184" ht="15.75" customHeight="1">
      <c r="A184" s="62" t="s">
        <v>949</v>
      </c>
      <c r="B184" s="62" t="s">
        <v>952</v>
      </c>
      <c r="C184" s="185">
        <v>46057.0</v>
      </c>
      <c r="D184" s="186" t="s">
        <v>3164</v>
      </c>
      <c r="E184" s="51" t="s">
        <v>1754</v>
      </c>
      <c r="F184" s="149">
        <v>8.35</v>
      </c>
      <c r="G184" s="62" t="s">
        <v>603</v>
      </c>
      <c r="H184" s="62" t="s">
        <v>59</v>
      </c>
      <c r="I184" s="98" t="s">
        <v>1151</v>
      </c>
      <c r="J184" s="98" t="s">
        <v>1159</v>
      </c>
      <c r="K184" s="72" t="str">
        <f t="array" ref="K184">XLOOKUP(A:A,'MLP Data'!A:A, 'MLP Data'!B:B, "Not Found")</f>
        <v>Not Found</v>
      </c>
      <c r="L184" s="72" t="str">
        <f t="array" ref="L184">XLOOKUP(A:A,'MLP Data'!A:A, 'MLP Data'!C:C, "Not Found")</f>
        <v>Not Found</v>
      </c>
      <c r="M184" s="72" t="str">
        <f t="array" ref="M184">XLOOKUP(A:A,'DLP Data'!A:A, 'DLP Data'!B:B, "Not Found")</f>
        <v>Not Found</v>
      </c>
      <c r="N184" s="72" t="str">
        <f t="array" ref="N184">XLOOKUP(A:A,'DLP Data'!A:A, 'DLP Data'!C:C, "Not Found")</f>
        <v>Not Found</v>
      </c>
      <c r="O184" s="94" t="str">
        <f t="array" ref="O184">IF(COUNTIFS(Summary!A:A,A184,Summary!L:L,"YES")&gt;0,"YES",
IFERROR(INDEX(Summary!L:L,MATCH(A184,Summary!A:A,0)),""))</f>
        <v/>
      </c>
      <c r="P184" s="67"/>
    </row>
    <row r="185" ht="15.75" customHeight="1">
      <c r="A185" s="62" t="s">
        <v>1189</v>
      </c>
      <c r="B185" s="62" t="s">
        <v>1190</v>
      </c>
      <c r="C185" s="185">
        <v>46057.0</v>
      </c>
      <c r="D185" s="186" t="s">
        <v>3222</v>
      </c>
      <c r="E185" s="51" t="s">
        <v>1754</v>
      </c>
      <c r="F185" s="149">
        <v>5.9</v>
      </c>
      <c r="G185" s="62" t="s">
        <v>603</v>
      </c>
      <c r="H185" s="62" t="s">
        <v>59</v>
      </c>
      <c r="I185" s="98" t="s">
        <v>1721</v>
      </c>
      <c r="J185" s="98" t="s">
        <v>1390</v>
      </c>
      <c r="K185" s="72" t="str">
        <f t="array" ref="K185">XLOOKUP(A:A,'MLP Data'!A:A, 'MLP Data'!B:B, "Not Found")</f>
        <v>Not Found</v>
      </c>
      <c r="L185" s="72" t="str">
        <f t="array" ref="L185">XLOOKUP(A:A,'MLP Data'!A:A, 'MLP Data'!C:C, "Not Found")</f>
        <v>Not Found</v>
      </c>
      <c r="M185" s="72" t="str">
        <f t="array" ref="M185">XLOOKUP(A:A,'DLP Data'!A:A, 'DLP Data'!B:B, "Not Found")</f>
        <v>Not Found</v>
      </c>
      <c r="N185" s="72" t="str">
        <f t="array" ref="N185">XLOOKUP(A:A,'DLP Data'!A:A, 'DLP Data'!C:C, "Not Found")</f>
        <v>Not Found</v>
      </c>
      <c r="O185" s="94" t="str">
        <f t="array" ref="O185">IF(COUNTIFS(Summary!A:A,A185,Summary!L:L,"YES")&gt;0,"YES",
IFERROR(INDEX(Summary!L:L,MATCH(A185,Summary!A:A,0)),""))</f>
        <v/>
      </c>
      <c r="P185" s="67"/>
    </row>
    <row r="186" ht="15.75" customHeight="1">
      <c r="A186" s="62" t="s">
        <v>343</v>
      </c>
      <c r="B186" s="62" t="s">
        <v>344</v>
      </c>
      <c r="C186" s="185">
        <v>46026.0</v>
      </c>
      <c r="D186" s="186" t="s">
        <v>3568</v>
      </c>
      <c r="E186" s="51" t="s">
        <v>1766</v>
      </c>
      <c r="F186" s="62">
        <v>7.12</v>
      </c>
      <c r="G186" s="62" t="s">
        <v>603</v>
      </c>
      <c r="H186" s="62" t="s">
        <v>59</v>
      </c>
      <c r="I186" s="188" t="s">
        <v>1522</v>
      </c>
      <c r="J186" s="143" t="s">
        <v>1526</v>
      </c>
      <c r="K186" s="72">
        <f t="array" ref="K186">XLOOKUP(A:A,'MLP Data'!A:A, 'MLP Data'!B:B, "Not Found")</f>
        <v>40</v>
      </c>
      <c r="L186" s="72" t="str">
        <f t="array" ref="L186">XLOOKUP(A:A,'MLP Data'!A:A, 'MLP Data'!C:C, "Not Found")</f>
        <v>Explained the project clearly</v>
      </c>
      <c r="M186" s="72" t="str">
        <f t="array" ref="M186">XLOOKUP(A:A,'DLP Data'!A:A, 'DLP Data'!B:B, "Not Found")</f>
        <v>Not Found</v>
      </c>
      <c r="N186" s="72" t="str">
        <f t="array" ref="N186">XLOOKUP(A:A,'DLP Data'!A:A, 'DLP Data'!C:C, "Not Found")</f>
        <v>Not Found</v>
      </c>
      <c r="O186" s="94" t="str">
        <f t="array" ref="O186">IF(COUNTIFS(Summary!A:A,A186,Summary!L:L,"YES")&gt;0,"YES",
IFERROR(INDEX(Summary!L:L,MATCH(A186,Summary!A:A,0)),""))</f>
        <v/>
      </c>
      <c r="P186" s="67"/>
    </row>
    <row r="187" ht="15.75" customHeight="1">
      <c r="A187" s="62" t="s">
        <v>508</v>
      </c>
      <c r="B187" s="62" t="s">
        <v>2765</v>
      </c>
      <c r="C187" s="185">
        <v>46026.0</v>
      </c>
      <c r="D187" s="186" t="s">
        <v>3628</v>
      </c>
      <c r="E187" s="51" t="s">
        <v>1766</v>
      </c>
      <c r="F187" s="62">
        <v>7.31</v>
      </c>
      <c r="G187" s="62" t="s">
        <v>603</v>
      </c>
      <c r="H187" s="62" t="s">
        <v>59</v>
      </c>
      <c r="I187" s="188" t="s">
        <v>1499</v>
      </c>
      <c r="J187" s="143" t="s">
        <v>1212</v>
      </c>
      <c r="K187" s="72" t="str">
        <f t="array" ref="K187">XLOOKUP(A:A,'MLP Data'!A:A, 'MLP Data'!B:B, "Not Found")</f>
        <v>Not Found</v>
      </c>
      <c r="L187" s="72" t="str">
        <f t="array" ref="L187">XLOOKUP(A:A,'MLP Data'!A:A, 'MLP Data'!C:C, "Not Found")</f>
        <v>Not Found</v>
      </c>
      <c r="M187" s="72" t="str">
        <f t="array" ref="M187">XLOOKUP(A:A,'DLP Data'!A:A, 'DLP Data'!B:B, "Not Found")</f>
        <v>Not Found</v>
      </c>
      <c r="N187" s="72" t="str">
        <f t="array" ref="N187">XLOOKUP(A:A,'DLP Data'!A:A, 'DLP Data'!C:C, "Not Found")</f>
        <v>Not Found</v>
      </c>
      <c r="O187" s="94" t="str">
        <f t="array" ref="O187">IF(COUNTIFS(Summary!A:A,A187,Summary!L:L,"YES")&gt;0,"YES",
IFERROR(INDEX(Summary!L:L,MATCH(A187,Summary!A:A,0)),""))</f>
        <v/>
      </c>
      <c r="P187" s="67"/>
    </row>
    <row r="188" ht="15.75" customHeight="1">
      <c r="A188" s="62" t="s">
        <v>65</v>
      </c>
      <c r="B188" s="65" t="s">
        <v>67</v>
      </c>
      <c r="C188" s="185">
        <v>46126.0</v>
      </c>
      <c r="D188" s="186" t="s">
        <v>4449</v>
      </c>
      <c r="E188" s="51" t="s">
        <v>1748</v>
      </c>
      <c r="F188" s="62">
        <v>7.98</v>
      </c>
      <c r="G188" s="62" t="s">
        <v>51</v>
      </c>
      <c r="H188" s="62" t="s">
        <v>59</v>
      </c>
      <c r="I188" s="72" t="s">
        <v>1744</v>
      </c>
      <c r="J188" s="72" t="s">
        <v>1749</v>
      </c>
      <c r="K188" s="72">
        <f t="array" ref="K188">XLOOKUP(A:A,'MLP Data'!A:A, 'MLP Data'!B:B, "Not Found")</f>
        <v>43</v>
      </c>
      <c r="L188" s="72" t="str">
        <f t="array" ref="L188">XLOOKUP(A:A,'MLP Data'!A:A, 'MLP Data'!C:C, "Not Found")</f>
        <v>While the candidate has a good initial grasp, the priority should be deepening their conceptual understanding and achieving greater technical mastery over the specific models employed. This focus will empower them to clearly highlight key features and justify architectural decisions, significantly enhancing their technical communication.</v>
      </c>
      <c r="M188" s="72" t="str">
        <f t="array" ref="M188">XLOOKUP(A:A,'DLP Data'!A:A, 'DLP Data'!B:B, "Not Found")</f>
        <v>Not Found</v>
      </c>
      <c r="N188" s="72" t="str">
        <f t="array" ref="N188">XLOOKUP(A:A,'DLP Data'!A:A, 'DLP Data'!C:C, "Not Found")</f>
        <v>Not Found</v>
      </c>
      <c r="O188" s="94" t="str">
        <f t="array" ref="O188">IF(COUNTIFS(Summary!A:A,A188,Summary!L:L,"YES")&gt;0,"YES",
IFERROR(INDEX(Summary!L:L,MATCH(A188,Summary!A:A,0)),""))</f>
        <v/>
      </c>
      <c r="P188" s="67"/>
    </row>
    <row r="189" ht="15.75" customHeight="1">
      <c r="A189" s="62" t="s">
        <v>567</v>
      </c>
      <c r="B189" s="65" t="s">
        <v>563</v>
      </c>
      <c r="C189" s="185">
        <v>46126.0</v>
      </c>
      <c r="D189" s="186" t="s">
        <v>4450</v>
      </c>
      <c r="E189" s="51" t="s">
        <v>1748</v>
      </c>
      <c r="F189" s="65"/>
      <c r="G189" s="62" t="s">
        <v>51</v>
      </c>
      <c r="H189" s="65"/>
      <c r="I189" s="139"/>
      <c r="J189" s="139"/>
      <c r="K189" s="72" t="str">
        <f t="array" ref="K189">XLOOKUP(A:A,'MLP Data'!A:A, 'MLP Data'!B:B, "Not Found")</f>
        <v>Not Found</v>
      </c>
      <c r="L189" s="72" t="str">
        <f t="array" ref="L189">XLOOKUP(A:A,'MLP Data'!A:A, 'MLP Data'!C:C, "Not Found")</f>
        <v>Not Found</v>
      </c>
      <c r="M189" s="72" t="str">
        <f t="array" ref="M189">XLOOKUP(A:A,'DLP Data'!A:A, 'DLP Data'!B:B, "Not Found")</f>
        <v>Not Found</v>
      </c>
      <c r="N189" s="72" t="str">
        <f t="array" ref="N189">XLOOKUP(A:A,'DLP Data'!A:A, 'DLP Data'!C:C, "Not Found")</f>
        <v>Not Found</v>
      </c>
      <c r="O189" s="94" t="str">
        <f t="array" ref="O189">IF(COUNTIFS(Summary!A:A,A189,Summary!L:L,"YES")&gt;0,"YES",
IFERROR(INDEX(Summary!L:L,MATCH(A189,Summary!A:A,0)),""))</f>
        <v/>
      </c>
      <c r="P189" s="67"/>
    </row>
    <row r="190" ht="15.75" customHeight="1">
      <c r="A190" s="62" t="s">
        <v>782</v>
      </c>
      <c r="B190" s="65" t="s">
        <v>783</v>
      </c>
      <c r="C190" s="185">
        <v>46126.0</v>
      </c>
      <c r="D190" s="186" t="s">
        <v>4451</v>
      </c>
      <c r="E190" s="51" t="s">
        <v>1748</v>
      </c>
      <c r="F190" s="65"/>
      <c r="G190" s="62" t="s">
        <v>51</v>
      </c>
      <c r="H190" s="65"/>
      <c r="I190" s="139"/>
      <c r="J190" s="139"/>
      <c r="K190" s="72" t="str">
        <f t="array" ref="K190">XLOOKUP(A:A,'MLP Data'!A:A, 'MLP Data'!B:B, "Not Found")</f>
        <v>Not Found</v>
      </c>
      <c r="L190" s="72" t="str">
        <f t="array" ref="L190">XLOOKUP(A:A,'MLP Data'!A:A, 'MLP Data'!C:C, "Not Found")</f>
        <v>Not Found</v>
      </c>
      <c r="M190" s="72" t="str">
        <f t="array" ref="M190">XLOOKUP(A:A,'DLP Data'!A:A, 'DLP Data'!B:B, "Not Found")</f>
        <v>Not Found</v>
      </c>
      <c r="N190" s="72" t="str">
        <f t="array" ref="N190">XLOOKUP(A:A,'DLP Data'!A:A, 'DLP Data'!C:C, "Not Found")</f>
        <v>Not Found</v>
      </c>
      <c r="O190" s="94" t="str">
        <f t="array" ref="O190">IF(COUNTIFS(Summary!A:A,A190,Summary!L:L,"YES")&gt;0,"YES",
IFERROR(INDEX(Summary!L:L,MATCH(A190,Summary!A:A,0)),""))</f>
        <v/>
      </c>
      <c r="P190" s="67"/>
    </row>
    <row r="191" ht="15.75" customHeight="1">
      <c r="A191" s="62" t="s">
        <v>852</v>
      </c>
      <c r="B191" s="65" t="s">
        <v>853</v>
      </c>
      <c r="C191" s="185">
        <v>46126.0</v>
      </c>
      <c r="D191" s="186" t="s">
        <v>4452</v>
      </c>
      <c r="E191" s="51" t="s">
        <v>1748</v>
      </c>
      <c r="F191" s="65"/>
      <c r="G191" s="62" t="s">
        <v>51</v>
      </c>
      <c r="H191" s="65"/>
      <c r="I191" s="139"/>
      <c r="J191" s="139"/>
      <c r="K191" s="72" t="str">
        <f t="array" ref="K191">XLOOKUP(A:A,'MLP Data'!A:A, 'MLP Data'!B:B, "Not Found")</f>
        <v>Not Found</v>
      </c>
      <c r="L191" s="72" t="str">
        <f t="array" ref="L191">XLOOKUP(A:A,'MLP Data'!A:A, 'MLP Data'!C:C, "Not Found")</f>
        <v>Not Found</v>
      </c>
      <c r="M191" s="72" t="str">
        <f t="array" ref="M191">XLOOKUP(A:A,'DLP Data'!A:A, 'DLP Data'!B:B, "Not Found")</f>
        <v>Not Found</v>
      </c>
      <c r="N191" s="72" t="str">
        <f t="array" ref="N191">XLOOKUP(A:A,'DLP Data'!A:A, 'DLP Data'!C:C, "Not Found")</f>
        <v>Not Found</v>
      </c>
      <c r="O191" s="94" t="str">
        <f t="array" ref="O191">IF(COUNTIFS(Summary!A:A,A191,Summary!L:L,"YES")&gt;0,"YES",
IFERROR(INDEX(Summary!L:L,MATCH(A191,Summary!A:A,0)),""))</f>
        <v/>
      </c>
      <c r="P191" s="67"/>
    </row>
    <row r="192" ht="15.75" customHeight="1">
      <c r="A192" s="62" t="s">
        <v>239</v>
      </c>
      <c r="B192" s="65" t="s">
        <v>238</v>
      </c>
      <c r="C192" s="185">
        <v>46127.0</v>
      </c>
      <c r="D192" s="186" t="s">
        <v>4449</v>
      </c>
      <c r="E192" s="51" t="s">
        <v>1748</v>
      </c>
      <c r="F192" s="65"/>
      <c r="G192" s="62" t="s">
        <v>51</v>
      </c>
      <c r="H192" s="65"/>
      <c r="I192" s="139"/>
      <c r="J192" s="139"/>
      <c r="K192" s="72" t="str">
        <f t="array" ref="K192">XLOOKUP(A:A,'MLP Data'!A:A, 'MLP Data'!B:B, "Not Found")</f>
        <v>Not Found</v>
      </c>
      <c r="L192" s="72" t="str">
        <f t="array" ref="L192">XLOOKUP(A:A,'MLP Data'!A:A, 'MLP Data'!C:C, "Not Found")</f>
        <v>Not Found</v>
      </c>
      <c r="M192" s="72" t="str">
        <f t="array" ref="M192">XLOOKUP(A:A,'DLP Data'!A:A, 'DLP Data'!B:B, "Not Found")</f>
        <v>Not Found</v>
      </c>
      <c r="N192" s="72" t="str">
        <f t="array" ref="N192">XLOOKUP(A:A,'DLP Data'!A:A, 'DLP Data'!C:C, "Not Found")</f>
        <v>Not Found</v>
      </c>
      <c r="O192" s="94" t="str">
        <f t="array" ref="O192">IF(COUNTIFS(Summary!A:A,A192,Summary!L:L,"YES")&gt;0,"YES",
IFERROR(INDEX(Summary!L:L,MATCH(A192,Summary!A:A,0)),""))</f>
        <v/>
      </c>
      <c r="P192" s="67"/>
    </row>
    <row r="193" ht="15.75" customHeight="1">
      <c r="A193" s="62" t="s">
        <v>527</v>
      </c>
      <c r="B193" s="65" t="s">
        <v>528</v>
      </c>
      <c r="C193" s="185">
        <v>46127.0</v>
      </c>
      <c r="D193" s="186" t="s">
        <v>4450</v>
      </c>
      <c r="E193" s="51" t="s">
        <v>1748</v>
      </c>
      <c r="F193" s="65"/>
      <c r="G193" s="62" t="s">
        <v>51</v>
      </c>
      <c r="H193" s="65"/>
      <c r="I193" s="139"/>
      <c r="J193" s="139"/>
      <c r="K193" s="72">
        <f t="array" ref="K193">XLOOKUP(A:A,'MLP Data'!A:A, 'MLP Data'!B:B, "Not Found")</f>
        <v>37</v>
      </c>
      <c r="L193" s="72" t="str">
        <f t="array" ref="L193">XLOOKUP(A:A,'MLP Data'!A:A, 'MLP Data'!C:C, "Not Found")</f>
        <v>Kaggle project is fine. Shows strong understanding of preprocessing, feature engineering, and model training, with particularly good performance in hyperparameter tuning. However, your communication skills and explanation of results could be improved to better convey insights. Continue refining how you present and interpret model outcomes to strengthen overall industry readiness.</v>
      </c>
      <c r="M193" s="72" t="str">
        <f t="array" ref="M193">XLOOKUP(A:A,'DLP Data'!A:A, 'DLP Data'!B:B, "Not Found")</f>
        <v>Not Found</v>
      </c>
      <c r="N193" s="72" t="str">
        <f t="array" ref="N193">XLOOKUP(A:A,'DLP Data'!A:A, 'DLP Data'!C:C, "Not Found")</f>
        <v>Not Found</v>
      </c>
      <c r="O193" s="94" t="str">
        <f t="array" ref="O193">IF(COUNTIFS(Summary!A:A,A193,Summary!L:L,"YES")&gt;0,"YES",
IFERROR(INDEX(Summary!L:L,MATCH(A193,Summary!A:A,0)),""))</f>
        <v/>
      </c>
      <c r="P193" s="67"/>
    </row>
    <row r="194" ht="15.75" customHeight="1">
      <c r="A194" s="62" t="s">
        <v>283</v>
      </c>
      <c r="B194" s="65" t="s">
        <v>1663</v>
      </c>
      <c r="C194" s="185">
        <v>46127.0</v>
      </c>
      <c r="D194" s="186" t="s">
        <v>4451</v>
      </c>
      <c r="E194" s="51" t="s">
        <v>1748</v>
      </c>
      <c r="F194" s="65"/>
      <c r="G194" s="62" t="s">
        <v>51</v>
      </c>
      <c r="H194" s="65"/>
      <c r="I194" s="139"/>
      <c r="J194" s="139"/>
      <c r="K194" s="72">
        <f t="array" ref="K194">XLOOKUP(A:A,'MLP Data'!A:A, 'MLP Data'!B:B, "Not Found")</f>
        <v>30</v>
      </c>
      <c r="L194" s="72" t="str">
        <f t="array" ref="L194">XLOOKUP(A:A,'MLP Data'!A:A, 'MLP Data'!C:C, "Not Found")</f>
        <v>Need to improve technical knowledge. She was not clear about unsupervised learning, L1 and L2 regularization, and the concepts of underfitting and overfitting.</v>
      </c>
      <c r="M194" s="72" t="str">
        <f t="array" ref="M194">XLOOKUP(A:A,'DLP Data'!A:A, 'DLP Data'!B:B, "Not Found")</f>
        <v>Not Found</v>
      </c>
      <c r="N194" s="72" t="str">
        <f t="array" ref="N194">XLOOKUP(A:A,'DLP Data'!A:A, 'DLP Data'!C:C, "Not Found")</f>
        <v>Not Found</v>
      </c>
      <c r="O194" s="94" t="str">
        <f t="array" ref="O194">IF(COUNTIFS(Summary!A:A,A194,Summary!L:L,"YES")&gt;0,"YES",
IFERROR(INDEX(Summary!L:L,MATCH(A194,Summary!A:A,0)),""))</f>
        <v/>
      </c>
      <c r="P194" s="67"/>
    </row>
    <row r="195" ht="15.75" customHeight="1">
      <c r="A195" s="62" t="s">
        <v>370</v>
      </c>
      <c r="B195" s="65" t="s">
        <v>367</v>
      </c>
      <c r="C195" s="185">
        <v>46127.0</v>
      </c>
      <c r="D195" s="186" t="s">
        <v>4452</v>
      </c>
      <c r="E195" s="51" t="s">
        <v>1748</v>
      </c>
      <c r="F195" s="65"/>
      <c r="G195" s="62" t="s">
        <v>51</v>
      </c>
      <c r="H195" s="65"/>
      <c r="I195" s="139"/>
      <c r="J195" s="139"/>
      <c r="K195" s="72" t="str">
        <f t="array" ref="K195">XLOOKUP(A:A,'MLP Data'!A:A, 'MLP Data'!B:B, "Not Found")</f>
        <v>Not Found</v>
      </c>
      <c r="L195" s="72" t="str">
        <f t="array" ref="L195">XLOOKUP(A:A,'MLP Data'!A:A, 'MLP Data'!C:C, "Not Found")</f>
        <v>Not Found</v>
      </c>
      <c r="M195" s="72">
        <f t="array" ref="M195">XLOOKUP(A:A,'DLP Data'!A:A, 'DLP Data'!B:B, "Not Found")</f>
        <v>25</v>
      </c>
      <c r="N195" s="72" t="str">
        <f t="array" ref="N195">XLOOKUP(A:A,'DLP Data'!A:A, 'DLP Data'!C:C, "Not Found")</f>
        <v>The presentation of the NPPE notebooks lacked clarity, making it difficult to follow the approach and reasoning. It became evident that the student was underprepared, with gaps in basic understanding of Hugging Face workflows and general deep learning concepts. Many responses were poorly articulated, and explanations often lacked structure and precision.
During the Q&amp;A, the student at times struggled to comprehend the questions and provided answers that were out of context. Overall, there were significant gaps across NLP, speech, and vision domains, indicating insufficient conceptual grounding and preparation. The performance was well below the expected level for this stage of the course and requires substantial improvement across all areas.</v>
      </c>
      <c r="O195" s="94" t="str">
        <f t="array" ref="O195">IF(COUNTIFS(Summary!A:A,A195,Summary!L:L,"YES")&gt;0,"YES",
IFERROR(INDEX(Summary!L:L,MATCH(A195,Summary!A:A,0)),""))</f>
        <v/>
      </c>
      <c r="P195" s="67"/>
    </row>
    <row r="196" ht="15.75" customHeight="1">
      <c r="A196" s="62" t="s">
        <v>595</v>
      </c>
      <c r="B196" s="65" t="s">
        <v>2519</v>
      </c>
      <c r="C196" s="185">
        <v>46128.0</v>
      </c>
      <c r="D196" s="186" t="s">
        <v>4449</v>
      </c>
      <c r="E196" s="51" t="s">
        <v>1748</v>
      </c>
      <c r="F196" s="65"/>
      <c r="G196" s="62" t="s">
        <v>51</v>
      </c>
      <c r="H196" s="65"/>
      <c r="I196" s="139"/>
      <c r="J196" s="139"/>
      <c r="K196" s="72" t="str">
        <f t="array" ref="K196">XLOOKUP(A:A,'MLP Data'!A:A, 'MLP Data'!B:B, "Not Found")</f>
        <v>Not Found</v>
      </c>
      <c r="L196" s="72" t="str">
        <f t="array" ref="L196">XLOOKUP(A:A,'MLP Data'!A:A, 'MLP Data'!C:C, "Not Found")</f>
        <v>Not Found</v>
      </c>
      <c r="M196" s="72" t="str">
        <f t="array" ref="M196">XLOOKUP(A:A,'DLP Data'!A:A, 'DLP Data'!B:B, "Not Found")</f>
        <v>Not Found</v>
      </c>
      <c r="N196" s="72" t="str">
        <f t="array" ref="N196">XLOOKUP(A:A,'DLP Data'!A:A, 'DLP Data'!C:C, "Not Found")</f>
        <v>Not Found</v>
      </c>
      <c r="O196" s="94" t="str">
        <f t="array" ref="O196">IF(COUNTIFS(Summary!A:A,A196,Summary!L:L,"YES")&gt;0,"YES",
IFERROR(INDEX(Summary!L:L,MATCH(A196,Summary!A:A,0)),""))</f>
        <v/>
      </c>
      <c r="P196" s="67"/>
    </row>
    <row r="197" ht="15.75" customHeight="1">
      <c r="A197" s="62" t="s">
        <v>284</v>
      </c>
      <c r="B197" s="65" t="s">
        <v>1260</v>
      </c>
      <c r="C197" s="185">
        <v>46128.0</v>
      </c>
      <c r="D197" s="186" t="s">
        <v>4450</v>
      </c>
      <c r="E197" s="51" t="s">
        <v>1748</v>
      </c>
      <c r="F197" s="65"/>
      <c r="G197" s="62" t="s">
        <v>51</v>
      </c>
      <c r="H197" s="65"/>
      <c r="I197" s="139"/>
      <c r="J197" s="139"/>
      <c r="K197" s="72" t="str">
        <f t="array" ref="K197">XLOOKUP(A:A,'MLP Data'!A:A, 'MLP Data'!B:B, "Not Found")</f>
        <v>Not Found</v>
      </c>
      <c r="L197" s="72" t="str">
        <f t="array" ref="L197">XLOOKUP(A:A,'MLP Data'!A:A, 'MLP Data'!C:C, "Not Found")</f>
        <v>Not Found</v>
      </c>
      <c r="M197" s="72" t="str">
        <f t="array" ref="M197">XLOOKUP(A:A,'DLP Data'!A:A, 'DLP Data'!B:B, "Not Found")</f>
        <v>Not Found</v>
      </c>
      <c r="N197" s="72" t="str">
        <f t="array" ref="N197">XLOOKUP(A:A,'DLP Data'!A:A, 'DLP Data'!C:C, "Not Found")</f>
        <v>Not Found</v>
      </c>
      <c r="O197" s="94" t="str">
        <f t="array" ref="O197">IF(COUNTIFS(Summary!A:A,A197,Summary!L:L,"YES")&gt;0,"YES",
IFERROR(INDEX(Summary!L:L,MATCH(A197,Summary!A:A,0)),""))</f>
        <v/>
      </c>
      <c r="P197" s="67"/>
    </row>
    <row r="198" ht="15.75" customHeight="1">
      <c r="A198" s="62" t="s">
        <v>182</v>
      </c>
      <c r="B198" s="65" t="s">
        <v>177</v>
      </c>
      <c r="C198" s="185">
        <v>46128.0</v>
      </c>
      <c r="D198" s="186" t="s">
        <v>4451</v>
      </c>
      <c r="E198" s="51" t="s">
        <v>1748</v>
      </c>
      <c r="F198" s="65"/>
      <c r="G198" s="62" t="s">
        <v>51</v>
      </c>
      <c r="H198" s="65"/>
      <c r="I198" s="139"/>
      <c r="J198" s="139"/>
      <c r="K198" s="72" t="str">
        <f t="array" ref="K198">XLOOKUP(A:A,'MLP Data'!A:A, 'MLP Data'!B:B, "Not Found")</f>
        <v>Not Found</v>
      </c>
      <c r="L198" s="72" t="str">
        <f t="array" ref="L198">XLOOKUP(A:A,'MLP Data'!A:A, 'MLP Data'!C:C, "Not Found")</f>
        <v>Not Found</v>
      </c>
      <c r="M198" s="72" t="str">
        <f t="array" ref="M198">XLOOKUP(A:A,'DLP Data'!A:A, 'DLP Data'!B:B, "Not Found")</f>
        <v>Not Found</v>
      </c>
      <c r="N198" s="72" t="str">
        <f t="array" ref="N198">XLOOKUP(A:A,'DLP Data'!A:A, 'DLP Data'!C:C, "Not Found")</f>
        <v>Not Found</v>
      </c>
      <c r="O198" s="94" t="str">
        <f t="array" ref="O198">IF(COUNTIFS(Summary!A:A,A198,Summary!L:L,"YES")&gt;0,"YES",
IFERROR(INDEX(Summary!L:L,MATCH(A198,Summary!A:A,0)),""))</f>
        <v/>
      </c>
      <c r="P198" s="67"/>
    </row>
    <row r="199" ht="15.75" customHeight="1">
      <c r="A199" s="62" t="s">
        <v>365</v>
      </c>
      <c r="B199" s="65" t="s">
        <v>366</v>
      </c>
      <c r="C199" s="185">
        <v>46128.0</v>
      </c>
      <c r="D199" s="186" t="s">
        <v>4452</v>
      </c>
      <c r="E199" s="51" t="s">
        <v>1748</v>
      </c>
      <c r="F199" s="65"/>
      <c r="G199" s="62" t="s">
        <v>51</v>
      </c>
      <c r="H199" s="65"/>
      <c r="I199" s="139"/>
      <c r="J199" s="139"/>
      <c r="K199" s="72" t="str">
        <f t="array" ref="K199">XLOOKUP(A:A,'MLP Data'!A:A, 'MLP Data'!B:B, "Not Found")</f>
        <v>Not Found</v>
      </c>
      <c r="L199" s="72" t="str">
        <f t="array" ref="L199">XLOOKUP(A:A,'MLP Data'!A:A, 'MLP Data'!C:C, "Not Found")</f>
        <v>Not Found</v>
      </c>
      <c r="M199" s="72" t="str">
        <f t="array" ref="M199">XLOOKUP(A:A,'DLP Data'!A:A, 'DLP Data'!B:B, "Not Found")</f>
        <v>Not Found</v>
      </c>
      <c r="N199" s="72" t="str">
        <f t="array" ref="N199">XLOOKUP(A:A,'DLP Data'!A:A, 'DLP Data'!C:C, "Not Found")</f>
        <v>Not Found</v>
      </c>
      <c r="O199" s="94" t="str">
        <f t="array" ref="O199">IF(COUNTIFS(Summary!A:A,A199,Summary!L:L,"YES")&gt;0,"YES",
IFERROR(INDEX(Summary!L:L,MATCH(A199,Summary!A:A,0)),""))</f>
        <v/>
      </c>
      <c r="P199" s="67"/>
    </row>
    <row r="200" ht="15.75" customHeight="1">
      <c r="A200" s="62" t="s">
        <v>425</v>
      </c>
      <c r="B200" s="65" t="s">
        <v>422</v>
      </c>
      <c r="C200" s="185">
        <v>46126.0</v>
      </c>
      <c r="D200" s="186" t="s">
        <v>4453</v>
      </c>
      <c r="E200" s="51" t="s">
        <v>1748</v>
      </c>
      <c r="F200" s="65"/>
      <c r="G200" s="62" t="s">
        <v>51</v>
      </c>
      <c r="H200" s="65"/>
      <c r="I200" s="139"/>
      <c r="J200" s="139"/>
      <c r="K200" s="72" t="str">
        <f t="array" ref="K200">XLOOKUP(A:A,'MLP Data'!A:A, 'MLP Data'!B:B, "Not Found")</f>
        <v>Not Found</v>
      </c>
      <c r="L200" s="72" t="str">
        <f t="array" ref="L200">XLOOKUP(A:A,'MLP Data'!A:A, 'MLP Data'!C:C, "Not Found")</f>
        <v>Not Found</v>
      </c>
      <c r="M200" s="72" t="str">
        <f t="array" ref="M200">XLOOKUP(A:A,'DLP Data'!A:A, 'DLP Data'!B:B, "Not Found")</f>
        <v>Not Found</v>
      </c>
      <c r="N200" s="72" t="str">
        <f t="array" ref="N200">XLOOKUP(A:A,'DLP Data'!A:A, 'DLP Data'!C:C, "Not Found")</f>
        <v>Not Found</v>
      </c>
      <c r="O200" s="94" t="str">
        <f t="array" ref="O200">IF(COUNTIFS(Summary!A:A,A200,Summary!L:L,"YES")&gt;0,"YES",
IFERROR(INDEX(Summary!L:L,MATCH(A200,Summary!A:A,0)),""))</f>
        <v/>
      </c>
      <c r="P200" s="67"/>
    </row>
    <row r="201" ht="15.75" customHeight="1">
      <c r="A201" s="62" t="s">
        <v>476</v>
      </c>
      <c r="B201" s="65" t="s">
        <v>472</v>
      </c>
      <c r="C201" s="185">
        <v>46126.0</v>
      </c>
      <c r="D201" s="186" t="s">
        <v>4454</v>
      </c>
      <c r="E201" s="51" t="s">
        <v>1748</v>
      </c>
      <c r="F201" s="65"/>
      <c r="G201" s="62" t="s">
        <v>51</v>
      </c>
      <c r="H201" s="65"/>
      <c r="I201" s="139"/>
      <c r="J201" s="139"/>
      <c r="K201" s="72" t="str">
        <f t="array" ref="K201">XLOOKUP(A:A,'MLP Data'!A:A, 'MLP Data'!B:B, "Not Found")</f>
        <v>Not Found</v>
      </c>
      <c r="L201" s="72" t="str">
        <f t="array" ref="L201">XLOOKUP(A:A,'MLP Data'!A:A, 'MLP Data'!C:C, "Not Found")</f>
        <v>Not Found</v>
      </c>
      <c r="M201" s="72" t="str">
        <f t="array" ref="M201">XLOOKUP(A:A,'DLP Data'!A:A, 'DLP Data'!B:B, "Not Found")</f>
        <v>Not Found</v>
      </c>
      <c r="N201" s="72" t="str">
        <f t="array" ref="N201">XLOOKUP(A:A,'DLP Data'!A:A, 'DLP Data'!C:C, "Not Found")</f>
        <v>Not Found</v>
      </c>
      <c r="O201" s="94" t="str">
        <f t="array" ref="O201">IF(COUNTIFS(Summary!A:A,A201,Summary!L:L,"YES")&gt;0,"YES",
IFERROR(INDEX(Summary!L:L,MATCH(A201,Summary!A:A,0)),""))</f>
        <v/>
      </c>
      <c r="P201" s="67"/>
    </row>
    <row r="202" ht="15.75" customHeight="1">
      <c r="A202" s="62" t="s">
        <v>156</v>
      </c>
      <c r="B202" s="65" t="s">
        <v>1554</v>
      </c>
      <c r="C202" s="185">
        <v>46127.0</v>
      </c>
      <c r="D202" s="186" t="s">
        <v>4453</v>
      </c>
      <c r="E202" s="51" t="s">
        <v>1748</v>
      </c>
      <c r="F202" s="65"/>
      <c r="G202" s="62" t="s">
        <v>51</v>
      </c>
      <c r="H202" s="65"/>
      <c r="I202" s="139"/>
      <c r="J202" s="139"/>
      <c r="K202" s="72" t="str">
        <f t="array" ref="K202">XLOOKUP(A:A,'MLP Data'!A:A, 'MLP Data'!B:B, "Not Found")</f>
        <v>Not Found</v>
      </c>
      <c r="L202" s="72" t="str">
        <f t="array" ref="L202">XLOOKUP(A:A,'MLP Data'!A:A, 'MLP Data'!C:C, "Not Found")</f>
        <v>Not Found</v>
      </c>
      <c r="M202" s="72">
        <f t="array" ref="M202">XLOOKUP(A:A,'DLP Data'!A:A, 'DLP Data'!B:B, "Not Found")</f>
        <v>85</v>
      </c>
      <c r="N202" s="72" t="str">
        <f t="array" ref="N202">XLOOKUP(A:A,'DLP Data'!A:A, 'DLP Data'!C:C, "Not Found")</f>
        <v>NOTEBOOKS: v good explanation
TEXT: above avg, a little revision suggested
AUDIO:  above avg, a little revision suggested
IMAGE: Good, usage of techical jargon must be adopted
CODING: a lil nudge was need, but above avg</v>
      </c>
      <c r="O202" s="94" t="str">
        <f t="array" ref="O202">IF(COUNTIFS(Summary!A:A,A202,Summary!L:L,"YES")&gt;0,"YES",
IFERROR(INDEX(Summary!L:L,MATCH(A202,Summary!A:A,0)),""))</f>
        <v/>
      </c>
      <c r="P202" s="67"/>
    </row>
    <row r="203" ht="15.75" customHeight="1">
      <c r="A203" s="62" t="s">
        <v>68</v>
      </c>
      <c r="B203" s="65" t="s">
        <v>62</v>
      </c>
      <c r="C203" s="185">
        <v>46127.0</v>
      </c>
      <c r="D203" s="186" t="s">
        <v>4454</v>
      </c>
      <c r="E203" s="51" t="s">
        <v>1748</v>
      </c>
      <c r="F203" s="65"/>
      <c r="G203" s="62" t="s">
        <v>51</v>
      </c>
      <c r="H203" s="65"/>
      <c r="I203" s="139"/>
      <c r="J203" s="139"/>
      <c r="K203" s="72">
        <f t="array" ref="K203">XLOOKUP(A:A,'MLP Data'!A:A, 'MLP Data'!B:B, "Not Found")</f>
        <v>39</v>
      </c>
      <c r="L203" s="72" t="str">
        <f t="array" ref="L203">XLOOKUP(A:A,'MLP Data'!A:A, 'MLP Data'!C:C, "Not Found")</f>
        <v>Try time series forecasting models</v>
      </c>
      <c r="M203" s="72" t="str">
        <f t="array" ref="M203">XLOOKUP(A:A,'DLP Data'!A:A, 'DLP Data'!B:B, "Not Found")</f>
        <v>Not Found</v>
      </c>
      <c r="N203" s="72" t="str">
        <f t="array" ref="N203">XLOOKUP(A:A,'DLP Data'!A:A, 'DLP Data'!C:C, "Not Found")</f>
        <v>Not Found</v>
      </c>
      <c r="O203" s="94" t="str">
        <f t="array" ref="O203">IF(COUNTIFS(Summary!A:A,A203,Summary!L:L,"YES")&gt;0,"YES",
IFERROR(INDEX(Summary!L:L,MATCH(A203,Summary!A:A,0)),""))</f>
        <v/>
      </c>
      <c r="P203" s="67"/>
    </row>
    <row r="204" ht="15.75" customHeight="1">
      <c r="A204" s="62" t="s">
        <v>1266</v>
      </c>
      <c r="B204" s="65" t="s">
        <v>1391</v>
      </c>
      <c r="C204" s="185">
        <v>46127.0</v>
      </c>
      <c r="D204" s="186" t="s">
        <v>4455</v>
      </c>
      <c r="E204" s="51" t="s">
        <v>1748</v>
      </c>
      <c r="F204" s="65"/>
      <c r="G204" s="62" t="s">
        <v>51</v>
      </c>
      <c r="H204" s="65"/>
      <c r="I204" s="139"/>
      <c r="J204" s="139"/>
      <c r="K204" s="72" t="str">
        <f t="array" ref="K204">XLOOKUP(A:A,'MLP Data'!A:A, 'MLP Data'!B:B, "Not Found")</f>
        <v>Not Found</v>
      </c>
      <c r="L204" s="72" t="str">
        <f t="array" ref="L204">XLOOKUP(A:A,'MLP Data'!A:A, 'MLP Data'!C:C, "Not Found")</f>
        <v>Not Found</v>
      </c>
      <c r="M204" s="72" t="str">
        <f t="array" ref="M204">XLOOKUP(A:A,'DLP Data'!A:A, 'DLP Data'!B:B, "Not Found")</f>
        <v>Not Found</v>
      </c>
      <c r="N204" s="72" t="str">
        <f t="array" ref="N204">XLOOKUP(A:A,'DLP Data'!A:A, 'DLP Data'!C:C, "Not Found")</f>
        <v>Not Found</v>
      </c>
      <c r="O204" s="94" t="str">
        <f t="array" ref="O204">IF(COUNTIFS(Summary!A:A,A204,Summary!L:L,"YES")&gt;0,"YES",
IFERROR(INDEX(Summary!L:L,MATCH(A204,Summary!A:A,0)),""))</f>
        <v/>
      </c>
      <c r="P204" s="67"/>
    </row>
    <row r="205" ht="15.75" customHeight="1">
      <c r="A205" s="62" t="s">
        <v>18</v>
      </c>
      <c r="B205" s="65" t="s">
        <v>19</v>
      </c>
      <c r="C205" s="185">
        <v>46127.0</v>
      </c>
      <c r="D205" s="186" t="s">
        <v>4456</v>
      </c>
      <c r="E205" s="51" t="s">
        <v>1748</v>
      </c>
      <c r="F205" s="65"/>
      <c r="G205" s="62" t="s">
        <v>51</v>
      </c>
      <c r="H205" s="65"/>
      <c r="I205" s="139"/>
      <c r="J205" s="139"/>
      <c r="K205" s="72" t="str">
        <f t="array" ref="K205">XLOOKUP(A:A,'MLP Data'!A:A, 'MLP Data'!B:B, "Not Found")</f>
        <v>Not Found</v>
      </c>
      <c r="L205" s="72" t="str">
        <f t="array" ref="L205">XLOOKUP(A:A,'MLP Data'!A:A, 'MLP Data'!C:C, "Not Found")</f>
        <v>Not Found</v>
      </c>
      <c r="M205" s="72" t="str">
        <f t="array" ref="M205">XLOOKUP(A:A,'DLP Data'!A:A, 'DLP Data'!B:B, "Not Found")</f>
        <v>Not Found</v>
      </c>
      <c r="N205" s="72" t="str">
        <f t="array" ref="N205">XLOOKUP(A:A,'DLP Data'!A:A, 'DLP Data'!C:C, "Not Found")</f>
        <v>Not Found</v>
      </c>
      <c r="O205" s="94" t="str">
        <f t="array" ref="O205">IF(COUNTIFS(Summary!A:A,A205,Summary!L:L,"YES")&gt;0,"YES",
IFERROR(INDEX(Summary!L:L,MATCH(A205,Summary!A:A,0)),""))</f>
        <v/>
      </c>
      <c r="P205" s="67"/>
    </row>
    <row r="206" ht="15.75" customHeight="1">
      <c r="A206" s="62" t="s">
        <v>142</v>
      </c>
      <c r="B206" s="65" t="s">
        <v>1282</v>
      </c>
      <c r="C206" s="185">
        <v>46128.0</v>
      </c>
      <c r="D206" s="186" t="s">
        <v>4453</v>
      </c>
      <c r="E206" s="51" t="s">
        <v>1748</v>
      </c>
      <c r="F206" s="65"/>
      <c r="G206" s="62" t="s">
        <v>51</v>
      </c>
      <c r="H206" s="65"/>
      <c r="I206" s="139"/>
      <c r="J206" s="139"/>
      <c r="K206" s="72" t="str">
        <f t="array" ref="K206">XLOOKUP(A:A,'MLP Data'!A:A, 'MLP Data'!B:B, "Not Found")</f>
        <v>Not Found</v>
      </c>
      <c r="L206" s="72" t="str">
        <f t="array" ref="L206">XLOOKUP(A:A,'MLP Data'!A:A, 'MLP Data'!C:C, "Not Found")</f>
        <v>Not Found</v>
      </c>
      <c r="M206" s="72" t="str">
        <f t="array" ref="M206">XLOOKUP(A:A,'DLP Data'!A:A, 'DLP Data'!B:B, "Not Found")</f>
        <v>Not Found</v>
      </c>
      <c r="N206" s="72" t="str">
        <f t="array" ref="N206">XLOOKUP(A:A,'DLP Data'!A:A, 'DLP Data'!C:C, "Not Found")</f>
        <v>Not Found</v>
      </c>
      <c r="O206" s="94" t="str">
        <f t="array" ref="O206">IF(COUNTIFS(Summary!A:A,A206,Summary!L:L,"YES")&gt;0,"YES",
IFERROR(INDEX(Summary!L:L,MATCH(A206,Summary!A:A,0)),""))</f>
        <v/>
      </c>
      <c r="P206" s="67"/>
    </row>
    <row r="207" ht="15.75" customHeight="1">
      <c r="A207" s="62" t="s">
        <v>212</v>
      </c>
      <c r="B207" s="65" t="s">
        <v>210</v>
      </c>
      <c r="C207" s="185">
        <v>46128.0</v>
      </c>
      <c r="D207" s="186" t="s">
        <v>4454</v>
      </c>
      <c r="E207" s="51" t="s">
        <v>1748</v>
      </c>
      <c r="F207" s="65"/>
      <c r="G207" s="62" t="s">
        <v>51</v>
      </c>
      <c r="H207" s="65"/>
      <c r="I207" s="139"/>
      <c r="J207" s="139"/>
      <c r="K207" s="72" t="str">
        <f t="array" ref="K207">XLOOKUP(A:A,'MLP Data'!A:A, 'MLP Data'!B:B, "Not Found")</f>
        <v>Not Found</v>
      </c>
      <c r="L207" s="72" t="str">
        <f t="array" ref="L207">XLOOKUP(A:A,'MLP Data'!A:A, 'MLP Data'!C:C, "Not Found")</f>
        <v>Not Found</v>
      </c>
      <c r="M207" s="72" t="str">
        <f t="array" ref="M207">XLOOKUP(A:A,'DLP Data'!A:A, 'DLP Data'!B:B, "Not Found")</f>
        <v>Not Found</v>
      </c>
      <c r="N207" s="72" t="str">
        <f t="array" ref="N207">XLOOKUP(A:A,'DLP Data'!A:A, 'DLP Data'!C:C, "Not Found")</f>
        <v>Not Found</v>
      </c>
      <c r="O207" s="94" t="str">
        <f t="array" ref="O207">IF(COUNTIFS(Summary!A:A,A207,Summary!L:L,"YES")&gt;0,"YES",
IFERROR(INDEX(Summary!L:L,MATCH(A207,Summary!A:A,0)),""))</f>
        <v/>
      </c>
      <c r="P207" s="67"/>
    </row>
    <row r="208" ht="15.75" customHeight="1">
      <c r="A208" s="62" t="s">
        <v>322</v>
      </c>
      <c r="B208" s="37" t="s">
        <v>2790</v>
      </c>
      <c r="C208" s="185">
        <v>46128.0</v>
      </c>
      <c r="D208" s="186" t="s">
        <v>4455</v>
      </c>
      <c r="E208" s="51" t="s">
        <v>1748</v>
      </c>
      <c r="F208" s="65"/>
      <c r="G208" s="62" t="s">
        <v>51</v>
      </c>
      <c r="H208" s="65"/>
      <c r="I208" s="139"/>
      <c r="J208" s="139"/>
      <c r="K208" s="72" t="str">
        <f t="array" ref="K208">XLOOKUP(A:A,'MLP Data'!A:A, 'MLP Data'!B:B, "Not Found")</f>
        <v>Not Found</v>
      </c>
      <c r="L208" s="72" t="str">
        <f t="array" ref="L208">XLOOKUP(A:A,'MLP Data'!A:A, 'MLP Data'!C:C, "Not Found")</f>
        <v>Not Found</v>
      </c>
      <c r="M208" s="72" t="str">
        <f t="array" ref="M208">XLOOKUP(A:A,'DLP Data'!A:A, 'DLP Data'!B:B, "Not Found")</f>
        <v>Not Found</v>
      </c>
      <c r="N208" s="72" t="str">
        <f t="array" ref="N208">XLOOKUP(A:A,'DLP Data'!A:A, 'DLP Data'!C:C, "Not Found")</f>
        <v>Not Found</v>
      </c>
      <c r="O208" s="94" t="str">
        <f t="array" ref="O208">IF(COUNTIFS(Summary!A:A,A208,Summary!L:L,"YES")&gt;0,"YES",
IFERROR(INDEX(Summary!L:L,MATCH(A208,Summary!A:A,0)),""))</f>
        <v/>
      </c>
      <c r="P208" s="67"/>
    </row>
    <row r="209" ht="15.75" customHeight="1">
      <c r="A209" s="62" t="s">
        <v>65</v>
      </c>
      <c r="B209" s="62" t="s">
        <v>67</v>
      </c>
      <c r="C209" s="187" t="s">
        <v>4457</v>
      </c>
      <c r="D209" s="186" t="s">
        <v>3164</v>
      </c>
      <c r="E209" s="51" t="s">
        <v>1772</v>
      </c>
      <c r="F209" s="149">
        <v>7.98</v>
      </c>
      <c r="G209" s="62" t="s">
        <v>51</v>
      </c>
      <c r="H209" s="62" t="s">
        <v>59</v>
      </c>
      <c r="I209" s="98" t="s">
        <v>518</v>
      </c>
      <c r="J209" s="98" t="s">
        <v>522</v>
      </c>
      <c r="K209" s="72">
        <f t="array" ref="K209">XLOOKUP(A:A,'MLP Data'!A:A, 'MLP Data'!B:B, "Not Found")</f>
        <v>43</v>
      </c>
      <c r="L209" s="72" t="str">
        <f t="array" ref="L209">XLOOKUP(A:A,'MLP Data'!A:A, 'MLP Data'!C:C, "Not Found")</f>
        <v>While the candidate has a good initial grasp, the priority should be deepening their conceptual understanding and achieving greater technical mastery over the specific models employed. This focus will empower them to clearly highlight key features and justify architectural decisions, significantly enhancing their technical communication.</v>
      </c>
      <c r="M209" s="72" t="str">
        <f t="array" ref="M209">XLOOKUP(A:A,'DLP Data'!A:A, 'DLP Data'!B:B, "Not Found")</f>
        <v>Not Found</v>
      </c>
      <c r="N209" s="72" t="str">
        <f t="array" ref="N209">XLOOKUP(A:A,'DLP Data'!A:A, 'DLP Data'!C:C, "Not Found")</f>
        <v>Not Found</v>
      </c>
      <c r="O209" s="94" t="str">
        <f t="array" ref="O209">IF(COUNTIFS(Summary!A:A,A209,Summary!L:L,"YES")&gt;0,"YES",
IFERROR(INDEX(Summary!L:L,MATCH(A209,Summary!A:A,0)),""))</f>
        <v/>
      </c>
      <c r="P209" s="67"/>
    </row>
    <row r="210" ht="15.75" customHeight="1">
      <c r="A210" s="62" t="s">
        <v>425</v>
      </c>
      <c r="B210" s="62" t="s">
        <v>422</v>
      </c>
      <c r="C210" s="187" t="s">
        <v>4457</v>
      </c>
      <c r="D210" s="186" t="s">
        <v>3222</v>
      </c>
      <c r="E210" s="51" t="s">
        <v>1748</v>
      </c>
      <c r="F210" s="149">
        <v>7.19</v>
      </c>
      <c r="G210" s="62" t="s">
        <v>51</v>
      </c>
      <c r="H210" s="62" t="s">
        <v>49</v>
      </c>
      <c r="I210" s="98" t="s">
        <v>428</v>
      </c>
      <c r="J210" s="98" t="s">
        <v>433</v>
      </c>
      <c r="K210" s="72" t="str">
        <f t="array" ref="K210">XLOOKUP(A:A,'MLP Data'!A:A, 'MLP Data'!B:B, "Not Found")</f>
        <v>Not Found</v>
      </c>
      <c r="L210" s="72" t="str">
        <f t="array" ref="L210">XLOOKUP(A:A,'MLP Data'!A:A, 'MLP Data'!C:C, "Not Found")</f>
        <v>Not Found</v>
      </c>
      <c r="M210" s="72" t="str">
        <f t="array" ref="M210">XLOOKUP(A:A,'DLP Data'!A:A, 'DLP Data'!B:B, "Not Found")</f>
        <v>Not Found</v>
      </c>
      <c r="N210" s="72" t="str">
        <f t="array" ref="N210">XLOOKUP(A:A,'DLP Data'!A:A, 'DLP Data'!C:C, "Not Found")</f>
        <v>Not Found</v>
      </c>
      <c r="O210" s="94" t="str">
        <f t="array" ref="O210">IF(COUNTIFS(Summary!A:A,A210,Summary!L:L,"YES")&gt;0,"YES",
IFERROR(INDEX(Summary!L:L,MATCH(A210,Summary!A:A,0)),""))</f>
        <v/>
      </c>
      <c r="P210" s="67"/>
    </row>
    <row r="211" ht="15.75" customHeight="1">
      <c r="A211" s="62" t="s">
        <v>68</v>
      </c>
      <c r="B211" s="62" t="s">
        <v>62</v>
      </c>
      <c r="C211" s="187" t="s">
        <v>4457</v>
      </c>
      <c r="D211" s="186" t="s">
        <v>3385</v>
      </c>
      <c r="E211" s="51" t="s">
        <v>1748</v>
      </c>
      <c r="F211" s="149">
        <v>7.31</v>
      </c>
      <c r="G211" s="62" t="s">
        <v>51</v>
      </c>
      <c r="H211" s="62" t="s">
        <v>59</v>
      </c>
      <c r="I211" s="98" t="s">
        <v>123</v>
      </c>
      <c r="J211" s="98" t="s">
        <v>130</v>
      </c>
      <c r="K211" s="72">
        <f t="array" ref="K211">XLOOKUP(A:A,'MLP Data'!A:A, 'MLP Data'!B:B, "Not Found")</f>
        <v>39</v>
      </c>
      <c r="L211" s="72" t="str">
        <f t="array" ref="L211">XLOOKUP(A:A,'MLP Data'!A:A, 'MLP Data'!C:C, "Not Found")</f>
        <v>Try time series forecasting models</v>
      </c>
      <c r="M211" s="72" t="str">
        <f t="array" ref="M211">XLOOKUP(A:A,'DLP Data'!A:A, 'DLP Data'!B:B, "Not Found")</f>
        <v>Not Found</v>
      </c>
      <c r="N211" s="72" t="str">
        <f t="array" ref="N211">XLOOKUP(A:A,'DLP Data'!A:A, 'DLP Data'!C:C, "Not Found")</f>
        <v>Not Found</v>
      </c>
      <c r="O211" s="94" t="str">
        <f t="array" ref="O211">IF(COUNTIFS(Summary!A:A,A211,Summary!L:L,"YES")&gt;0,"YES",
IFERROR(INDEX(Summary!L:L,MATCH(A211,Summary!A:A,0)),""))</f>
        <v/>
      </c>
      <c r="P211" s="67"/>
    </row>
    <row r="212" ht="15.75" customHeight="1">
      <c r="A212" s="62" t="s">
        <v>468</v>
      </c>
      <c r="B212" s="62" t="s">
        <v>465</v>
      </c>
      <c r="C212" s="187" t="s">
        <v>4458</v>
      </c>
      <c r="D212" s="186" t="s">
        <v>3164</v>
      </c>
      <c r="E212" s="51" t="s">
        <v>1770</v>
      </c>
      <c r="F212" s="149">
        <v>7.84</v>
      </c>
      <c r="G212" s="62" t="s">
        <v>51</v>
      </c>
      <c r="H212" s="62" t="s">
        <v>59</v>
      </c>
      <c r="I212" s="98" t="s">
        <v>474</v>
      </c>
      <c r="J212" s="98" t="s">
        <v>481</v>
      </c>
      <c r="K212" s="72" t="str">
        <f t="array" ref="K212">XLOOKUP(A:A,'MLP Data'!A:A, 'MLP Data'!B:B, "Not Found")</f>
        <v>Not Found</v>
      </c>
      <c r="L212" s="72" t="str">
        <f t="array" ref="L212">XLOOKUP(A:A,'MLP Data'!A:A, 'MLP Data'!C:C, "Not Found")</f>
        <v>Not Found</v>
      </c>
      <c r="M212" s="72" t="str">
        <f t="array" ref="M212">XLOOKUP(A:A,'DLP Data'!A:A, 'DLP Data'!B:B, "Not Found")</f>
        <v>Not Found</v>
      </c>
      <c r="N212" s="72" t="str">
        <f t="array" ref="N212">XLOOKUP(A:A,'DLP Data'!A:A, 'DLP Data'!C:C, "Not Found")</f>
        <v>Not Found</v>
      </c>
      <c r="O212" s="94" t="str">
        <f t="array" ref="O212">IF(COUNTIFS(Summary!A:A,A212,Summary!L:L,"YES")&gt;0,"YES",
IFERROR(INDEX(Summary!L:L,MATCH(A212,Summary!A:A,0)),""))</f>
        <v/>
      </c>
      <c r="P212" s="67"/>
    </row>
    <row r="213" ht="15.75" customHeight="1">
      <c r="A213" s="62" t="s">
        <v>497</v>
      </c>
      <c r="B213" s="62" t="s">
        <v>495</v>
      </c>
      <c r="C213" s="187" t="s">
        <v>4458</v>
      </c>
      <c r="D213" s="186" t="s">
        <v>3164</v>
      </c>
      <c r="E213" s="51" t="s">
        <v>1775</v>
      </c>
      <c r="F213" s="149">
        <v>8.39</v>
      </c>
      <c r="G213" s="62" t="s">
        <v>51</v>
      </c>
      <c r="H213" s="62" t="s">
        <v>49</v>
      </c>
      <c r="I213" s="98" t="s">
        <v>501</v>
      </c>
      <c r="J213" s="98" t="s">
        <v>506</v>
      </c>
      <c r="K213" s="72" t="str">
        <f t="array" ref="K213">XLOOKUP(A:A,'MLP Data'!A:A, 'MLP Data'!B:B, "Not Found")</f>
        <v>Not Found</v>
      </c>
      <c r="L213" s="72" t="str">
        <f t="array" ref="L213">XLOOKUP(A:A,'MLP Data'!A:A, 'MLP Data'!C:C, "Not Found")</f>
        <v>Not Found</v>
      </c>
      <c r="M213" s="72" t="str">
        <f t="array" ref="M213">XLOOKUP(A:A,'DLP Data'!A:A, 'DLP Data'!B:B, "Not Found")</f>
        <v>Not Found</v>
      </c>
      <c r="N213" s="72" t="str">
        <f t="array" ref="N213">XLOOKUP(A:A,'DLP Data'!A:A, 'DLP Data'!C:C, "Not Found")</f>
        <v>Not Found</v>
      </c>
      <c r="O213" s="94" t="str">
        <f t="array" ref="O213">IF(COUNTIFS(Summary!A:A,A213,Summary!L:L,"YES")&gt;0,"YES",
IFERROR(INDEX(Summary!L:L,MATCH(A213,Summary!A:A,0)),""))</f>
        <v/>
      </c>
      <c r="P213" s="67"/>
    </row>
    <row r="214" ht="15.75" customHeight="1">
      <c r="A214" s="62" t="s">
        <v>532</v>
      </c>
      <c r="B214" s="62" t="s">
        <v>529</v>
      </c>
      <c r="C214" s="187" t="s">
        <v>4458</v>
      </c>
      <c r="D214" s="186" t="s">
        <v>3164</v>
      </c>
      <c r="E214" s="51" t="s">
        <v>1748</v>
      </c>
      <c r="F214" s="149">
        <v>6.84</v>
      </c>
      <c r="G214" s="62" t="s">
        <v>51</v>
      </c>
      <c r="H214" s="62" t="s">
        <v>59</v>
      </c>
      <c r="I214" s="98" t="s">
        <v>537</v>
      </c>
      <c r="J214" s="98" t="s">
        <v>545</v>
      </c>
      <c r="K214" s="72" t="str">
        <f t="array" ref="K214">XLOOKUP(A:A,'MLP Data'!A:A, 'MLP Data'!B:B, "Not Found")</f>
        <v>Not Found</v>
      </c>
      <c r="L214" s="72" t="str">
        <f t="array" ref="L214">XLOOKUP(A:A,'MLP Data'!A:A, 'MLP Data'!C:C, "Not Found")</f>
        <v>Not Found</v>
      </c>
      <c r="M214" s="72" t="str">
        <f t="array" ref="M214">XLOOKUP(A:A,'DLP Data'!A:A, 'DLP Data'!B:B, "Not Found")</f>
        <v>Not Found</v>
      </c>
      <c r="N214" s="72" t="str">
        <f t="array" ref="N214">XLOOKUP(A:A,'DLP Data'!A:A, 'DLP Data'!C:C, "Not Found")</f>
        <v>Not Found</v>
      </c>
      <c r="O214" s="94" t="str">
        <f t="array" ref="O214">IF(COUNTIFS(Summary!A:A,A214,Summary!L:L,"YES")&gt;0,"YES",
IFERROR(INDEX(Summary!L:L,MATCH(A214,Summary!A:A,0)),""))</f>
        <v/>
      </c>
      <c r="P214" s="67"/>
    </row>
    <row r="215" ht="15.75" customHeight="1">
      <c r="A215" s="62" t="s">
        <v>18</v>
      </c>
      <c r="B215" s="62" t="s">
        <v>19</v>
      </c>
      <c r="C215" s="187" t="s">
        <v>4458</v>
      </c>
      <c r="D215" s="186" t="s">
        <v>3222</v>
      </c>
      <c r="E215" s="51" t="s">
        <v>1748</v>
      </c>
      <c r="F215" s="149">
        <v>8.53</v>
      </c>
      <c r="G215" s="62" t="s">
        <v>51</v>
      </c>
      <c r="H215" s="62" t="s">
        <v>59</v>
      </c>
      <c r="I215" s="98" t="s">
        <v>312</v>
      </c>
      <c r="J215" s="98" t="s">
        <v>321</v>
      </c>
      <c r="K215" s="72" t="str">
        <f t="array" ref="K215">XLOOKUP(A:A,'MLP Data'!A:A, 'MLP Data'!B:B, "Not Found")</f>
        <v>Not Found</v>
      </c>
      <c r="L215" s="72" t="str">
        <f t="array" ref="L215">XLOOKUP(A:A,'MLP Data'!A:A, 'MLP Data'!C:C, "Not Found")</f>
        <v>Not Found</v>
      </c>
      <c r="M215" s="72" t="str">
        <f t="array" ref="M215">XLOOKUP(A:A,'DLP Data'!A:A, 'DLP Data'!B:B, "Not Found")</f>
        <v>Not Found</v>
      </c>
      <c r="N215" s="72" t="str">
        <f t="array" ref="N215">XLOOKUP(A:A,'DLP Data'!A:A, 'DLP Data'!C:C, "Not Found")</f>
        <v>Not Found</v>
      </c>
      <c r="O215" s="94" t="str">
        <f t="array" ref="O215">IF(COUNTIFS(Summary!A:A,A215,Summary!L:L,"YES")&gt;0,"YES",
IFERROR(INDEX(Summary!L:L,MATCH(A215,Summary!A:A,0)),""))</f>
        <v/>
      </c>
      <c r="P215" s="67"/>
    </row>
    <row r="216" ht="15.75" customHeight="1">
      <c r="A216" s="62" t="s">
        <v>370</v>
      </c>
      <c r="B216" s="62" t="s">
        <v>367</v>
      </c>
      <c r="C216" s="187" t="s">
        <v>4458</v>
      </c>
      <c r="D216" s="186" t="s">
        <v>3222</v>
      </c>
      <c r="E216" s="51" t="s">
        <v>1770</v>
      </c>
      <c r="F216" s="149">
        <v>6.06</v>
      </c>
      <c r="G216" s="62" t="s">
        <v>51</v>
      </c>
      <c r="H216" s="62" t="s">
        <v>59</v>
      </c>
      <c r="I216" s="98" t="s">
        <v>375</v>
      </c>
      <c r="J216" s="98" t="s">
        <v>379</v>
      </c>
      <c r="K216" s="72" t="str">
        <f t="array" ref="K216">XLOOKUP(A:A,'MLP Data'!A:A, 'MLP Data'!B:B, "Not Found")</f>
        <v>Not Found</v>
      </c>
      <c r="L216" s="72" t="str">
        <f t="array" ref="L216">XLOOKUP(A:A,'MLP Data'!A:A, 'MLP Data'!C:C, "Not Found")</f>
        <v>Not Found</v>
      </c>
      <c r="M216" s="72">
        <f t="array" ref="M216">XLOOKUP(A:A,'DLP Data'!A:A, 'DLP Data'!B:B, "Not Found")</f>
        <v>25</v>
      </c>
      <c r="N216" s="72" t="str">
        <f t="array" ref="N216">XLOOKUP(A:A,'DLP Data'!A:A, 'DLP Data'!C:C, "Not Found")</f>
        <v>The presentation of the NPPE notebooks lacked clarity, making it difficult to follow the approach and reasoning. It became evident that the student was underprepared, with gaps in basic understanding of Hugging Face workflows and general deep learning concepts. Many responses were poorly articulated, and explanations often lacked structure and precision.
During the Q&amp;A, the student at times struggled to comprehend the questions and provided answers that were out of context. Overall, there were significant gaps across NLP, speech, and vision domains, indicating insufficient conceptual grounding and preparation. The performance was well below the expected level for this stage of the course and requires substantial improvement across all areas.</v>
      </c>
      <c r="O216" s="94" t="str">
        <f t="array" ref="O216">IF(COUNTIFS(Summary!A:A,A216,Summary!L:L,"YES")&gt;0,"YES",
IFERROR(INDEX(Summary!L:L,MATCH(A216,Summary!A:A,0)),""))</f>
        <v/>
      </c>
      <c r="P216" s="67"/>
    </row>
    <row r="217" ht="15.75" customHeight="1">
      <c r="A217" s="62" t="s">
        <v>156</v>
      </c>
      <c r="B217" s="62" t="s">
        <v>447</v>
      </c>
      <c r="C217" s="187" t="s">
        <v>4458</v>
      </c>
      <c r="D217" s="186" t="s">
        <v>3222</v>
      </c>
      <c r="E217" s="51" t="s">
        <v>1775</v>
      </c>
      <c r="F217" s="149">
        <v>7.23</v>
      </c>
      <c r="G217" s="62" t="s">
        <v>51</v>
      </c>
      <c r="H217" s="62" t="s">
        <v>59</v>
      </c>
      <c r="I217" s="98" t="s">
        <v>450</v>
      </c>
      <c r="J217" s="98" t="s">
        <v>450</v>
      </c>
      <c r="K217" s="72" t="str">
        <f t="array" ref="K217">XLOOKUP(A:A,'MLP Data'!A:A, 'MLP Data'!B:B, "Not Found")</f>
        <v>Not Found</v>
      </c>
      <c r="L217" s="72" t="str">
        <f t="array" ref="L217">XLOOKUP(A:A,'MLP Data'!A:A, 'MLP Data'!C:C, "Not Found")</f>
        <v>Not Found</v>
      </c>
      <c r="M217" s="72">
        <f t="array" ref="M217">XLOOKUP(A:A,'DLP Data'!A:A, 'DLP Data'!B:B, "Not Found")</f>
        <v>85</v>
      </c>
      <c r="N217" s="72" t="str">
        <f t="array" ref="N217">XLOOKUP(A:A,'DLP Data'!A:A, 'DLP Data'!C:C, "Not Found")</f>
        <v>NOTEBOOKS: v good explanation
TEXT: above avg, a little revision suggested
AUDIO:  above avg, a little revision suggested
IMAGE: Good, usage of techical jargon must be adopted
CODING: a lil nudge was need, but above avg</v>
      </c>
      <c r="O217" s="94" t="str">
        <f t="array" ref="O217">IF(COUNTIFS(Summary!A:A,A217,Summary!L:L,"YES")&gt;0,"YES",
IFERROR(INDEX(Summary!L:L,MATCH(A217,Summary!A:A,0)),""))</f>
        <v/>
      </c>
      <c r="P217" s="67"/>
    </row>
    <row r="218" ht="15.75" customHeight="1">
      <c r="A218" s="62" t="s">
        <v>76</v>
      </c>
      <c r="B218" s="62" t="s">
        <v>74</v>
      </c>
      <c r="C218" s="187" t="s">
        <v>4459</v>
      </c>
      <c r="D218" s="186" t="s">
        <v>3164</v>
      </c>
      <c r="E218" s="51" t="s">
        <v>2208</v>
      </c>
      <c r="F218" s="149">
        <v>7.4</v>
      </c>
      <c r="G218" s="62" t="s">
        <v>51</v>
      </c>
      <c r="H218" s="62" t="s">
        <v>59</v>
      </c>
      <c r="I218" s="98" t="s">
        <v>79</v>
      </c>
      <c r="J218" s="98" t="s">
        <v>83</v>
      </c>
      <c r="K218" s="72" t="str">
        <f t="array" ref="K218">XLOOKUP(A:A,'MLP Data'!A:A, 'MLP Data'!B:B, "Not Found")</f>
        <v>Not Found</v>
      </c>
      <c r="L218" s="72" t="str">
        <f t="array" ref="L218">XLOOKUP(A:A,'MLP Data'!A:A, 'MLP Data'!C:C, "Not Found")</f>
        <v>Not Found</v>
      </c>
      <c r="M218" s="72" t="str">
        <f t="array" ref="M218">XLOOKUP(A:A,'DLP Data'!A:A, 'DLP Data'!B:B, "Not Found")</f>
        <v>Not Found</v>
      </c>
      <c r="N218" s="72" t="str">
        <f t="array" ref="N218">XLOOKUP(A:A,'DLP Data'!A:A, 'DLP Data'!C:C, "Not Found")</f>
        <v>Not Found</v>
      </c>
      <c r="O218" s="94" t="str">
        <f t="array" ref="O218">IF(COUNTIFS(Summary!A:A,A218,Summary!L:L,"YES")&gt;0,"YES",
IFERROR(INDEX(Summary!L:L,MATCH(A218,Summary!A:A,0)),""))</f>
        <v/>
      </c>
      <c r="P218" s="67"/>
    </row>
    <row r="219" ht="15.75" customHeight="1">
      <c r="A219" s="62" t="s">
        <v>239</v>
      </c>
      <c r="B219" s="62" t="s">
        <v>238</v>
      </c>
      <c r="C219" s="187" t="s">
        <v>4459</v>
      </c>
      <c r="D219" s="186" t="s">
        <v>3385</v>
      </c>
      <c r="E219" s="51" t="s">
        <v>1748</v>
      </c>
      <c r="F219" s="149">
        <v>8.47</v>
      </c>
      <c r="G219" s="62" t="s">
        <v>51</v>
      </c>
      <c r="H219" s="62" t="s">
        <v>49</v>
      </c>
      <c r="I219" s="98" t="s">
        <v>243</v>
      </c>
      <c r="J219" s="98" t="s">
        <v>249</v>
      </c>
      <c r="K219" s="72" t="str">
        <f t="array" ref="K219">XLOOKUP(A:A,'MLP Data'!A:A, 'MLP Data'!B:B, "Not Found")</f>
        <v>Not Found</v>
      </c>
      <c r="L219" s="72" t="str">
        <f t="array" ref="L219">XLOOKUP(A:A,'MLP Data'!A:A, 'MLP Data'!C:C, "Not Found")</f>
        <v>Not Found</v>
      </c>
      <c r="M219" s="72" t="str">
        <f t="array" ref="M219">XLOOKUP(A:A,'DLP Data'!A:A, 'DLP Data'!B:B, "Not Found")</f>
        <v>Not Found</v>
      </c>
      <c r="N219" s="72" t="str">
        <f t="array" ref="N219">XLOOKUP(A:A,'DLP Data'!A:A, 'DLP Data'!C:C, "Not Found")</f>
        <v>Not Found</v>
      </c>
      <c r="O219" s="94" t="str">
        <f t="array" ref="O219">IF(COUNTIFS(Summary!A:A,A219,Summary!L:L,"YES")&gt;0,"YES",
IFERROR(INDEX(Summary!L:L,MATCH(A219,Summary!A:A,0)),""))</f>
        <v/>
      </c>
      <c r="P219" s="67"/>
    </row>
    <row r="220" ht="15.75" customHeight="1">
      <c r="A220" s="62" t="s">
        <v>212</v>
      </c>
      <c r="B220" s="62" t="s">
        <v>210</v>
      </c>
      <c r="C220" s="187" t="s">
        <v>4459</v>
      </c>
      <c r="D220" s="186" t="s">
        <v>3433</v>
      </c>
      <c r="E220" s="51" t="s">
        <v>1748</v>
      </c>
      <c r="F220" s="149">
        <v>6.41</v>
      </c>
      <c r="G220" s="62" t="s">
        <v>51</v>
      </c>
      <c r="H220" s="62" t="s">
        <v>59</v>
      </c>
      <c r="I220" s="98" t="s">
        <v>216</v>
      </c>
      <c r="J220" s="98" t="s">
        <v>224</v>
      </c>
      <c r="K220" s="72" t="str">
        <f t="array" ref="K220">XLOOKUP(A:A,'MLP Data'!A:A, 'MLP Data'!B:B, "Not Found")</f>
        <v>Not Found</v>
      </c>
      <c r="L220" s="72" t="str">
        <f t="array" ref="L220">XLOOKUP(A:A,'MLP Data'!A:A, 'MLP Data'!C:C, "Not Found")</f>
        <v>Not Found</v>
      </c>
      <c r="M220" s="72" t="str">
        <f t="array" ref="M220">XLOOKUP(A:A,'DLP Data'!A:A, 'DLP Data'!B:B, "Not Found")</f>
        <v>Not Found</v>
      </c>
      <c r="N220" s="72" t="str">
        <f t="array" ref="N220">XLOOKUP(A:A,'DLP Data'!A:A, 'DLP Data'!C:C, "Not Found")</f>
        <v>Not Found</v>
      </c>
      <c r="O220" s="94" t="str">
        <f t="array" ref="O220">IF(COUNTIFS(Summary!A:A,A220,Summary!L:L,"YES")&gt;0,"YES",
IFERROR(INDEX(Summary!L:L,MATCH(A220,Summary!A:A,0)),""))</f>
        <v/>
      </c>
      <c r="P220" s="67"/>
    </row>
    <row r="221" ht="15.75" customHeight="1">
      <c r="A221" s="62" t="s">
        <v>182</v>
      </c>
      <c r="B221" s="62" t="s">
        <v>177</v>
      </c>
      <c r="C221" s="187" t="s">
        <v>4460</v>
      </c>
      <c r="D221" s="186" t="s">
        <v>3222</v>
      </c>
      <c r="E221" s="51" t="s">
        <v>1775</v>
      </c>
      <c r="F221" s="149">
        <v>8.26</v>
      </c>
      <c r="G221" s="62" t="s">
        <v>51</v>
      </c>
      <c r="H221" s="62" t="s">
        <v>59</v>
      </c>
      <c r="I221" s="98" t="s">
        <v>188</v>
      </c>
      <c r="J221" s="98" t="s">
        <v>193</v>
      </c>
      <c r="K221" s="72" t="str">
        <f t="array" ref="K221">XLOOKUP(A:A,'MLP Data'!A:A, 'MLP Data'!B:B, "Not Found")</f>
        <v>Not Found</v>
      </c>
      <c r="L221" s="72" t="str">
        <f t="array" ref="L221">XLOOKUP(A:A,'MLP Data'!A:A, 'MLP Data'!C:C, "Not Found")</f>
        <v>Not Found</v>
      </c>
      <c r="M221" s="72" t="str">
        <f t="array" ref="M221">XLOOKUP(A:A,'DLP Data'!A:A, 'DLP Data'!B:B, "Not Found")</f>
        <v>Not Found</v>
      </c>
      <c r="N221" s="72" t="str">
        <f t="array" ref="N221">XLOOKUP(A:A,'DLP Data'!A:A, 'DLP Data'!C:C, "Not Found")</f>
        <v>Not Found</v>
      </c>
      <c r="O221" s="65"/>
      <c r="P221" s="67"/>
    </row>
    <row r="222" ht="15.75" customHeight="1">
      <c r="A222" s="62" t="s">
        <v>338</v>
      </c>
      <c r="B222" s="62" t="s">
        <v>335</v>
      </c>
      <c r="C222" s="187" t="s">
        <v>4460</v>
      </c>
      <c r="D222" s="186" t="s">
        <v>3164</v>
      </c>
      <c r="E222" s="51" t="s">
        <v>1775</v>
      </c>
      <c r="F222" s="149">
        <v>7.65</v>
      </c>
      <c r="G222" s="62" t="s">
        <v>51</v>
      </c>
      <c r="H222" s="62" t="s">
        <v>49</v>
      </c>
      <c r="I222" s="98" t="s">
        <v>342</v>
      </c>
      <c r="J222" s="98" t="s">
        <v>349</v>
      </c>
      <c r="K222" s="72" t="str">
        <f t="array" ref="K222">XLOOKUP(A:A,'MLP Data'!A:A, 'MLP Data'!B:B, "Not Found")</f>
        <v>Not Found</v>
      </c>
      <c r="L222" s="72" t="str">
        <f t="array" ref="L222">XLOOKUP(A:A,'MLP Data'!A:A, 'MLP Data'!C:C, "Not Found")</f>
        <v>Not Found</v>
      </c>
      <c r="M222" s="72" t="str">
        <f t="array" ref="M222">XLOOKUP(A:A,'DLP Data'!A:A, 'DLP Data'!B:B, "Not Found")</f>
        <v/>
      </c>
      <c r="N222" s="72" t="str">
        <f t="array" ref="N222">XLOOKUP(A:A,'DLP Data'!A:A, 'DLP Data'!C:C, "Not Found")</f>
        <v/>
      </c>
      <c r="O222" s="65"/>
      <c r="P222" s="67"/>
    </row>
    <row r="223" ht="15.75" customHeight="1">
      <c r="A223" s="62" t="s">
        <v>182</v>
      </c>
      <c r="B223" s="62" t="s">
        <v>177</v>
      </c>
      <c r="C223" s="187" t="s">
        <v>4460</v>
      </c>
      <c r="D223" s="186" t="s">
        <v>3222</v>
      </c>
      <c r="E223" s="51" t="s">
        <v>1775</v>
      </c>
      <c r="F223" s="149">
        <v>8.26</v>
      </c>
      <c r="G223" s="62" t="s">
        <v>51</v>
      </c>
      <c r="H223" s="62" t="s">
        <v>59</v>
      </c>
      <c r="I223" s="98" t="s">
        <v>188</v>
      </c>
      <c r="J223" s="98" t="s">
        <v>193</v>
      </c>
      <c r="K223" s="72" t="str">
        <f t="array" ref="K223">XLOOKUP(A:A,'MLP Data'!A:A, 'MLP Data'!B:B, "Not Found")</f>
        <v>Not Found</v>
      </c>
      <c r="L223" s="72" t="str">
        <f t="array" ref="L223">XLOOKUP(A:A,'MLP Data'!A:A, 'MLP Data'!C:C, "Not Found")</f>
        <v>Not Found</v>
      </c>
      <c r="M223" s="72" t="str">
        <f t="array" ref="M223">XLOOKUP(A:A,'DLP Data'!A:A, 'DLP Data'!B:B, "Not Found")</f>
        <v>Not Found</v>
      </c>
      <c r="N223" s="72" t="str">
        <f t="array" ref="N223">XLOOKUP(A:A,'DLP Data'!A:A, 'DLP Data'!C:C, "Not Found")</f>
        <v>Not Found</v>
      </c>
      <c r="O223" s="65"/>
      <c r="P223" s="67"/>
    </row>
    <row r="224" ht="15.75" customHeight="1">
      <c r="A224" s="62" t="s">
        <v>149</v>
      </c>
      <c r="B224" s="62" t="s">
        <v>146</v>
      </c>
      <c r="C224" s="187" t="s">
        <v>4461</v>
      </c>
      <c r="D224" s="186" t="s">
        <v>3164</v>
      </c>
      <c r="E224" s="51" t="s">
        <v>2208</v>
      </c>
      <c r="F224" s="149">
        <v>7.52</v>
      </c>
      <c r="G224" s="62" t="s">
        <v>51</v>
      </c>
      <c r="H224" s="62" t="s">
        <v>59</v>
      </c>
      <c r="I224" s="98" t="s">
        <v>153</v>
      </c>
      <c r="J224" s="98" t="s">
        <v>161</v>
      </c>
      <c r="K224" s="72" t="str">
        <f t="array" ref="K224">XLOOKUP(A:A,'MLP Data'!A:A, 'MLP Data'!B:B, "Not Found")</f>
        <v>Not Found</v>
      </c>
      <c r="L224" s="72" t="str">
        <f t="array" ref="L224">XLOOKUP(A:A,'MLP Data'!A:A, 'MLP Data'!C:C, "Not Found")</f>
        <v>Not Found</v>
      </c>
      <c r="M224" s="72">
        <f t="array" ref="M224">XLOOKUP(A:A,'DLP Data'!A:A, 'DLP Data'!B:B, "Not Found")</f>
        <v>32</v>
      </c>
      <c r="N224" s="72" t="str">
        <f t="array" ref="N224">XLOOKUP(A:A,'DLP Data'!A:A, 'DLP Data'!C:C, "Not Found")</f>
        <v>The student presented overly complex notebooks for NPPE 1 and NPPE 2, which appeared to be LLM-generated. This made it difficult for the student to clearly explain the implementation and equally challenging for reviewers to follow and assess the work. The situation pointed to a lack of ownership and insufficient understanding of the code and underlying concepts.
Overall, there were significant gaps across NLP, speech, and vision domains, indicating weak conceptual grounding and inadequate preparation. The student needs to focus on building a clearer understanding of core principles and ensure they can confidently explain and justify their own implementation choices.</v>
      </c>
      <c r="O224" s="65"/>
      <c r="P224" s="67"/>
    </row>
    <row r="225" ht="15.75" customHeight="1">
      <c r="A225" s="62" t="s">
        <v>284</v>
      </c>
      <c r="B225" s="62" t="s">
        <v>282</v>
      </c>
      <c r="C225" s="187" t="s">
        <v>4461</v>
      </c>
      <c r="D225" s="186" t="s">
        <v>3164</v>
      </c>
      <c r="E225" s="51" t="s">
        <v>1775</v>
      </c>
      <c r="F225" s="149">
        <v>7.87</v>
      </c>
      <c r="G225" s="62" t="s">
        <v>51</v>
      </c>
      <c r="H225" s="62" t="s">
        <v>59</v>
      </c>
      <c r="I225" s="98" t="s">
        <v>288</v>
      </c>
      <c r="J225" s="98" t="s">
        <v>295</v>
      </c>
      <c r="K225" s="72" t="str">
        <f t="array" ref="K225">XLOOKUP(A:A,'MLP Data'!A:A, 'MLP Data'!B:B, "Not Found")</f>
        <v>Not Found</v>
      </c>
      <c r="L225" s="72" t="str">
        <f t="array" ref="L225">XLOOKUP(A:A,'MLP Data'!A:A, 'MLP Data'!C:C, "Not Found")</f>
        <v>Not Found</v>
      </c>
      <c r="M225" s="72" t="str">
        <f t="array" ref="M225">XLOOKUP(A:A,'DLP Data'!A:A, 'DLP Data'!B:B, "Not Found")</f>
        <v>Not Found</v>
      </c>
      <c r="N225" s="72" t="str">
        <f t="array" ref="N225">XLOOKUP(A:A,'DLP Data'!A:A, 'DLP Data'!C:C, "Not Found")</f>
        <v>Not Found</v>
      </c>
      <c r="O225" s="65"/>
      <c r="P225" s="67"/>
    </row>
    <row r="226" ht="15.75" customHeight="1">
      <c r="A226" s="62" t="s">
        <v>66</v>
      </c>
      <c r="B226" s="62" t="s">
        <v>63</v>
      </c>
      <c r="C226" s="187" t="s">
        <v>4461</v>
      </c>
      <c r="D226" s="186" t="s">
        <v>3222</v>
      </c>
      <c r="E226" s="51" t="s">
        <v>1775</v>
      </c>
      <c r="F226" s="149">
        <v>7.14</v>
      </c>
      <c r="G226" s="62" t="s">
        <v>51</v>
      </c>
      <c r="H226" s="62" t="s">
        <v>59</v>
      </c>
      <c r="I226" s="98" t="s">
        <v>101</v>
      </c>
      <c r="J226" s="98" t="s">
        <v>109</v>
      </c>
      <c r="K226" s="72" t="str">
        <f t="array" ref="K226">XLOOKUP(A:A,'MLP Data'!A:A, 'MLP Data'!B:B, "Not Found")</f>
        <v>Not Found</v>
      </c>
      <c r="L226" s="72" t="str">
        <f t="array" ref="L226">XLOOKUP(A:A,'MLP Data'!A:A, 'MLP Data'!C:C, "Not Found")</f>
        <v>Not Found</v>
      </c>
      <c r="M226" s="72" t="str">
        <f t="array" ref="M226">XLOOKUP(A:A,'DLP Data'!A:A, 'DLP Data'!B:B, "Not Found")</f>
        <v/>
      </c>
      <c r="N226" s="72" t="str">
        <f t="array" ref="N226">XLOOKUP(A:A,'DLP Data'!A:A, 'DLP Data'!C:C, "Not Found")</f>
        <v/>
      </c>
      <c r="O226" s="65"/>
      <c r="P226" s="67"/>
    </row>
    <row r="227" ht="15.75" customHeight="1">
      <c r="A227" s="62" t="s">
        <v>267</v>
      </c>
      <c r="B227" s="62" t="s">
        <v>265</v>
      </c>
      <c r="C227" s="187" t="s">
        <v>4461</v>
      </c>
      <c r="D227" s="186" t="s">
        <v>3222</v>
      </c>
      <c r="E227" s="51" t="s">
        <v>2208</v>
      </c>
      <c r="F227" s="149">
        <v>7.45</v>
      </c>
      <c r="G227" s="62" t="s">
        <v>51</v>
      </c>
      <c r="H227" s="62" t="s">
        <v>59</v>
      </c>
      <c r="I227" s="98" t="s">
        <v>270</v>
      </c>
      <c r="J227" s="98" t="s">
        <v>273</v>
      </c>
      <c r="K227" s="72" t="str">
        <f t="array" ref="K227">XLOOKUP(A:A,'MLP Data'!A:A, 'MLP Data'!B:B, "Not Found")</f>
        <v>Not Found</v>
      </c>
      <c r="L227" s="72" t="str">
        <f t="array" ref="L227">XLOOKUP(A:A,'MLP Data'!A:A, 'MLP Data'!C:C, "Not Found")</f>
        <v>Not Found</v>
      </c>
      <c r="M227" s="72" t="str">
        <f t="array" ref="M227">XLOOKUP(A:A,'DLP Data'!A:A, 'DLP Data'!B:B, "Not Found")</f>
        <v>Not Found</v>
      </c>
      <c r="N227" s="72" t="str">
        <f t="array" ref="N227">XLOOKUP(A:A,'DLP Data'!A:A, 'DLP Data'!C:C, "Not Found")</f>
        <v>Not Found</v>
      </c>
      <c r="O227" s="65"/>
      <c r="P227" s="67"/>
    </row>
    <row r="228" ht="15.75" customHeight="1">
      <c r="A228" s="62" t="s">
        <v>584</v>
      </c>
      <c r="B228" s="62" t="s">
        <v>586</v>
      </c>
      <c r="C228" s="187" t="s">
        <v>4461</v>
      </c>
      <c r="D228" s="186" t="s">
        <v>3385</v>
      </c>
      <c r="E228" s="51" t="s">
        <v>1754</v>
      </c>
      <c r="F228" s="149">
        <v>7.14</v>
      </c>
      <c r="G228" s="62" t="s">
        <v>603</v>
      </c>
      <c r="H228" s="62" t="s">
        <v>59</v>
      </c>
      <c r="I228" s="98" t="s">
        <v>651</v>
      </c>
      <c r="J228" s="98" t="s">
        <v>661</v>
      </c>
      <c r="K228" s="72" t="str">
        <f t="array" ref="K228">XLOOKUP(A:A,'MLP Data'!A:A, 'MLP Data'!B:B, "Not Found")</f>
        <v>Not Found</v>
      </c>
      <c r="L228" s="72" t="str">
        <f t="array" ref="L228">XLOOKUP(A:A,'MLP Data'!A:A, 'MLP Data'!C:C, "Not Found")</f>
        <v>Not Found</v>
      </c>
      <c r="M228" s="72" t="str">
        <f t="array" ref="M228">XLOOKUP(A:A,'DLP Data'!A:A, 'DLP Data'!B:B, "Not Found")</f>
        <v>Not Found</v>
      </c>
      <c r="N228" s="72" t="str">
        <f t="array" ref="N228">XLOOKUP(A:A,'DLP Data'!A:A, 'DLP Data'!C:C, "Not Found")</f>
        <v>Not Found</v>
      </c>
      <c r="O228" s="65"/>
      <c r="P228" s="67"/>
    </row>
    <row r="229" ht="15.75" customHeight="1">
      <c r="A229" s="62" t="s">
        <v>622</v>
      </c>
      <c r="B229" s="62" t="s">
        <v>621</v>
      </c>
      <c r="C229" s="187" t="s">
        <v>4461</v>
      </c>
      <c r="D229" s="186" t="s">
        <v>3433</v>
      </c>
      <c r="E229" s="51" t="s">
        <v>1754</v>
      </c>
      <c r="F229" s="149">
        <v>7.3</v>
      </c>
      <c r="G229" s="62" t="s">
        <v>603</v>
      </c>
      <c r="H229" s="62" t="s">
        <v>59</v>
      </c>
      <c r="I229" s="98" t="s">
        <v>625</v>
      </c>
      <c r="J229" s="98" t="s">
        <v>630</v>
      </c>
      <c r="K229" s="72" t="str">
        <f t="array" ref="K229">XLOOKUP(A:A,'MLP Data'!A:A, 'MLP Data'!B:B, "Not Found")</f>
        <v>Not Found</v>
      </c>
      <c r="L229" s="72" t="str">
        <f t="array" ref="L229">XLOOKUP(A:A,'MLP Data'!A:A, 'MLP Data'!C:C, "Not Found")</f>
        <v>Not Found</v>
      </c>
      <c r="M229" s="72" t="str">
        <f t="array" ref="M229">XLOOKUP(A:A,'DLP Data'!A:A, 'DLP Data'!B:B, "Not Found")</f>
        <v>Not Found</v>
      </c>
      <c r="N229" s="72" t="str">
        <f t="array" ref="N229">XLOOKUP(A:A,'DLP Data'!A:A, 'DLP Data'!C:C, "Not Found")</f>
        <v>Not Found</v>
      </c>
      <c r="O229" s="65"/>
      <c r="P229" s="67"/>
    </row>
    <row r="230" ht="15.75" customHeight="1">
      <c r="A230" s="62" t="s">
        <v>1266</v>
      </c>
      <c r="B230" s="165" t="s">
        <v>3017</v>
      </c>
      <c r="C230" s="187" t="s">
        <v>4461</v>
      </c>
      <c r="D230" s="189" t="s">
        <v>4462</v>
      </c>
      <c r="E230" s="51" t="s">
        <v>1772</v>
      </c>
      <c r="F230" s="62">
        <v>7.52</v>
      </c>
      <c r="G230" s="187" t="s">
        <v>51</v>
      </c>
      <c r="H230" s="63" t="s">
        <v>49</v>
      </c>
      <c r="I230" s="98" t="s">
        <v>4463</v>
      </c>
      <c r="J230" s="98" t="s">
        <v>4464</v>
      </c>
      <c r="K230" s="72" t="str">
        <f t="array" ref="K230">XLOOKUP(A:A,'MLP Data'!A:A, 'MLP Data'!B:B, "Not Found")</f>
        <v>Not Found</v>
      </c>
      <c r="L230" s="72" t="str">
        <f t="array" ref="L230">XLOOKUP(A:A,'MLP Data'!A:A, 'MLP Data'!C:C, "Not Found")</f>
        <v>Not Found</v>
      </c>
      <c r="M230" s="72" t="str">
        <f t="array" ref="M230">XLOOKUP(A:A,'DLP Data'!A:A, 'DLP Data'!B:B, "Not Found")</f>
        <v>Not Found</v>
      </c>
      <c r="N230" s="72" t="str">
        <f t="array" ref="N230">XLOOKUP(A:A,'DLP Data'!A:A, 'DLP Data'!C:C, "Not Found")</f>
        <v>Not Found</v>
      </c>
      <c r="O230" s="65"/>
      <c r="P230" s="67"/>
    </row>
    <row r="231" ht="15.75" customHeight="1">
      <c r="A231" s="62" t="s">
        <v>399</v>
      </c>
      <c r="B231" s="62" t="s">
        <v>397</v>
      </c>
      <c r="C231" s="187" t="s">
        <v>4459</v>
      </c>
      <c r="D231" s="186" t="s">
        <v>3222</v>
      </c>
      <c r="E231" s="51" t="s">
        <v>1772</v>
      </c>
      <c r="F231" s="149">
        <v>8.51</v>
      </c>
      <c r="G231" s="62" t="s">
        <v>51</v>
      </c>
      <c r="H231" s="62" t="s">
        <v>59</v>
      </c>
      <c r="I231" s="98" t="s">
        <v>404</v>
      </c>
      <c r="J231" s="98" t="s">
        <v>410</v>
      </c>
      <c r="K231" s="72" t="str">
        <f t="array" ref="K231">XLOOKUP(A:A,'MLP Data'!A:A, 'MLP Data'!B:B, "Not Found")</f>
        <v>Not Found</v>
      </c>
      <c r="L231" s="72" t="str">
        <f t="array" ref="L231">XLOOKUP(A:A,'MLP Data'!A:A, 'MLP Data'!C:C, "Not Found")</f>
        <v>Not Found</v>
      </c>
      <c r="M231" s="72">
        <f t="array" ref="M231">XLOOKUP(A:A,'DLP Data'!A:A, 'DLP Data'!B:B, "Not Found")</f>
        <v>74</v>
      </c>
      <c r="N231" s="72" t="str">
        <f t="array" ref="N231">XLOOKUP(A:A,'DLP Data'!A:A, 'DLP Data'!C:C, "Not Found")</f>
        <v>NOTEBOOKS: fair enough
TEXT: good 
AUDIO: good , apart from few tricky question
IMAGE: needs theory revision, could not answer
CODING: below avg</v>
      </c>
      <c r="O231" s="94" t="str">
        <f t="array" ref="O231">IF(COUNTIFS(Summary!A:A,A231,Summary!L:L,"YES")&gt;0,"YES",
IFERROR(INDEX(Summary!L:L,MATCH(A231,Summary!A:A,0)),""))</f>
        <v/>
      </c>
      <c r="P231" s="67"/>
    </row>
    <row r="232" ht="15.75" customHeight="1">
      <c r="A232" s="62" t="s">
        <v>322</v>
      </c>
      <c r="B232" s="62" t="s">
        <v>318</v>
      </c>
      <c r="C232" s="187" t="s">
        <v>4465</v>
      </c>
      <c r="D232" s="186" t="s">
        <v>3164</v>
      </c>
      <c r="E232" s="51" t="s">
        <v>2208</v>
      </c>
      <c r="F232" s="149">
        <v>7.24</v>
      </c>
      <c r="G232" s="62" t="s">
        <v>51</v>
      </c>
      <c r="H232" s="62" t="s">
        <v>59</v>
      </c>
      <c r="I232" s="98" t="s">
        <v>324</v>
      </c>
      <c r="J232" s="98" t="s">
        <v>333</v>
      </c>
      <c r="K232" s="72" t="str">
        <f t="array" ref="K232">XLOOKUP(A:A,'MLP Data'!A:A, 'MLP Data'!B:B, "Not Found")</f>
        <v>Not Found</v>
      </c>
      <c r="L232" s="72" t="str">
        <f t="array" ref="L232">XLOOKUP(A:A,'MLP Data'!A:A, 'MLP Data'!C:C, "Not Found")</f>
        <v>Not Found</v>
      </c>
      <c r="M232" s="72" t="str">
        <f t="array" ref="M232">XLOOKUP(A:A,'DLP Data'!A:A, 'DLP Data'!B:B, "Not Found")</f>
        <v>Not Found</v>
      </c>
      <c r="N232" s="72" t="str">
        <f t="array" ref="N232">XLOOKUP(A:A,'DLP Data'!A:A, 'DLP Data'!C:C, "Not Found")</f>
        <v>Not Found</v>
      </c>
      <c r="O232" s="65"/>
      <c r="P232" s="67"/>
    </row>
    <row r="233" ht="15.75" customHeight="1">
      <c r="A233" s="62" t="s">
        <v>838</v>
      </c>
      <c r="B233" s="62" t="s">
        <v>837</v>
      </c>
      <c r="C233" s="185">
        <v>46027.0</v>
      </c>
      <c r="D233" s="186" t="s">
        <v>4446</v>
      </c>
      <c r="E233" s="51" t="s">
        <v>1748</v>
      </c>
      <c r="F233" s="149">
        <v>6.23</v>
      </c>
      <c r="G233" s="62" t="s">
        <v>51</v>
      </c>
      <c r="H233" s="62" t="s">
        <v>59</v>
      </c>
      <c r="I233" s="98" t="s">
        <v>843</v>
      </c>
      <c r="J233" s="98" t="s">
        <v>849</v>
      </c>
      <c r="K233" s="72" t="str">
        <f t="array" ref="K233">XLOOKUP(A:A,'MLP Data'!A:A, 'MLP Data'!B:B, "Not Found")</f>
        <v>Not Found</v>
      </c>
      <c r="L233" s="72" t="str">
        <f t="array" ref="L233">XLOOKUP(A:A,'MLP Data'!A:A, 'MLP Data'!C:C, "Not Found")</f>
        <v>Not Found</v>
      </c>
      <c r="M233" s="72" t="str">
        <f t="array" ref="M233">XLOOKUP(A:A,'DLP Data'!A:A, 'DLP Data'!B:B, "Not Found")</f>
        <v>Not Found</v>
      </c>
      <c r="N233" s="72" t="str">
        <f t="array" ref="N233">XLOOKUP(A:A,'DLP Data'!A:A, 'DLP Data'!C:C, "Not Found")</f>
        <v>Not Found</v>
      </c>
      <c r="O233" s="65"/>
      <c r="P233" s="67"/>
    </row>
    <row r="234" ht="15.75" customHeight="1">
      <c r="A234" s="62" t="s">
        <v>142</v>
      </c>
      <c r="B234" s="62" t="s">
        <v>819</v>
      </c>
      <c r="C234" s="185">
        <v>46027.0</v>
      </c>
      <c r="D234" s="186" t="s">
        <v>4439</v>
      </c>
      <c r="E234" s="51" t="s">
        <v>1748</v>
      </c>
      <c r="F234" s="149">
        <v>6.44</v>
      </c>
      <c r="G234" s="62" t="s">
        <v>51</v>
      </c>
      <c r="H234" s="62" t="s">
        <v>59</v>
      </c>
      <c r="I234" s="98" t="s">
        <v>148</v>
      </c>
      <c r="J234" s="98" t="s">
        <v>830</v>
      </c>
      <c r="K234" s="72" t="str">
        <f t="array" ref="K234">XLOOKUP(A:A,'MLP Data'!A:A, 'MLP Data'!B:B, "Not Found")</f>
        <v>Not Found</v>
      </c>
      <c r="L234" s="72" t="str">
        <f t="array" ref="L234">XLOOKUP(A:A,'MLP Data'!A:A, 'MLP Data'!C:C, "Not Found")</f>
        <v>Not Found</v>
      </c>
      <c r="M234" s="72" t="str">
        <f t="array" ref="M234">XLOOKUP(A:A,'DLP Data'!A:A, 'DLP Data'!B:B, "Not Found")</f>
        <v>Not Found</v>
      </c>
      <c r="N234" s="72" t="str">
        <f t="array" ref="N234">XLOOKUP(A:A,'DLP Data'!A:A, 'DLP Data'!C:C, "Not Found")</f>
        <v>Not Found</v>
      </c>
      <c r="O234" s="65"/>
      <c r="P234" s="67"/>
    </row>
    <row r="235" ht="15.75" customHeight="1">
      <c r="A235" s="62" t="s">
        <v>793</v>
      </c>
      <c r="B235" s="62" t="s">
        <v>791</v>
      </c>
      <c r="C235" s="185">
        <v>46027.0</v>
      </c>
      <c r="D235" s="186" t="s">
        <v>4440</v>
      </c>
      <c r="E235" s="51" t="s">
        <v>1748</v>
      </c>
      <c r="F235" s="149">
        <v>6.0</v>
      </c>
      <c r="G235" s="62" t="s">
        <v>51</v>
      </c>
      <c r="H235" s="62" t="s">
        <v>59</v>
      </c>
      <c r="I235" s="98" t="s">
        <v>797</v>
      </c>
      <c r="J235" s="98" t="s">
        <v>806</v>
      </c>
      <c r="K235" s="72" t="str">
        <f t="array" ref="K235">XLOOKUP(A:A,'MLP Data'!A:A, 'MLP Data'!B:B, "Not Found")</f>
        <v>Not Found</v>
      </c>
      <c r="L235" s="72" t="str">
        <f t="array" ref="L235">XLOOKUP(A:A,'MLP Data'!A:A, 'MLP Data'!C:C, "Not Found")</f>
        <v>Not Found</v>
      </c>
      <c r="M235" s="72" t="str">
        <f t="array" ref="M235">XLOOKUP(A:A,'DLP Data'!A:A, 'DLP Data'!B:B, "Not Found")</f>
        <v>Not Found</v>
      </c>
      <c r="N235" s="72" t="str">
        <f t="array" ref="N235">XLOOKUP(A:A,'DLP Data'!A:A, 'DLP Data'!C:C, "Not Found")</f>
        <v>Not Found</v>
      </c>
      <c r="O235" s="65"/>
      <c r="P235" s="67"/>
    </row>
    <row r="236" ht="15.75" customHeight="1">
      <c r="A236" s="62" t="s">
        <v>246</v>
      </c>
      <c r="B236" s="62" t="s">
        <v>381</v>
      </c>
      <c r="C236" s="185">
        <v>46027.0</v>
      </c>
      <c r="D236" s="186" t="s">
        <v>4441</v>
      </c>
      <c r="E236" s="51" t="s">
        <v>1748</v>
      </c>
      <c r="F236" s="149">
        <v>7.195</v>
      </c>
      <c r="G236" s="62" t="s">
        <v>51</v>
      </c>
      <c r="H236" s="62" t="s">
        <v>59</v>
      </c>
      <c r="I236" s="98" t="s">
        <v>251</v>
      </c>
      <c r="J236" s="98" t="s">
        <v>260</v>
      </c>
      <c r="K236" s="72" t="str">
        <f t="array" ref="K236">XLOOKUP(A:A,'MLP Data'!A:A, 'MLP Data'!B:B, "Not Found")</f>
        <v>Not Found</v>
      </c>
      <c r="L236" s="72" t="str">
        <f t="array" ref="L236">XLOOKUP(A:A,'MLP Data'!A:A, 'MLP Data'!C:C, "Not Found")</f>
        <v>Not Found</v>
      </c>
      <c r="M236" s="72">
        <f t="array" ref="M236">XLOOKUP(A:A,'DLP Data'!A:A, 'DLP Data'!B:B, "Not Found")</f>
        <v>41</v>
      </c>
      <c r="N236" s="72" t="str">
        <f t="array" ref="N236">XLOOKUP(A:A,'DLP Data'!A:A, 'DLP Data'!C:C, "Not Found")</f>
        <v>NOTEBOOKS: NPPE 1 not submitted, NPPE 2 - had difficulty in explaining
TEXT: below avg, need to go through theory
AUDIO:  below avg, need to go through theory
IMAGE:  below avg, need to go through theory
CODING:  not at all tried
Candidate was not prepared, and had difficulty in explaining basics, and did not even try coding part. Needs to be serious for such viva voce and prepare well.</v>
      </c>
      <c r="O236" s="65"/>
      <c r="P236" s="67"/>
    </row>
    <row r="237" ht="15.75" customHeight="1">
      <c r="A237" s="62" t="s">
        <v>283</v>
      </c>
      <c r="B237" s="62" t="s">
        <v>743</v>
      </c>
      <c r="C237" s="185">
        <v>46027.0</v>
      </c>
      <c r="D237" s="186" t="s">
        <v>4447</v>
      </c>
      <c r="E237" s="51" t="s">
        <v>1748</v>
      </c>
      <c r="F237" s="149">
        <v>6.5</v>
      </c>
      <c r="G237" s="62" t="s">
        <v>51</v>
      </c>
      <c r="H237" s="62" t="s">
        <v>59</v>
      </c>
      <c r="I237" s="98" t="s">
        <v>750</v>
      </c>
      <c r="J237" s="98" t="s">
        <v>757</v>
      </c>
      <c r="K237" s="72">
        <f t="array" ref="K237">XLOOKUP(A:A,'MLP Data'!A:A, 'MLP Data'!B:B, "Not Found")</f>
        <v>30</v>
      </c>
      <c r="L237" s="72" t="str">
        <f t="array" ref="L237">XLOOKUP(A:A,'MLP Data'!A:A, 'MLP Data'!C:C, "Not Found")</f>
        <v>Need to improve technical knowledge. She was not clear about unsupervised learning, L1 and L2 regularization, and the concepts of underfitting and overfitting.</v>
      </c>
      <c r="M237" s="72" t="str">
        <f t="array" ref="M237">XLOOKUP(A:A,'DLP Data'!A:A, 'DLP Data'!B:B, "Not Found")</f>
        <v>Not Found</v>
      </c>
      <c r="N237" s="72" t="str">
        <f t="array" ref="N237">XLOOKUP(A:A,'DLP Data'!A:A, 'DLP Data'!C:C, "Not Found")</f>
        <v>Not Found</v>
      </c>
      <c r="O237" s="65"/>
      <c r="P237" s="67"/>
    </row>
    <row r="238" ht="15.75" customHeight="1">
      <c r="A238" s="62" t="s">
        <v>365</v>
      </c>
      <c r="B238" s="62" t="s">
        <v>715</v>
      </c>
      <c r="C238" s="185">
        <v>46027.0</v>
      </c>
      <c r="D238" s="186" t="s">
        <v>4442</v>
      </c>
      <c r="E238" s="51" t="s">
        <v>1748</v>
      </c>
      <c r="F238" s="149">
        <v>7.12</v>
      </c>
      <c r="G238" s="62" t="s">
        <v>51</v>
      </c>
      <c r="H238" s="62" t="s">
        <v>59</v>
      </c>
      <c r="I238" s="98" t="s">
        <v>720</v>
      </c>
      <c r="J238" s="98" t="s">
        <v>725</v>
      </c>
      <c r="K238" s="72" t="str">
        <f t="array" ref="K238">XLOOKUP(A:A,'MLP Data'!A:A, 'MLP Data'!B:B, "Not Found")</f>
        <v>Not Found</v>
      </c>
      <c r="L238" s="72" t="str">
        <f t="array" ref="L238">XLOOKUP(A:A,'MLP Data'!A:A, 'MLP Data'!C:C, "Not Found")</f>
        <v>Not Found</v>
      </c>
      <c r="M238" s="72" t="str">
        <f t="array" ref="M238">XLOOKUP(A:A,'DLP Data'!A:A, 'DLP Data'!B:B, "Not Found")</f>
        <v>Not Found</v>
      </c>
      <c r="N238" s="72" t="str">
        <f t="array" ref="N238">XLOOKUP(A:A,'DLP Data'!A:A, 'DLP Data'!C:C, "Not Found")</f>
        <v>Not Found</v>
      </c>
      <c r="O238" s="65"/>
      <c r="P238" s="67"/>
    </row>
    <row r="239" ht="15.75" customHeight="1">
      <c r="A239" s="62" t="s">
        <v>690</v>
      </c>
      <c r="B239" s="62" t="s">
        <v>687</v>
      </c>
      <c r="C239" s="185">
        <v>46027.0</v>
      </c>
      <c r="D239" s="186" t="s">
        <v>4443</v>
      </c>
      <c r="E239" s="51" t="s">
        <v>1748</v>
      </c>
      <c r="F239" s="149">
        <v>8.01</v>
      </c>
      <c r="G239" s="62" t="s">
        <v>51</v>
      </c>
      <c r="H239" s="62" t="s">
        <v>49</v>
      </c>
      <c r="I239" s="98" t="s">
        <v>694</v>
      </c>
      <c r="J239" s="98" t="s">
        <v>702</v>
      </c>
      <c r="K239" s="72" t="str">
        <f t="array" ref="K239">XLOOKUP(A:A,'MLP Data'!A:A, 'MLP Data'!B:B, "Not Found")</f>
        <v>Not Found</v>
      </c>
      <c r="L239" s="72" t="str">
        <f t="array" ref="L239">XLOOKUP(A:A,'MLP Data'!A:A, 'MLP Data'!C:C, "Not Found")</f>
        <v>Not Found</v>
      </c>
      <c r="M239" s="72">
        <f t="array" ref="M239">XLOOKUP(A:A,'DLP Data'!A:A, 'DLP Data'!B:B, "Not Found")</f>
        <v>38</v>
      </c>
      <c r="N239" s="72" t="str">
        <f t="array" ref="N239">XLOOKUP(A:A,'DLP Data'!A:A, 'DLP Data'!C:C, "Not Found")</f>
        <v>could not explain certain codes he has coded in his NPPE notebooks, was bad across all modules, needs to revise hard before showing up for viva</v>
      </c>
      <c r="O239" s="65"/>
      <c r="P239" s="67"/>
    </row>
    <row r="240" ht="15.75" customHeight="1">
      <c r="A240" s="65"/>
      <c r="B240" s="65"/>
      <c r="C240" s="190"/>
      <c r="D240" s="191"/>
      <c r="E240" s="65"/>
      <c r="F240" s="65"/>
      <c r="G240" s="65"/>
      <c r="H240" s="65"/>
      <c r="I240" s="139"/>
      <c r="J240" s="139"/>
      <c r="K240" s="139"/>
      <c r="L240" s="139"/>
      <c r="M240" s="139"/>
      <c r="N240" s="139"/>
      <c r="O240" s="65"/>
      <c r="P240" s="67"/>
    </row>
    <row r="241" ht="15.75" customHeight="1">
      <c r="A241" s="65"/>
      <c r="B241" s="65"/>
      <c r="C241" s="190"/>
      <c r="D241" s="191"/>
      <c r="E241" s="65"/>
      <c r="F241" s="65"/>
      <c r="G241" s="65"/>
      <c r="H241" s="65"/>
      <c r="I241" s="139"/>
      <c r="J241" s="139"/>
      <c r="K241" s="139"/>
      <c r="L241" s="139"/>
      <c r="M241" s="139"/>
      <c r="N241" s="139"/>
      <c r="O241" s="65"/>
      <c r="P241" s="67"/>
    </row>
    <row r="242" ht="15.75" customHeight="1">
      <c r="A242" s="65"/>
      <c r="B242" s="65"/>
      <c r="C242" s="190"/>
      <c r="D242" s="191"/>
      <c r="E242" s="65"/>
      <c r="F242" s="65"/>
      <c r="G242" s="65"/>
      <c r="H242" s="65"/>
      <c r="I242" s="139"/>
      <c r="J242" s="139"/>
      <c r="K242" s="139"/>
      <c r="L242" s="139"/>
      <c r="M242" s="139"/>
      <c r="N242" s="139"/>
      <c r="O242" s="65"/>
      <c r="P242" s="67"/>
    </row>
    <row r="243" ht="15.75" customHeight="1">
      <c r="A243" s="65"/>
      <c r="B243" s="65"/>
      <c r="C243" s="190"/>
      <c r="D243" s="191"/>
      <c r="E243" s="65"/>
      <c r="F243" s="65"/>
      <c r="G243" s="65"/>
      <c r="H243" s="65"/>
      <c r="I243" s="139"/>
      <c r="J243" s="139"/>
      <c r="K243" s="139"/>
      <c r="L243" s="139"/>
      <c r="M243" s="139"/>
      <c r="N243" s="139"/>
      <c r="O243" s="65"/>
      <c r="P243" s="67"/>
    </row>
    <row r="244" ht="15.75" customHeight="1">
      <c r="A244" s="65"/>
      <c r="B244" s="65"/>
      <c r="C244" s="190"/>
      <c r="D244" s="191"/>
      <c r="E244" s="65"/>
      <c r="F244" s="65"/>
      <c r="G244" s="65"/>
      <c r="H244" s="65"/>
      <c r="I244" s="139"/>
      <c r="J244" s="139"/>
      <c r="K244" s="139"/>
      <c r="L244" s="139"/>
      <c r="M244" s="139"/>
      <c r="N244" s="139"/>
      <c r="O244" s="65"/>
      <c r="P244" s="67"/>
    </row>
    <row r="245" ht="15.75" customHeight="1">
      <c r="A245" s="65"/>
      <c r="B245" s="65"/>
      <c r="C245" s="190"/>
      <c r="D245" s="191"/>
      <c r="E245" s="65"/>
      <c r="F245" s="65"/>
      <c r="G245" s="65"/>
      <c r="H245" s="65"/>
      <c r="I245" s="139"/>
      <c r="J245" s="139"/>
      <c r="K245" s="139"/>
      <c r="L245" s="139"/>
      <c r="M245" s="139"/>
      <c r="N245" s="139"/>
      <c r="O245" s="65"/>
      <c r="P245" s="67"/>
    </row>
    <row r="246" ht="15.75" customHeight="1">
      <c r="A246" s="65"/>
      <c r="B246" s="65"/>
      <c r="C246" s="190"/>
      <c r="D246" s="191"/>
      <c r="E246" s="65"/>
      <c r="F246" s="65"/>
      <c r="G246" s="65"/>
      <c r="H246" s="65"/>
      <c r="I246" s="139"/>
      <c r="J246" s="139"/>
      <c r="K246" s="139"/>
      <c r="L246" s="139"/>
      <c r="M246" s="139"/>
      <c r="N246" s="139"/>
      <c r="O246" s="65"/>
      <c r="P246" s="67"/>
    </row>
    <row r="247" ht="15.75" customHeight="1">
      <c r="A247" s="65"/>
      <c r="B247" s="65"/>
      <c r="C247" s="190"/>
      <c r="D247" s="191"/>
      <c r="E247" s="65"/>
      <c r="F247" s="65"/>
      <c r="G247" s="65"/>
      <c r="H247" s="65"/>
      <c r="I247" s="139"/>
      <c r="J247" s="139"/>
      <c r="K247" s="139"/>
      <c r="L247" s="139"/>
      <c r="M247" s="139"/>
      <c r="N247" s="139"/>
      <c r="O247" s="65"/>
      <c r="P247" s="67"/>
    </row>
    <row r="248" ht="15.75" customHeight="1">
      <c r="A248" s="65"/>
      <c r="B248" s="65"/>
      <c r="C248" s="190"/>
      <c r="D248" s="191"/>
      <c r="E248" s="65"/>
      <c r="F248" s="65"/>
      <c r="G248" s="65"/>
      <c r="H248" s="65"/>
      <c r="I248" s="139"/>
      <c r="J248" s="139"/>
      <c r="K248" s="139"/>
      <c r="L248" s="139"/>
      <c r="M248" s="139"/>
      <c r="N248" s="139"/>
      <c r="O248" s="65"/>
      <c r="P248" s="67"/>
    </row>
    <row r="249" ht="15.75" customHeight="1">
      <c r="A249" s="65"/>
      <c r="B249" s="65"/>
      <c r="C249" s="190"/>
      <c r="D249" s="191"/>
      <c r="E249" s="65"/>
      <c r="F249" s="65"/>
      <c r="G249" s="65"/>
      <c r="H249" s="65"/>
      <c r="I249" s="139"/>
      <c r="J249" s="139"/>
      <c r="K249" s="139"/>
      <c r="L249" s="139"/>
      <c r="M249" s="139"/>
      <c r="N249" s="139"/>
      <c r="O249" s="65"/>
      <c r="P249" s="67"/>
    </row>
    <row r="250" ht="15.75" customHeight="1">
      <c r="A250" s="65"/>
      <c r="B250" s="65"/>
      <c r="C250" s="190"/>
      <c r="D250" s="191"/>
      <c r="E250" s="65"/>
      <c r="F250" s="65"/>
      <c r="G250" s="65"/>
      <c r="H250" s="65"/>
      <c r="I250" s="139"/>
      <c r="J250" s="139"/>
      <c r="K250" s="139"/>
      <c r="L250" s="139"/>
      <c r="M250" s="139"/>
      <c r="N250" s="139"/>
      <c r="O250" s="65"/>
      <c r="P250" s="67"/>
    </row>
    <row r="251" ht="15.75" customHeight="1">
      <c r="A251" s="65"/>
      <c r="B251" s="65"/>
      <c r="C251" s="190"/>
      <c r="D251" s="191"/>
      <c r="E251" s="65"/>
      <c r="F251" s="65"/>
      <c r="G251" s="65"/>
      <c r="H251" s="65"/>
      <c r="I251" s="139"/>
      <c r="J251" s="139"/>
      <c r="K251" s="139"/>
      <c r="L251" s="139"/>
      <c r="M251" s="139"/>
      <c r="N251" s="139"/>
      <c r="O251" s="65"/>
      <c r="P251" s="67"/>
    </row>
    <row r="252" ht="15.75" customHeight="1">
      <c r="A252" s="65"/>
      <c r="B252" s="65"/>
      <c r="C252" s="190"/>
      <c r="D252" s="191"/>
      <c r="E252" s="65"/>
      <c r="F252" s="65"/>
      <c r="G252" s="65"/>
      <c r="H252" s="65"/>
      <c r="I252" s="139"/>
      <c r="J252" s="139"/>
      <c r="K252" s="139"/>
      <c r="L252" s="139"/>
      <c r="M252" s="139"/>
      <c r="N252" s="139"/>
      <c r="O252" s="65"/>
      <c r="P252" s="67"/>
    </row>
    <row r="253" ht="15.75" customHeight="1">
      <c r="A253" s="65"/>
      <c r="B253" s="65"/>
      <c r="C253" s="190"/>
      <c r="D253" s="191"/>
      <c r="E253" s="65"/>
      <c r="F253" s="65"/>
      <c r="G253" s="65"/>
      <c r="H253" s="65"/>
      <c r="I253" s="139"/>
      <c r="J253" s="139"/>
      <c r="K253" s="139"/>
      <c r="L253" s="139"/>
      <c r="M253" s="139"/>
      <c r="N253" s="139"/>
      <c r="O253" s="65"/>
      <c r="P253" s="67"/>
    </row>
    <row r="254" ht="15.75" customHeight="1">
      <c r="A254" s="65"/>
      <c r="B254" s="65"/>
      <c r="C254" s="190"/>
      <c r="D254" s="191"/>
      <c r="E254" s="65"/>
      <c r="F254" s="65"/>
      <c r="G254" s="65"/>
      <c r="H254" s="65"/>
      <c r="I254" s="139"/>
      <c r="J254" s="139"/>
      <c r="K254" s="139"/>
      <c r="L254" s="139"/>
      <c r="M254" s="139"/>
      <c r="N254" s="139"/>
      <c r="O254" s="65"/>
      <c r="P254" s="67"/>
    </row>
    <row r="255" ht="15.75" customHeight="1">
      <c r="A255" s="65"/>
      <c r="B255" s="65"/>
      <c r="C255" s="190"/>
      <c r="D255" s="191"/>
      <c r="E255" s="65"/>
      <c r="F255" s="65"/>
      <c r="G255" s="65"/>
      <c r="H255" s="65"/>
      <c r="I255" s="139"/>
      <c r="J255" s="139"/>
      <c r="K255" s="139"/>
      <c r="L255" s="139"/>
      <c r="M255" s="139"/>
      <c r="N255" s="139"/>
      <c r="O255" s="65"/>
      <c r="P255" s="67"/>
    </row>
    <row r="256" ht="15.75" customHeight="1">
      <c r="A256" s="65"/>
      <c r="B256" s="65"/>
      <c r="C256" s="190"/>
      <c r="D256" s="191"/>
      <c r="E256" s="65"/>
      <c r="F256" s="65"/>
      <c r="G256" s="65"/>
      <c r="H256" s="65"/>
      <c r="I256" s="139"/>
      <c r="J256" s="139"/>
      <c r="K256" s="139"/>
      <c r="L256" s="139"/>
      <c r="M256" s="139"/>
      <c r="N256" s="139"/>
      <c r="O256" s="65"/>
      <c r="P256" s="67"/>
    </row>
    <row r="257" ht="15.75" customHeight="1">
      <c r="A257" s="65"/>
      <c r="B257" s="65"/>
      <c r="C257" s="190"/>
      <c r="D257" s="191"/>
      <c r="E257" s="65"/>
      <c r="F257" s="65"/>
      <c r="G257" s="65"/>
      <c r="H257" s="65"/>
      <c r="I257" s="139"/>
      <c r="J257" s="139"/>
      <c r="K257" s="139"/>
      <c r="L257" s="139"/>
      <c r="M257" s="139"/>
      <c r="N257" s="139"/>
      <c r="O257" s="65"/>
      <c r="P257" s="67"/>
    </row>
    <row r="258" ht="15.75" customHeight="1">
      <c r="A258" s="65"/>
      <c r="B258" s="65"/>
      <c r="C258" s="190"/>
      <c r="D258" s="191"/>
      <c r="E258" s="65"/>
      <c r="F258" s="65"/>
      <c r="G258" s="65"/>
      <c r="H258" s="65"/>
      <c r="I258" s="139"/>
      <c r="J258" s="139"/>
      <c r="K258" s="139"/>
      <c r="L258" s="139"/>
      <c r="M258" s="139"/>
      <c r="N258" s="139"/>
      <c r="O258" s="65"/>
      <c r="P258" s="67"/>
    </row>
    <row r="259" ht="15.75" customHeight="1">
      <c r="A259" s="65"/>
      <c r="B259" s="65"/>
      <c r="C259" s="190"/>
      <c r="D259" s="191"/>
      <c r="E259" s="65"/>
      <c r="F259" s="65"/>
      <c r="G259" s="65"/>
      <c r="H259" s="65"/>
      <c r="I259" s="139"/>
      <c r="J259" s="139"/>
      <c r="K259" s="139"/>
      <c r="L259" s="139"/>
      <c r="M259" s="139"/>
      <c r="N259" s="139"/>
      <c r="O259" s="65"/>
      <c r="P259" s="67"/>
    </row>
    <row r="260" ht="15.75" customHeight="1">
      <c r="A260" s="65"/>
      <c r="B260" s="65"/>
      <c r="C260" s="190"/>
      <c r="D260" s="191"/>
      <c r="E260" s="65"/>
      <c r="F260" s="65"/>
      <c r="G260" s="65"/>
      <c r="H260" s="65"/>
      <c r="I260" s="139"/>
      <c r="J260" s="139"/>
      <c r="K260" s="139"/>
      <c r="L260" s="139"/>
      <c r="M260" s="139"/>
      <c r="N260" s="139"/>
      <c r="O260" s="65"/>
      <c r="P260" s="67"/>
    </row>
    <row r="261" ht="15.75" customHeight="1">
      <c r="A261" s="65"/>
      <c r="B261" s="65"/>
      <c r="C261" s="190"/>
      <c r="D261" s="191"/>
      <c r="E261" s="65"/>
      <c r="F261" s="65"/>
      <c r="G261" s="65"/>
      <c r="H261" s="65"/>
      <c r="I261" s="139"/>
      <c r="J261" s="139"/>
      <c r="K261" s="139"/>
      <c r="L261" s="139"/>
      <c r="M261" s="139"/>
      <c r="N261" s="139"/>
      <c r="O261" s="65"/>
      <c r="P261" s="67"/>
    </row>
    <row r="262" ht="15.75" customHeight="1">
      <c r="A262" s="65"/>
      <c r="B262" s="65"/>
      <c r="C262" s="190"/>
      <c r="D262" s="191"/>
      <c r="E262" s="65"/>
      <c r="F262" s="65"/>
      <c r="G262" s="65"/>
      <c r="H262" s="65"/>
      <c r="I262" s="139"/>
      <c r="J262" s="139"/>
      <c r="K262" s="139"/>
      <c r="L262" s="139"/>
      <c r="M262" s="139"/>
      <c r="N262" s="139"/>
      <c r="O262" s="65"/>
      <c r="P262" s="67"/>
    </row>
    <row r="263" ht="15.75" customHeight="1">
      <c r="A263" s="65"/>
      <c r="B263" s="65"/>
      <c r="C263" s="190"/>
      <c r="D263" s="191"/>
      <c r="E263" s="65"/>
      <c r="F263" s="65"/>
      <c r="G263" s="65"/>
      <c r="H263" s="65"/>
      <c r="I263" s="139"/>
      <c r="J263" s="139"/>
      <c r="K263" s="139"/>
      <c r="L263" s="139"/>
      <c r="M263" s="139"/>
      <c r="N263" s="139"/>
      <c r="O263" s="65"/>
      <c r="P263" s="67"/>
    </row>
    <row r="264" ht="15.75" customHeight="1">
      <c r="A264" s="65"/>
      <c r="B264" s="65"/>
      <c r="C264" s="190"/>
      <c r="D264" s="191"/>
      <c r="E264" s="65"/>
      <c r="F264" s="65"/>
      <c r="G264" s="65"/>
      <c r="H264" s="65"/>
      <c r="I264" s="139"/>
      <c r="J264" s="139"/>
      <c r="K264" s="139"/>
      <c r="L264" s="139"/>
      <c r="M264" s="139"/>
      <c r="N264" s="139"/>
      <c r="O264" s="65"/>
      <c r="P264" s="67"/>
    </row>
    <row r="265" ht="15.75" customHeight="1">
      <c r="A265" s="65"/>
      <c r="B265" s="65"/>
      <c r="C265" s="190"/>
      <c r="D265" s="191"/>
      <c r="E265" s="65"/>
      <c r="F265" s="65"/>
      <c r="G265" s="65"/>
      <c r="H265" s="65"/>
      <c r="I265" s="139"/>
      <c r="J265" s="139"/>
      <c r="K265" s="139"/>
      <c r="L265" s="139"/>
      <c r="M265" s="139"/>
      <c r="N265" s="139"/>
      <c r="O265" s="65"/>
      <c r="P265" s="67"/>
    </row>
    <row r="266" ht="15.75" customHeight="1">
      <c r="A266" s="65"/>
      <c r="B266" s="65"/>
      <c r="C266" s="190"/>
      <c r="D266" s="191"/>
      <c r="E266" s="65"/>
      <c r="F266" s="65"/>
      <c r="G266" s="65"/>
      <c r="H266" s="65"/>
      <c r="I266" s="139"/>
      <c r="J266" s="139"/>
      <c r="K266" s="139"/>
      <c r="L266" s="139"/>
      <c r="M266" s="139"/>
      <c r="N266" s="139"/>
      <c r="O266" s="65"/>
      <c r="P266" s="67"/>
    </row>
    <row r="267" ht="15.75" customHeight="1">
      <c r="A267" s="65"/>
      <c r="B267" s="65"/>
      <c r="C267" s="190"/>
      <c r="D267" s="191"/>
      <c r="E267" s="65"/>
      <c r="F267" s="65"/>
      <c r="G267" s="65"/>
      <c r="H267" s="65"/>
      <c r="I267" s="139"/>
      <c r="J267" s="139"/>
      <c r="K267" s="139"/>
      <c r="L267" s="139"/>
      <c r="M267" s="139"/>
      <c r="N267" s="139"/>
      <c r="O267" s="65"/>
      <c r="P267" s="67"/>
    </row>
    <row r="268" ht="15.75" customHeight="1">
      <c r="A268" s="65"/>
      <c r="B268" s="65"/>
      <c r="C268" s="190"/>
      <c r="D268" s="191"/>
      <c r="E268" s="65"/>
      <c r="F268" s="65"/>
      <c r="G268" s="65"/>
      <c r="H268" s="65"/>
      <c r="I268" s="139"/>
      <c r="J268" s="139"/>
      <c r="K268" s="139"/>
      <c r="L268" s="139"/>
      <c r="M268" s="139"/>
      <c r="N268" s="139"/>
      <c r="O268" s="65"/>
      <c r="P268" s="67"/>
    </row>
    <row r="269" ht="15.75" customHeight="1">
      <c r="A269" s="65"/>
      <c r="B269" s="65"/>
      <c r="C269" s="190"/>
      <c r="D269" s="191"/>
      <c r="E269" s="65"/>
      <c r="F269" s="65"/>
      <c r="G269" s="65"/>
      <c r="H269" s="65"/>
      <c r="I269" s="139"/>
      <c r="J269" s="139"/>
      <c r="K269" s="139"/>
      <c r="L269" s="139"/>
      <c r="M269" s="139"/>
      <c r="N269" s="139"/>
      <c r="O269" s="65"/>
      <c r="P269" s="67"/>
    </row>
    <row r="270" ht="15.75" customHeight="1">
      <c r="A270" s="65"/>
      <c r="B270" s="65"/>
      <c r="C270" s="190"/>
      <c r="D270" s="191"/>
      <c r="E270" s="65"/>
      <c r="F270" s="65"/>
      <c r="G270" s="65"/>
      <c r="H270" s="65"/>
      <c r="I270" s="139"/>
      <c r="J270" s="139"/>
      <c r="K270" s="139"/>
      <c r="L270" s="139"/>
      <c r="M270" s="139"/>
      <c r="N270" s="139"/>
      <c r="O270" s="65"/>
      <c r="P270" s="67"/>
    </row>
    <row r="271" ht="15.75" customHeight="1">
      <c r="A271" s="65"/>
      <c r="B271" s="65"/>
      <c r="C271" s="190"/>
      <c r="D271" s="191"/>
      <c r="E271" s="65"/>
      <c r="F271" s="65"/>
      <c r="G271" s="65"/>
      <c r="H271" s="65"/>
      <c r="I271" s="139"/>
      <c r="J271" s="139"/>
      <c r="K271" s="139"/>
      <c r="L271" s="139"/>
      <c r="M271" s="139"/>
      <c r="N271" s="139"/>
      <c r="O271" s="65"/>
      <c r="P271" s="67"/>
    </row>
    <row r="272" ht="15.75" customHeight="1">
      <c r="A272" s="65"/>
      <c r="B272" s="65"/>
      <c r="C272" s="190"/>
      <c r="D272" s="191"/>
      <c r="E272" s="65"/>
      <c r="F272" s="65"/>
      <c r="G272" s="65"/>
      <c r="H272" s="65"/>
      <c r="I272" s="139"/>
      <c r="J272" s="139"/>
      <c r="K272" s="139"/>
      <c r="L272" s="139"/>
      <c r="M272" s="139"/>
      <c r="N272" s="139"/>
      <c r="O272" s="65"/>
      <c r="P272" s="67"/>
    </row>
    <row r="273" ht="15.75" customHeight="1">
      <c r="A273" s="65"/>
      <c r="B273" s="65"/>
      <c r="C273" s="190"/>
      <c r="D273" s="191"/>
      <c r="E273" s="65"/>
      <c r="F273" s="65"/>
      <c r="G273" s="65"/>
      <c r="H273" s="65"/>
      <c r="I273" s="139"/>
      <c r="J273" s="139"/>
      <c r="K273" s="139"/>
      <c r="L273" s="139"/>
      <c r="M273" s="139"/>
      <c r="N273" s="139"/>
      <c r="O273" s="65"/>
      <c r="P273" s="67"/>
    </row>
    <row r="274" ht="15.75" customHeight="1">
      <c r="A274" s="65"/>
      <c r="B274" s="65"/>
      <c r="C274" s="190"/>
      <c r="D274" s="191"/>
      <c r="E274" s="65"/>
      <c r="F274" s="65"/>
      <c r="G274" s="65"/>
      <c r="H274" s="65"/>
      <c r="I274" s="139"/>
      <c r="J274" s="139"/>
      <c r="K274" s="139"/>
      <c r="L274" s="139"/>
      <c r="M274" s="139"/>
      <c r="N274" s="139"/>
      <c r="O274" s="65"/>
      <c r="P274" s="67"/>
    </row>
    <row r="275" ht="15.75" customHeight="1">
      <c r="A275" s="65"/>
      <c r="B275" s="65"/>
      <c r="C275" s="190"/>
      <c r="D275" s="191"/>
      <c r="E275" s="65"/>
      <c r="F275" s="65"/>
      <c r="G275" s="65"/>
      <c r="H275" s="65"/>
      <c r="I275" s="139"/>
      <c r="J275" s="139"/>
      <c r="K275" s="139"/>
      <c r="L275" s="139"/>
      <c r="M275" s="139"/>
      <c r="N275" s="139"/>
      <c r="O275" s="65"/>
      <c r="P275" s="67"/>
    </row>
    <row r="276" ht="15.75" customHeight="1">
      <c r="A276" s="65"/>
      <c r="B276" s="65"/>
      <c r="C276" s="190"/>
      <c r="D276" s="191"/>
      <c r="E276" s="65"/>
      <c r="F276" s="65"/>
      <c r="G276" s="65"/>
      <c r="H276" s="65"/>
      <c r="I276" s="139"/>
      <c r="J276" s="139"/>
      <c r="K276" s="139"/>
      <c r="L276" s="139"/>
      <c r="M276" s="139"/>
      <c r="N276" s="139"/>
      <c r="O276" s="65"/>
      <c r="P276" s="67"/>
    </row>
    <row r="277" ht="15.75" customHeight="1">
      <c r="A277" s="65"/>
      <c r="B277" s="65"/>
      <c r="C277" s="190"/>
      <c r="D277" s="191"/>
      <c r="E277" s="65"/>
      <c r="F277" s="65"/>
      <c r="G277" s="65"/>
      <c r="H277" s="65"/>
      <c r="I277" s="139"/>
      <c r="J277" s="139"/>
      <c r="K277" s="139"/>
      <c r="L277" s="139"/>
      <c r="M277" s="139"/>
      <c r="N277" s="139"/>
      <c r="O277" s="65"/>
      <c r="P277" s="67"/>
    </row>
    <row r="278" ht="15.75" customHeight="1">
      <c r="A278" s="65"/>
      <c r="B278" s="65"/>
      <c r="C278" s="190"/>
      <c r="D278" s="191"/>
      <c r="E278" s="65"/>
      <c r="F278" s="65"/>
      <c r="G278" s="65"/>
      <c r="H278" s="65"/>
      <c r="I278" s="139"/>
      <c r="J278" s="139"/>
      <c r="K278" s="139"/>
      <c r="L278" s="139"/>
      <c r="M278" s="139"/>
      <c r="N278" s="139"/>
      <c r="O278" s="65"/>
      <c r="P278" s="67"/>
    </row>
    <row r="279" ht="15.75" customHeight="1">
      <c r="A279" s="65"/>
      <c r="B279" s="65"/>
      <c r="C279" s="190"/>
      <c r="D279" s="191"/>
      <c r="E279" s="65"/>
      <c r="F279" s="65"/>
      <c r="G279" s="65"/>
      <c r="H279" s="65"/>
      <c r="I279" s="139"/>
      <c r="J279" s="139"/>
      <c r="K279" s="139"/>
      <c r="L279" s="139"/>
      <c r="M279" s="139"/>
      <c r="N279" s="139"/>
      <c r="O279" s="65"/>
      <c r="P279" s="67"/>
    </row>
    <row r="280" ht="15.75" customHeight="1">
      <c r="A280" s="65"/>
      <c r="B280" s="65"/>
      <c r="C280" s="190"/>
      <c r="D280" s="191"/>
      <c r="E280" s="65"/>
      <c r="F280" s="65"/>
      <c r="G280" s="65"/>
      <c r="H280" s="65"/>
      <c r="I280" s="139"/>
      <c r="J280" s="139"/>
      <c r="K280" s="139"/>
      <c r="L280" s="139"/>
      <c r="M280" s="139"/>
      <c r="N280" s="139"/>
      <c r="O280" s="65"/>
      <c r="P280" s="67"/>
    </row>
    <row r="281" ht="15.75" customHeight="1">
      <c r="A281" s="65"/>
      <c r="B281" s="65"/>
      <c r="C281" s="190"/>
      <c r="D281" s="191"/>
      <c r="E281" s="65"/>
      <c r="F281" s="65"/>
      <c r="G281" s="65"/>
      <c r="H281" s="65"/>
      <c r="I281" s="139"/>
      <c r="J281" s="139"/>
      <c r="K281" s="139"/>
      <c r="L281" s="139"/>
      <c r="M281" s="139"/>
      <c r="N281" s="139"/>
      <c r="O281" s="65"/>
      <c r="P281" s="67"/>
    </row>
    <row r="282" ht="15.75" customHeight="1">
      <c r="A282" s="65"/>
      <c r="B282" s="65"/>
      <c r="C282" s="190"/>
      <c r="D282" s="191"/>
      <c r="E282" s="65"/>
      <c r="F282" s="65"/>
      <c r="G282" s="65"/>
      <c r="H282" s="65"/>
      <c r="I282" s="139"/>
      <c r="J282" s="139"/>
      <c r="K282" s="139"/>
      <c r="L282" s="139"/>
      <c r="M282" s="139"/>
      <c r="N282" s="139"/>
      <c r="O282" s="65"/>
      <c r="P282" s="67"/>
    </row>
    <row r="283" ht="15.75" customHeight="1">
      <c r="A283" s="65"/>
      <c r="B283" s="65"/>
      <c r="C283" s="190"/>
      <c r="D283" s="191"/>
      <c r="E283" s="65"/>
      <c r="F283" s="65"/>
      <c r="G283" s="65"/>
      <c r="H283" s="65"/>
      <c r="I283" s="139"/>
      <c r="J283" s="139"/>
      <c r="K283" s="139"/>
      <c r="L283" s="139"/>
      <c r="M283" s="139"/>
      <c r="N283" s="139"/>
      <c r="O283" s="65"/>
      <c r="P283" s="67"/>
    </row>
    <row r="284" ht="15.75" customHeight="1">
      <c r="A284" s="65"/>
      <c r="B284" s="65"/>
      <c r="C284" s="190"/>
      <c r="D284" s="191"/>
      <c r="E284" s="65"/>
      <c r="F284" s="65"/>
      <c r="G284" s="65"/>
      <c r="H284" s="65"/>
      <c r="I284" s="139"/>
      <c r="J284" s="139"/>
      <c r="K284" s="139"/>
      <c r="L284" s="139"/>
      <c r="M284" s="139"/>
      <c r="N284" s="139"/>
      <c r="O284" s="65"/>
      <c r="P284" s="67"/>
    </row>
    <row r="285" ht="15.75" customHeight="1">
      <c r="A285" s="65"/>
      <c r="B285" s="65"/>
      <c r="C285" s="190"/>
      <c r="D285" s="191"/>
      <c r="E285" s="65"/>
      <c r="F285" s="65"/>
      <c r="G285" s="65"/>
      <c r="H285" s="65"/>
      <c r="I285" s="139"/>
      <c r="J285" s="139"/>
      <c r="K285" s="139"/>
      <c r="L285" s="139"/>
      <c r="M285" s="139"/>
      <c r="N285" s="139"/>
      <c r="O285" s="65"/>
      <c r="P285" s="67"/>
    </row>
    <row r="286" ht="15.75" customHeight="1">
      <c r="A286" s="65"/>
      <c r="B286" s="65"/>
      <c r="C286" s="190"/>
      <c r="D286" s="191"/>
      <c r="E286" s="65"/>
      <c r="F286" s="65"/>
      <c r="G286" s="65"/>
      <c r="H286" s="65"/>
      <c r="I286" s="139"/>
      <c r="J286" s="139"/>
      <c r="K286" s="139"/>
      <c r="L286" s="139"/>
      <c r="M286" s="139"/>
      <c r="N286" s="139"/>
      <c r="O286" s="65"/>
      <c r="P286" s="67"/>
    </row>
    <row r="287" ht="15.75" customHeight="1">
      <c r="A287" s="65"/>
      <c r="B287" s="65"/>
      <c r="C287" s="190"/>
      <c r="D287" s="191"/>
      <c r="E287" s="65"/>
      <c r="F287" s="65"/>
      <c r="G287" s="65"/>
      <c r="H287" s="65"/>
      <c r="I287" s="139"/>
      <c r="J287" s="139"/>
      <c r="K287" s="139"/>
      <c r="L287" s="139"/>
      <c r="M287" s="139"/>
      <c r="N287" s="139"/>
      <c r="O287" s="65"/>
      <c r="P287" s="67"/>
    </row>
    <row r="288" ht="15.75" customHeight="1">
      <c r="A288" s="65"/>
      <c r="B288" s="65"/>
      <c r="C288" s="190"/>
      <c r="D288" s="191"/>
      <c r="E288" s="65"/>
      <c r="F288" s="65"/>
      <c r="G288" s="65"/>
      <c r="H288" s="65"/>
      <c r="I288" s="139"/>
      <c r="J288" s="139"/>
      <c r="K288" s="139"/>
      <c r="L288" s="139"/>
      <c r="M288" s="139"/>
      <c r="N288" s="139"/>
      <c r="O288" s="65"/>
      <c r="P288" s="67"/>
    </row>
    <row r="289" ht="15.75" customHeight="1">
      <c r="A289" s="65"/>
      <c r="B289" s="65"/>
      <c r="C289" s="190"/>
      <c r="D289" s="191"/>
      <c r="E289" s="65"/>
      <c r="F289" s="65"/>
      <c r="G289" s="65"/>
      <c r="H289" s="65"/>
      <c r="I289" s="139"/>
      <c r="J289" s="139"/>
      <c r="K289" s="139"/>
      <c r="L289" s="139"/>
      <c r="M289" s="139"/>
      <c r="N289" s="139"/>
      <c r="O289" s="65"/>
      <c r="P289" s="67"/>
    </row>
    <row r="290" ht="15.75" customHeight="1">
      <c r="A290" s="65"/>
      <c r="B290" s="65"/>
      <c r="C290" s="190"/>
      <c r="D290" s="191"/>
      <c r="E290" s="65"/>
      <c r="F290" s="65"/>
      <c r="G290" s="65"/>
      <c r="H290" s="65"/>
      <c r="I290" s="139"/>
      <c r="J290" s="139"/>
      <c r="K290" s="139"/>
      <c r="L290" s="139"/>
      <c r="M290" s="139"/>
      <c r="N290" s="139"/>
      <c r="O290" s="65"/>
      <c r="P290" s="67"/>
    </row>
    <row r="291" ht="15.75" customHeight="1">
      <c r="A291" s="65"/>
      <c r="B291" s="65"/>
      <c r="C291" s="190"/>
      <c r="D291" s="191"/>
      <c r="E291" s="65"/>
      <c r="F291" s="65"/>
      <c r="G291" s="65"/>
      <c r="H291" s="65"/>
      <c r="I291" s="139"/>
      <c r="J291" s="139"/>
      <c r="K291" s="139"/>
      <c r="L291" s="139"/>
      <c r="M291" s="139"/>
      <c r="N291" s="139"/>
      <c r="O291" s="65"/>
      <c r="P291" s="67"/>
    </row>
    <row r="292" ht="15.75" customHeight="1">
      <c r="A292" s="65"/>
      <c r="B292" s="65"/>
      <c r="C292" s="190"/>
      <c r="D292" s="191"/>
      <c r="E292" s="65"/>
      <c r="F292" s="65"/>
      <c r="G292" s="65"/>
      <c r="H292" s="65"/>
      <c r="I292" s="139"/>
      <c r="J292" s="139"/>
      <c r="K292" s="139"/>
      <c r="L292" s="139"/>
      <c r="M292" s="139"/>
      <c r="N292" s="139"/>
      <c r="O292" s="65"/>
      <c r="P292" s="67"/>
    </row>
    <row r="293" ht="15.75" customHeight="1">
      <c r="A293" s="65"/>
      <c r="B293" s="65"/>
      <c r="C293" s="190"/>
      <c r="D293" s="191"/>
      <c r="E293" s="65"/>
      <c r="F293" s="65"/>
      <c r="G293" s="65"/>
      <c r="H293" s="65"/>
      <c r="I293" s="139"/>
      <c r="J293" s="139"/>
      <c r="K293" s="139"/>
      <c r="L293" s="139"/>
      <c r="M293" s="139"/>
      <c r="N293" s="139"/>
      <c r="O293" s="65"/>
      <c r="P293" s="67"/>
    </row>
    <row r="294" ht="15.75" customHeight="1">
      <c r="A294" s="65"/>
      <c r="B294" s="65"/>
      <c r="C294" s="190"/>
      <c r="D294" s="191"/>
      <c r="E294" s="65"/>
      <c r="F294" s="65"/>
      <c r="G294" s="65"/>
      <c r="H294" s="65"/>
      <c r="I294" s="139"/>
      <c r="J294" s="139"/>
      <c r="K294" s="139"/>
      <c r="L294" s="139"/>
      <c r="M294" s="139"/>
      <c r="N294" s="139"/>
      <c r="O294" s="65"/>
      <c r="P294" s="67"/>
    </row>
    <row r="295" ht="15.75" customHeight="1">
      <c r="A295" s="65"/>
      <c r="B295" s="65"/>
      <c r="C295" s="190"/>
      <c r="D295" s="191"/>
      <c r="E295" s="65"/>
      <c r="F295" s="65"/>
      <c r="G295" s="65"/>
      <c r="H295" s="65"/>
      <c r="I295" s="139"/>
      <c r="J295" s="139"/>
      <c r="K295" s="139"/>
      <c r="L295" s="139"/>
      <c r="M295" s="139"/>
      <c r="N295" s="139"/>
      <c r="O295" s="65"/>
      <c r="P295" s="67"/>
    </row>
    <row r="296" ht="15.75" customHeight="1">
      <c r="A296" s="65"/>
      <c r="B296" s="65"/>
      <c r="C296" s="190"/>
      <c r="D296" s="191"/>
      <c r="E296" s="65"/>
      <c r="F296" s="65"/>
      <c r="G296" s="65"/>
      <c r="H296" s="65"/>
      <c r="I296" s="139"/>
      <c r="J296" s="139"/>
      <c r="K296" s="139"/>
      <c r="L296" s="139"/>
      <c r="M296" s="139"/>
      <c r="N296" s="139"/>
      <c r="O296" s="65"/>
      <c r="P296" s="67"/>
    </row>
    <row r="297" ht="15.75" customHeight="1">
      <c r="A297" s="65"/>
      <c r="B297" s="65"/>
      <c r="C297" s="190"/>
      <c r="D297" s="191"/>
      <c r="E297" s="65"/>
      <c r="F297" s="65"/>
      <c r="G297" s="65"/>
      <c r="H297" s="65"/>
      <c r="I297" s="139"/>
      <c r="J297" s="139"/>
      <c r="K297" s="139"/>
      <c r="L297" s="139"/>
      <c r="M297" s="139"/>
      <c r="N297" s="139"/>
      <c r="O297" s="65"/>
      <c r="P297" s="67"/>
    </row>
    <row r="298" ht="15.75" customHeight="1">
      <c r="A298" s="65"/>
      <c r="B298" s="65"/>
      <c r="C298" s="190"/>
      <c r="D298" s="191"/>
      <c r="E298" s="65"/>
      <c r="F298" s="65"/>
      <c r="G298" s="65"/>
      <c r="H298" s="65"/>
      <c r="I298" s="139"/>
      <c r="J298" s="139"/>
      <c r="K298" s="139"/>
      <c r="L298" s="139"/>
      <c r="M298" s="139"/>
      <c r="N298" s="139"/>
      <c r="O298" s="65"/>
      <c r="P298" s="67"/>
    </row>
    <row r="299" ht="15.75" customHeight="1">
      <c r="A299" s="65"/>
      <c r="B299" s="65"/>
      <c r="C299" s="190"/>
      <c r="D299" s="191"/>
      <c r="E299" s="65"/>
      <c r="F299" s="65"/>
      <c r="G299" s="65"/>
      <c r="H299" s="65"/>
      <c r="I299" s="139"/>
      <c r="J299" s="139"/>
      <c r="K299" s="139"/>
      <c r="L299" s="139"/>
      <c r="M299" s="139"/>
      <c r="N299" s="139"/>
      <c r="O299" s="65"/>
      <c r="P299" s="67"/>
    </row>
    <row r="300" ht="15.75" customHeight="1">
      <c r="A300" s="65"/>
      <c r="B300" s="65"/>
      <c r="C300" s="190"/>
      <c r="D300" s="191"/>
      <c r="E300" s="65"/>
      <c r="F300" s="65"/>
      <c r="G300" s="65"/>
      <c r="H300" s="65"/>
      <c r="I300" s="139"/>
      <c r="J300" s="139"/>
      <c r="K300" s="139"/>
      <c r="L300" s="139"/>
      <c r="M300" s="139"/>
      <c r="N300" s="139"/>
      <c r="O300" s="65"/>
      <c r="P300" s="67"/>
    </row>
    <row r="301" ht="15.75" customHeight="1">
      <c r="A301" s="65"/>
      <c r="B301" s="65"/>
      <c r="C301" s="190"/>
      <c r="D301" s="191"/>
      <c r="E301" s="65"/>
      <c r="F301" s="65"/>
      <c r="G301" s="65"/>
      <c r="H301" s="65"/>
      <c r="I301" s="139"/>
      <c r="J301" s="139"/>
      <c r="K301" s="139"/>
      <c r="L301" s="139"/>
      <c r="M301" s="139"/>
      <c r="N301" s="139"/>
      <c r="O301" s="65"/>
      <c r="P301" s="67"/>
    </row>
    <row r="302" ht="15.75" customHeight="1">
      <c r="A302" s="65"/>
      <c r="B302" s="65"/>
      <c r="C302" s="190"/>
      <c r="D302" s="191"/>
      <c r="E302" s="65"/>
      <c r="F302" s="65"/>
      <c r="G302" s="65"/>
      <c r="H302" s="65"/>
      <c r="I302" s="139"/>
      <c r="J302" s="139"/>
      <c r="K302" s="139"/>
      <c r="L302" s="139"/>
      <c r="M302" s="139"/>
      <c r="N302" s="139"/>
      <c r="O302" s="65"/>
      <c r="P302" s="67"/>
    </row>
    <row r="303" ht="15.75" customHeight="1">
      <c r="A303" s="65"/>
      <c r="B303" s="65"/>
      <c r="C303" s="190"/>
      <c r="D303" s="191"/>
      <c r="E303" s="65"/>
      <c r="F303" s="65"/>
      <c r="G303" s="65"/>
      <c r="H303" s="65"/>
      <c r="I303" s="139"/>
      <c r="J303" s="139"/>
      <c r="K303" s="139"/>
      <c r="L303" s="139"/>
      <c r="M303" s="139"/>
      <c r="N303" s="139"/>
      <c r="O303" s="65"/>
      <c r="P303" s="67"/>
    </row>
    <row r="304" ht="15.75" customHeight="1">
      <c r="A304" s="65"/>
      <c r="B304" s="65"/>
      <c r="C304" s="190"/>
      <c r="D304" s="191"/>
      <c r="E304" s="65"/>
      <c r="F304" s="65"/>
      <c r="G304" s="65"/>
      <c r="H304" s="65"/>
      <c r="I304" s="139"/>
      <c r="J304" s="139"/>
      <c r="K304" s="139"/>
      <c r="L304" s="139"/>
      <c r="M304" s="139"/>
      <c r="N304" s="139"/>
      <c r="O304" s="65"/>
      <c r="P304" s="67"/>
    </row>
    <row r="305" ht="15.75" customHeight="1">
      <c r="A305" s="65"/>
      <c r="B305" s="65"/>
      <c r="C305" s="190"/>
      <c r="D305" s="191"/>
      <c r="E305" s="65"/>
      <c r="F305" s="65"/>
      <c r="G305" s="65"/>
      <c r="H305" s="65"/>
      <c r="I305" s="139"/>
      <c r="J305" s="139"/>
      <c r="K305" s="139"/>
      <c r="L305" s="139"/>
      <c r="M305" s="139"/>
      <c r="N305" s="139"/>
      <c r="O305" s="65"/>
      <c r="P305" s="67"/>
    </row>
    <row r="306" ht="15.75" customHeight="1">
      <c r="A306" s="65"/>
      <c r="B306" s="65"/>
      <c r="C306" s="190"/>
      <c r="D306" s="191"/>
      <c r="E306" s="65"/>
      <c r="F306" s="65"/>
      <c r="G306" s="65"/>
      <c r="H306" s="65"/>
      <c r="I306" s="139"/>
      <c r="J306" s="139"/>
      <c r="K306" s="139"/>
      <c r="L306" s="139"/>
      <c r="M306" s="139"/>
      <c r="N306" s="139"/>
      <c r="O306" s="65"/>
      <c r="P306" s="67"/>
    </row>
    <row r="307" ht="15.75" customHeight="1">
      <c r="A307" s="65"/>
      <c r="B307" s="65"/>
      <c r="C307" s="190"/>
      <c r="D307" s="191"/>
      <c r="E307" s="65"/>
      <c r="F307" s="65"/>
      <c r="G307" s="65"/>
      <c r="H307" s="65"/>
      <c r="I307" s="139"/>
      <c r="J307" s="139"/>
      <c r="K307" s="139"/>
      <c r="L307" s="139"/>
      <c r="M307" s="139"/>
      <c r="N307" s="139"/>
      <c r="O307" s="65"/>
      <c r="P307" s="67"/>
    </row>
    <row r="308" ht="15.75" customHeight="1">
      <c r="A308" s="65"/>
      <c r="B308" s="65"/>
      <c r="C308" s="190"/>
      <c r="D308" s="191"/>
      <c r="E308" s="65"/>
      <c r="F308" s="65"/>
      <c r="G308" s="65"/>
      <c r="H308" s="65"/>
      <c r="I308" s="139"/>
      <c r="J308" s="139"/>
      <c r="K308" s="139"/>
      <c r="L308" s="139"/>
      <c r="M308" s="139"/>
      <c r="N308" s="139"/>
      <c r="O308" s="65"/>
      <c r="P308" s="67"/>
    </row>
    <row r="309" ht="15.75" customHeight="1">
      <c r="A309" s="65"/>
      <c r="B309" s="65"/>
      <c r="C309" s="190"/>
      <c r="D309" s="191"/>
      <c r="E309" s="65"/>
      <c r="F309" s="65"/>
      <c r="G309" s="65"/>
      <c r="H309" s="65"/>
      <c r="I309" s="139"/>
      <c r="J309" s="139"/>
      <c r="K309" s="139"/>
      <c r="L309" s="139"/>
      <c r="M309" s="139"/>
      <c r="N309" s="139"/>
      <c r="O309" s="65"/>
      <c r="P309" s="67"/>
    </row>
    <row r="310" ht="15.75" customHeight="1">
      <c r="A310" s="65"/>
      <c r="B310" s="65"/>
      <c r="C310" s="190"/>
      <c r="D310" s="191"/>
      <c r="E310" s="65"/>
      <c r="F310" s="65"/>
      <c r="G310" s="65"/>
      <c r="H310" s="65"/>
      <c r="I310" s="139"/>
      <c r="J310" s="139"/>
      <c r="K310" s="139"/>
      <c r="L310" s="139"/>
      <c r="M310" s="139"/>
      <c r="N310" s="139"/>
      <c r="O310" s="65"/>
      <c r="P310" s="67"/>
    </row>
    <row r="311" ht="15.75" customHeight="1">
      <c r="A311" s="65"/>
      <c r="B311" s="65"/>
      <c r="C311" s="190"/>
      <c r="D311" s="191"/>
      <c r="E311" s="65"/>
      <c r="F311" s="65"/>
      <c r="G311" s="65"/>
      <c r="H311" s="65"/>
      <c r="I311" s="139"/>
      <c r="J311" s="139"/>
      <c r="K311" s="139"/>
      <c r="L311" s="139"/>
      <c r="M311" s="139"/>
      <c r="N311" s="139"/>
      <c r="O311" s="65"/>
      <c r="P311" s="67"/>
    </row>
    <row r="312" ht="15.75" customHeight="1">
      <c r="A312" s="65"/>
      <c r="B312" s="65"/>
      <c r="C312" s="190"/>
      <c r="D312" s="191"/>
      <c r="E312" s="65"/>
      <c r="F312" s="65"/>
      <c r="G312" s="65"/>
      <c r="H312" s="65"/>
      <c r="I312" s="139"/>
      <c r="J312" s="139"/>
      <c r="K312" s="139"/>
      <c r="L312" s="139"/>
      <c r="M312" s="139"/>
      <c r="N312" s="139"/>
      <c r="O312" s="65"/>
      <c r="P312" s="67"/>
    </row>
    <row r="313" ht="15.75" customHeight="1">
      <c r="A313" s="65"/>
      <c r="B313" s="65"/>
      <c r="C313" s="190"/>
      <c r="D313" s="191"/>
      <c r="E313" s="65"/>
      <c r="F313" s="65"/>
      <c r="G313" s="65"/>
      <c r="H313" s="65"/>
      <c r="I313" s="139"/>
      <c r="J313" s="139"/>
      <c r="K313" s="139"/>
      <c r="L313" s="139"/>
      <c r="M313" s="139"/>
      <c r="N313" s="139"/>
      <c r="O313" s="65"/>
      <c r="P313" s="67"/>
    </row>
    <row r="314" ht="15.75" customHeight="1">
      <c r="A314" s="65"/>
      <c r="B314" s="65"/>
      <c r="C314" s="190"/>
      <c r="D314" s="191"/>
      <c r="E314" s="65"/>
      <c r="F314" s="65"/>
      <c r="G314" s="65"/>
      <c r="H314" s="65"/>
      <c r="I314" s="139"/>
      <c r="J314" s="139"/>
      <c r="K314" s="139"/>
      <c r="L314" s="139"/>
      <c r="M314" s="139"/>
      <c r="N314" s="139"/>
      <c r="O314" s="65"/>
      <c r="P314" s="67"/>
    </row>
    <row r="315" ht="15.75" customHeight="1">
      <c r="A315" s="65"/>
      <c r="B315" s="65"/>
      <c r="C315" s="190"/>
      <c r="D315" s="191"/>
      <c r="E315" s="65"/>
      <c r="F315" s="65"/>
      <c r="G315" s="65"/>
      <c r="H315" s="65"/>
      <c r="I315" s="139"/>
      <c r="J315" s="139"/>
      <c r="K315" s="139"/>
      <c r="L315" s="139"/>
      <c r="M315" s="139"/>
      <c r="N315" s="139"/>
      <c r="O315" s="65"/>
      <c r="P315" s="67"/>
    </row>
    <row r="316" ht="15.75" customHeight="1">
      <c r="A316" s="65"/>
      <c r="B316" s="65"/>
      <c r="C316" s="190"/>
      <c r="D316" s="191"/>
      <c r="E316" s="65"/>
      <c r="F316" s="65"/>
      <c r="G316" s="65"/>
      <c r="H316" s="65"/>
      <c r="I316" s="139"/>
      <c r="J316" s="139"/>
      <c r="K316" s="139"/>
      <c r="L316" s="139"/>
      <c r="M316" s="139"/>
      <c r="N316" s="139"/>
      <c r="O316" s="65"/>
      <c r="P316" s="67"/>
    </row>
    <row r="317" ht="15.75" customHeight="1">
      <c r="A317" s="65"/>
      <c r="B317" s="65"/>
      <c r="C317" s="190"/>
      <c r="D317" s="191"/>
      <c r="E317" s="65"/>
      <c r="F317" s="65"/>
      <c r="G317" s="65"/>
      <c r="H317" s="65"/>
      <c r="I317" s="139"/>
      <c r="J317" s="139"/>
      <c r="K317" s="139"/>
      <c r="L317" s="139"/>
      <c r="M317" s="139"/>
      <c r="N317" s="139"/>
      <c r="O317" s="65"/>
      <c r="P317" s="67"/>
    </row>
    <row r="318" ht="15.75" customHeight="1">
      <c r="A318" s="65"/>
      <c r="B318" s="65"/>
      <c r="C318" s="190"/>
      <c r="D318" s="191"/>
      <c r="E318" s="65"/>
      <c r="F318" s="65"/>
      <c r="G318" s="65"/>
      <c r="H318" s="65"/>
      <c r="I318" s="139"/>
      <c r="J318" s="139"/>
      <c r="K318" s="139"/>
      <c r="L318" s="139"/>
      <c r="M318" s="139"/>
      <c r="N318" s="139"/>
      <c r="O318" s="65"/>
      <c r="P318" s="67"/>
    </row>
    <row r="319" ht="15.75" customHeight="1">
      <c r="A319" s="65"/>
      <c r="B319" s="65"/>
      <c r="C319" s="190"/>
      <c r="D319" s="191"/>
      <c r="E319" s="65"/>
      <c r="F319" s="65"/>
      <c r="G319" s="65"/>
      <c r="H319" s="65"/>
      <c r="I319" s="139"/>
      <c r="J319" s="139"/>
      <c r="K319" s="139"/>
      <c r="L319" s="139"/>
      <c r="M319" s="139"/>
      <c r="N319" s="139"/>
      <c r="O319" s="65"/>
      <c r="P319" s="67"/>
    </row>
    <row r="320" ht="15.75" customHeight="1">
      <c r="A320" s="65"/>
      <c r="B320" s="65"/>
      <c r="C320" s="190"/>
      <c r="D320" s="191"/>
      <c r="E320" s="65"/>
      <c r="F320" s="65"/>
      <c r="G320" s="65"/>
      <c r="H320" s="65"/>
      <c r="I320" s="139"/>
      <c r="J320" s="139"/>
      <c r="K320" s="139"/>
      <c r="L320" s="139"/>
      <c r="M320" s="139"/>
      <c r="N320" s="139"/>
      <c r="O320" s="65"/>
      <c r="P320" s="67"/>
    </row>
    <row r="321" ht="15.75" customHeight="1">
      <c r="A321" s="65"/>
      <c r="B321" s="65"/>
      <c r="C321" s="190"/>
      <c r="D321" s="191"/>
      <c r="E321" s="65"/>
      <c r="F321" s="65"/>
      <c r="G321" s="65"/>
      <c r="H321" s="65"/>
      <c r="I321" s="139"/>
      <c r="J321" s="139"/>
      <c r="K321" s="139"/>
      <c r="L321" s="139"/>
      <c r="M321" s="139"/>
      <c r="N321" s="139"/>
      <c r="O321" s="65"/>
      <c r="P321" s="67"/>
    </row>
    <row r="322" ht="15.75" customHeight="1">
      <c r="A322" s="65"/>
      <c r="B322" s="65"/>
      <c r="C322" s="190"/>
      <c r="D322" s="191"/>
      <c r="E322" s="65"/>
      <c r="F322" s="65"/>
      <c r="G322" s="65"/>
      <c r="H322" s="65"/>
      <c r="I322" s="139"/>
      <c r="J322" s="139"/>
      <c r="K322" s="139"/>
      <c r="L322" s="139"/>
      <c r="M322" s="139"/>
      <c r="N322" s="139"/>
      <c r="O322" s="65"/>
      <c r="P322" s="67"/>
    </row>
    <row r="323" ht="15.75" customHeight="1">
      <c r="A323" s="65"/>
      <c r="B323" s="65"/>
      <c r="C323" s="190"/>
      <c r="D323" s="191"/>
      <c r="E323" s="65"/>
      <c r="F323" s="65"/>
      <c r="G323" s="65"/>
      <c r="H323" s="65"/>
      <c r="I323" s="139"/>
      <c r="J323" s="139"/>
      <c r="K323" s="139"/>
      <c r="L323" s="139"/>
      <c r="M323" s="139"/>
      <c r="N323" s="139"/>
      <c r="O323" s="65"/>
      <c r="P323" s="67"/>
    </row>
    <row r="324" ht="15.75" customHeight="1">
      <c r="A324" s="65"/>
      <c r="B324" s="65"/>
      <c r="C324" s="190"/>
      <c r="D324" s="191"/>
      <c r="E324" s="65"/>
      <c r="F324" s="65"/>
      <c r="G324" s="65"/>
      <c r="H324" s="65"/>
      <c r="I324" s="139"/>
      <c r="J324" s="139"/>
      <c r="K324" s="139"/>
      <c r="L324" s="139"/>
      <c r="M324" s="139"/>
      <c r="N324" s="139"/>
      <c r="O324" s="65"/>
      <c r="P324" s="67"/>
    </row>
    <row r="325" ht="15.75" customHeight="1">
      <c r="A325" s="65"/>
      <c r="B325" s="65"/>
      <c r="C325" s="190"/>
      <c r="D325" s="191"/>
      <c r="E325" s="65"/>
      <c r="F325" s="65"/>
      <c r="G325" s="65"/>
      <c r="H325" s="65"/>
      <c r="I325" s="139"/>
      <c r="J325" s="139"/>
      <c r="K325" s="139"/>
      <c r="L325" s="139"/>
      <c r="M325" s="139"/>
      <c r="N325" s="139"/>
      <c r="O325" s="65"/>
      <c r="P325" s="67"/>
    </row>
    <row r="326" ht="15.75" customHeight="1">
      <c r="A326" s="65"/>
      <c r="B326" s="65"/>
      <c r="C326" s="190"/>
      <c r="D326" s="191"/>
      <c r="E326" s="65"/>
      <c r="F326" s="65"/>
      <c r="G326" s="65"/>
      <c r="H326" s="65"/>
      <c r="I326" s="139"/>
      <c r="J326" s="139"/>
      <c r="K326" s="139"/>
      <c r="L326" s="139"/>
      <c r="M326" s="139"/>
      <c r="N326" s="139"/>
      <c r="O326" s="65"/>
      <c r="P326" s="67"/>
    </row>
    <row r="327" ht="15.75" customHeight="1">
      <c r="A327" s="65"/>
      <c r="B327" s="65"/>
      <c r="C327" s="190"/>
      <c r="D327" s="191"/>
      <c r="E327" s="65"/>
      <c r="F327" s="65"/>
      <c r="G327" s="65"/>
      <c r="H327" s="65"/>
      <c r="I327" s="139"/>
      <c r="J327" s="139"/>
      <c r="K327" s="139"/>
      <c r="L327" s="139"/>
      <c r="M327" s="139"/>
      <c r="N327" s="139"/>
      <c r="O327" s="65"/>
      <c r="P327" s="67"/>
    </row>
    <row r="328" ht="15.75" customHeight="1">
      <c r="A328" s="65"/>
      <c r="B328" s="65"/>
      <c r="C328" s="190"/>
      <c r="D328" s="191"/>
      <c r="E328" s="65"/>
      <c r="F328" s="65"/>
      <c r="G328" s="65"/>
      <c r="H328" s="65"/>
      <c r="I328" s="139"/>
      <c r="J328" s="139"/>
      <c r="K328" s="139"/>
      <c r="L328" s="139"/>
      <c r="M328" s="139"/>
      <c r="N328" s="139"/>
      <c r="O328" s="65"/>
      <c r="P328" s="67"/>
    </row>
    <row r="329" ht="15.75" customHeight="1">
      <c r="A329" s="65"/>
      <c r="B329" s="65"/>
      <c r="C329" s="190"/>
      <c r="D329" s="191"/>
      <c r="E329" s="65"/>
      <c r="F329" s="65"/>
      <c r="G329" s="65"/>
      <c r="H329" s="65"/>
      <c r="I329" s="139"/>
      <c r="J329" s="139"/>
      <c r="K329" s="139"/>
      <c r="L329" s="139"/>
      <c r="M329" s="139"/>
      <c r="N329" s="139"/>
      <c r="O329" s="65"/>
      <c r="P329" s="67"/>
    </row>
    <row r="330" ht="15.75" customHeight="1">
      <c r="A330" s="65"/>
      <c r="B330" s="65"/>
      <c r="C330" s="190"/>
      <c r="D330" s="191"/>
      <c r="E330" s="65"/>
      <c r="F330" s="65"/>
      <c r="G330" s="65"/>
      <c r="H330" s="65"/>
      <c r="I330" s="139"/>
      <c r="J330" s="139"/>
      <c r="K330" s="139"/>
      <c r="L330" s="139"/>
      <c r="M330" s="139"/>
      <c r="N330" s="139"/>
      <c r="O330" s="65"/>
      <c r="P330" s="67"/>
    </row>
    <row r="331" ht="15.75" customHeight="1">
      <c r="A331" s="65"/>
      <c r="B331" s="65"/>
      <c r="C331" s="190"/>
      <c r="D331" s="191"/>
      <c r="E331" s="65"/>
      <c r="F331" s="65"/>
      <c r="G331" s="65"/>
      <c r="H331" s="65"/>
      <c r="I331" s="139"/>
      <c r="J331" s="139"/>
      <c r="K331" s="139"/>
      <c r="L331" s="139"/>
      <c r="M331" s="139"/>
      <c r="N331" s="139"/>
      <c r="O331" s="65"/>
      <c r="P331" s="67"/>
    </row>
    <row r="332" ht="15.75" customHeight="1">
      <c r="A332" s="65"/>
      <c r="B332" s="65"/>
      <c r="C332" s="190"/>
      <c r="D332" s="191"/>
      <c r="E332" s="65"/>
      <c r="F332" s="65"/>
      <c r="G332" s="65"/>
      <c r="H332" s="65"/>
      <c r="I332" s="139"/>
      <c r="J332" s="139"/>
      <c r="K332" s="139"/>
      <c r="L332" s="139"/>
      <c r="M332" s="139"/>
      <c r="N332" s="139"/>
      <c r="O332" s="65"/>
      <c r="P332" s="67"/>
    </row>
    <row r="333" ht="15.75" customHeight="1">
      <c r="A333" s="65"/>
      <c r="B333" s="65"/>
      <c r="C333" s="190"/>
      <c r="D333" s="191"/>
      <c r="E333" s="65"/>
      <c r="F333" s="65"/>
      <c r="G333" s="65"/>
      <c r="H333" s="65"/>
      <c r="I333" s="139"/>
      <c r="J333" s="139"/>
      <c r="K333" s="139"/>
      <c r="L333" s="139"/>
      <c r="M333" s="139"/>
      <c r="N333" s="139"/>
      <c r="O333" s="65"/>
      <c r="P333" s="67"/>
    </row>
    <row r="334" ht="15.75" customHeight="1">
      <c r="A334" s="65"/>
      <c r="B334" s="65"/>
      <c r="C334" s="190"/>
      <c r="D334" s="191"/>
      <c r="E334" s="65"/>
      <c r="F334" s="65"/>
      <c r="G334" s="65"/>
      <c r="H334" s="65"/>
      <c r="I334" s="139"/>
      <c r="J334" s="139"/>
      <c r="K334" s="139"/>
      <c r="L334" s="139"/>
      <c r="M334" s="139"/>
      <c r="N334" s="139"/>
      <c r="O334" s="65"/>
      <c r="P334" s="67"/>
    </row>
    <row r="335" ht="15.75" customHeight="1">
      <c r="A335" s="65"/>
      <c r="B335" s="65"/>
      <c r="C335" s="190"/>
      <c r="D335" s="191"/>
      <c r="E335" s="65"/>
      <c r="F335" s="65"/>
      <c r="G335" s="65"/>
      <c r="H335" s="65"/>
      <c r="I335" s="139"/>
      <c r="J335" s="139"/>
      <c r="K335" s="139"/>
      <c r="L335" s="139"/>
      <c r="M335" s="139"/>
      <c r="N335" s="139"/>
      <c r="O335" s="65"/>
      <c r="P335" s="67"/>
    </row>
    <row r="336" ht="15.75" customHeight="1">
      <c r="A336" s="65"/>
      <c r="B336" s="65"/>
      <c r="C336" s="190"/>
      <c r="D336" s="191"/>
      <c r="E336" s="65"/>
      <c r="F336" s="65"/>
      <c r="G336" s="65"/>
      <c r="H336" s="65"/>
      <c r="I336" s="139"/>
      <c r="J336" s="139"/>
      <c r="K336" s="139"/>
      <c r="L336" s="139"/>
      <c r="M336" s="139"/>
      <c r="N336" s="139"/>
      <c r="O336" s="65"/>
      <c r="P336" s="67"/>
    </row>
    <row r="337" ht="15.75" customHeight="1">
      <c r="A337" s="65"/>
      <c r="B337" s="65"/>
      <c r="C337" s="190"/>
      <c r="D337" s="191"/>
      <c r="E337" s="65"/>
      <c r="F337" s="65"/>
      <c r="G337" s="65"/>
      <c r="H337" s="65"/>
      <c r="I337" s="139"/>
      <c r="J337" s="139"/>
      <c r="K337" s="139"/>
      <c r="L337" s="139"/>
      <c r="M337" s="139"/>
      <c r="N337" s="139"/>
      <c r="O337" s="65"/>
      <c r="P337" s="67"/>
    </row>
    <row r="338" ht="15.75" customHeight="1">
      <c r="A338" s="65"/>
      <c r="B338" s="65"/>
      <c r="C338" s="190"/>
      <c r="D338" s="191"/>
      <c r="E338" s="65"/>
      <c r="F338" s="65"/>
      <c r="G338" s="65"/>
      <c r="H338" s="65"/>
      <c r="I338" s="139"/>
      <c r="J338" s="139"/>
      <c r="K338" s="139"/>
      <c r="L338" s="139"/>
      <c r="M338" s="139"/>
      <c r="N338" s="139"/>
      <c r="O338" s="65"/>
      <c r="P338" s="67"/>
    </row>
    <row r="339" ht="15.75" customHeight="1">
      <c r="A339" s="65"/>
      <c r="B339" s="65"/>
      <c r="C339" s="190"/>
      <c r="D339" s="191"/>
      <c r="E339" s="65"/>
      <c r="F339" s="65"/>
      <c r="G339" s="65"/>
      <c r="H339" s="65"/>
      <c r="I339" s="139"/>
      <c r="J339" s="139"/>
      <c r="K339" s="139"/>
      <c r="L339" s="139"/>
      <c r="M339" s="139"/>
      <c r="N339" s="139"/>
      <c r="O339" s="65"/>
      <c r="P339" s="67"/>
    </row>
    <row r="340" ht="15.75" customHeight="1">
      <c r="A340" s="65"/>
      <c r="B340" s="65"/>
      <c r="C340" s="190"/>
      <c r="D340" s="191"/>
      <c r="E340" s="65"/>
      <c r="F340" s="65"/>
      <c r="G340" s="65"/>
      <c r="H340" s="65"/>
      <c r="I340" s="139"/>
      <c r="J340" s="139"/>
      <c r="K340" s="139"/>
      <c r="L340" s="139"/>
      <c r="M340" s="139"/>
      <c r="N340" s="139"/>
      <c r="O340" s="65"/>
      <c r="P340" s="67"/>
    </row>
    <row r="341" ht="15.75" customHeight="1">
      <c r="A341" s="65"/>
      <c r="B341" s="65"/>
      <c r="C341" s="190"/>
      <c r="D341" s="191"/>
      <c r="E341" s="65"/>
      <c r="F341" s="65"/>
      <c r="G341" s="65"/>
      <c r="H341" s="65"/>
      <c r="I341" s="139"/>
      <c r="J341" s="139"/>
      <c r="K341" s="139"/>
      <c r="L341" s="139"/>
      <c r="M341" s="139"/>
      <c r="N341" s="139"/>
      <c r="O341" s="65"/>
      <c r="P341" s="67"/>
    </row>
    <row r="342" ht="15.75" customHeight="1">
      <c r="A342" s="65"/>
      <c r="B342" s="65"/>
      <c r="C342" s="190"/>
      <c r="D342" s="191"/>
      <c r="E342" s="65"/>
      <c r="F342" s="65"/>
      <c r="G342" s="65"/>
      <c r="H342" s="65"/>
      <c r="I342" s="139"/>
      <c r="J342" s="139"/>
      <c r="K342" s="139"/>
      <c r="L342" s="139"/>
      <c r="M342" s="139"/>
      <c r="N342" s="139"/>
      <c r="O342" s="65"/>
      <c r="P342" s="67"/>
    </row>
    <row r="343" ht="15.75" customHeight="1">
      <c r="A343" s="65"/>
      <c r="B343" s="65"/>
      <c r="C343" s="190"/>
      <c r="D343" s="191"/>
      <c r="E343" s="65"/>
      <c r="F343" s="65"/>
      <c r="G343" s="65"/>
      <c r="H343" s="65"/>
      <c r="I343" s="139"/>
      <c r="J343" s="139"/>
      <c r="K343" s="139"/>
      <c r="L343" s="139"/>
      <c r="M343" s="139"/>
      <c r="N343" s="139"/>
      <c r="O343" s="65"/>
      <c r="P343" s="67"/>
    </row>
    <row r="344" ht="15.75" customHeight="1">
      <c r="A344" s="65"/>
      <c r="B344" s="65"/>
      <c r="C344" s="190"/>
      <c r="D344" s="191"/>
      <c r="E344" s="65"/>
      <c r="F344" s="65"/>
      <c r="G344" s="65"/>
      <c r="H344" s="65"/>
      <c r="I344" s="139"/>
      <c r="J344" s="139"/>
      <c r="K344" s="139"/>
      <c r="L344" s="139"/>
      <c r="M344" s="139"/>
      <c r="N344" s="139"/>
      <c r="O344" s="65"/>
      <c r="P344" s="67"/>
    </row>
    <row r="345" ht="15.75" customHeight="1">
      <c r="A345" s="65"/>
      <c r="B345" s="65"/>
      <c r="C345" s="190"/>
      <c r="D345" s="191"/>
      <c r="E345" s="65"/>
      <c r="F345" s="65"/>
      <c r="G345" s="65"/>
      <c r="H345" s="65"/>
      <c r="I345" s="139"/>
      <c r="J345" s="139"/>
      <c r="K345" s="139"/>
      <c r="L345" s="139"/>
      <c r="M345" s="139"/>
      <c r="N345" s="139"/>
      <c r="O345" s="65"/>
      <c r="P345" s="67"/>
    </row>
    <row r="346" ht="15.75" customHeight="1">
      <c r="A346" s="65"/>
      <c r="B346" s="65"/>
      <c r="C346" s="190"/>
      <c r="D346" s="191"/>
      <c r="E346" s="65"/>
      <c r="F346" s="65"/>
      <c r="G346" s="65"/>
      <c r="H346" s="65"/>
      <c r="I346" s="139"/>
      <c r="J346" s="139"/>
      <c r="K346" s="139"/>
      <c r="L346" s="139"/>
      <c r="M346" s="139"/>
      <c r="N346" s="139"/>
      <c r="O346" s="65"/>
      <c r="P346" s="67"/>
    </row>
    <row r="347" ht="15.75" customHeight="1">
      <c r="A347" s="65"/>
      <c r="B347" s="65"/>
      <c r="C347" s="190"/>
      <c r="D347" s="191"/>
      <c r="E347" s="65"/>
      <c r="F347" s="65"/>
      <c r="G347" s="65"/>
      <c r="H347" s="65"/>
      <c r="I347" s="139"/>
      <c r="J347" s="139"/>
      <c r="K347" s="139"/>
      <c r="L347" s="139"/>
      <c r="M347" s="139"/>
      <c r="N347" s="139"/>
      <c r="O347" s="65"/>
      <c r="P347" s="67"/>
    </row>
    <row r="348" ht="15.75" customHeight="1">
      <c r="A348" s="65"/>
      <c r="B348" s="65"/>
      <c r="C348" s="190"/>
      <c r="D348" s="191"/>
      <c r="E348" s="65"/>
      <c r="F348" s="65"/>
      <c r="G348" s="65"/>
      <c r="H348" s="65"/>
      <c r="I348" s="139"/>
      <c r="J348" s="139"/>
      <c r="K348" s="139"/>
      <c r="L348" s="139"/>
      <c r="M348" s="139"/>
      <c r="N348" s="139"/>
      <c r="O348" s="65"/>
      <c r="P348" s="67"/>
    </row>
    <row r="349" ht="15.75" customHeight="1">
      <c r="A349" s="65"/>
      <c r="B349" s="65"/>
      <c r="C349" s="190"/>
      <c r="D349" s="191"/>
      <c r="E349" s="65"/>
      <c r="F349" s="65"/>
      <c r="G349" s="65"/>
      <c r="H349" s="65"/>
      <c r="I349" s="139"/>
      <c r="J349" s="139"/>
      <c r="K349" s="139"/>
      <c r="L349" s="139"/>
      <c r="M349" s="139"/>
      <c r="N349" s="139"/>
      <c r="O349" s="65"/>
      <c r="P349" s="67"/>
    </row>
    <row r="350" ht="15.75" customHeight="1">
      <c r="A350" s="65"/>
      <c r="B350" s="65"/>
      <c r="C350" s="190"/>
      <c r="D350" s="191"/>
      <c r="E350" s="65"/>
      <c r="F350" s="65"/>
      <c r="G350" s="65"/>
      <c r="H350" s="65"/>
      <c r="I350" s="139"/>
      <c r="J350" s="139"/>
      <c r="K350" s="139"/>
      <c r="L350" s="139"/>
      <c r="M350" s="139"/>
      <c r="N350" s="139"/>
      <c r="O350" s="65"/>
      <c r="P350" s="67"/>
    </row>
    <row r="351" ht="15.75" customHeight="1">
      <c r="A351" s="65"/>
      <c r="B351" s="65"/>
      <c r="C351" s="190"/>
      <c r="D351" s="191"/>
      <c r="E351" s="65"/>
      <c r="F351" s="65"/>
      <c r="G351" s="65"/>
      <c r="H351" s="65"/>
      <c r="I351" s="139"/>
      <c r="J351" s="139"/>
      <c r="K351" s="139"/>
      <c r="L351" s="139"/>
      <c r="M351" s="139"/>
      <c r="N351" s="139"/>
      <c r="O351" s="65"/>
      <c r="P351" s="67"/>
    </row>
    <row r="352" ht="15.75" customHeight="1">
      <c r="A352" s="65"/>
      <c r="B352" s="65"/>
      <c r="C352" s="190"/>
      <c r="D352" s="191"/>
      <c r="E352" s="65"/>
      <c r="F352" s="65"/>
      <c r="G352" s="65"/>
      <c r="H352" s="65"/>
      <c r="I352" s="139"/>
      <c r="J352" s="139"/>
      <c r="K352" s="139"/>
      <c r="L352" s="139"/>
      <c r="M352" s="139"/>
      <c r="N352" s="139"/>
      <c r="O352" s="65"/>
      <c r="P352" s="67"/>
    </row>
    <row r="353" ht="15.75" customHeight="1">
      <c r="A353" s="65"/>
      <c r="B353" s="65"/>
      <c r="C353" s="190"/>
      <c r="D353" s="191"/>
      <c r="E353" s="65"/>
      <c r="F353" s="65"/>
      <c r="G353" s="65"/>
      <c r="H353" s="65"/>
      <c r="I353" s="139"/>
      <c r="J353" s="139"/>
      <c r="K353" s="139"/>
      <c r="L353" s="139"/>
      <c r="M353" s="139"/>
      <c r="N353" s="139"/>
      <c r="O353" s="65"/>
      <c r="P353" s="67"/>
    </row>
    <row r="354" ht="15.75" customHeight="1">
      <c r="A354" s="65"/>
      <c r="B354" s="65"/>
      <c r="C354" s="190"/>
      <c r="D354" s="191"/>
      <c r="E354" s="65"/>
      <c r="F354" s="65"/>
      <c r="G354" s="65"/>
      <c r="H354" s="65"/>
      <c r="I354" s="139"/>
      <c r="J354" s="139"/>
      <c r="K354" s="139"/>
      <c r="L354" s="139"/>
      <c r="M354" s="139"/>
      <c r="N354" s="139"/>
      <c r="O354" s="65"/>
      <c r="P354" s="67"/>
    </row>
    <row r="355" ht="15.75" customHeight="1">
      <c r="A355" s="65"/>
      <c r="B355" s="65"/>
      <c r="C355" s="190"/>
      <c r="D355" s="191"/>
      <c r="E355" s="65"/>
      <c r="F355" s="65"/>
      <c r="G355" s="65"/>
      <c r="H355" s="65"/>
      <c r="I355" s="139"/>
      <c r="J355" s="139"/>
      <c r="K355" s="139"/>
      <c r="L355" s="139"/>
      <c r="M355" s="139"/>
      <c r="N355" s="139"/>
      <c r="O355" s="65"/>
      <c r="P355" s="67"/>
    </row>
    <row r="356" ht="15.75" customHeight="1">
      <c r="A356" s="65"/>
      <c r="B356" s="65"/>
      <c r="C356" s="190"/>
      <c r="D356" s="191"/>
      <c r="E356" s="65"/>
      <c r="F356" s="65"/>
      <c r="G356" s="65"/>
      <c r="H356" s="65"/>
      <c r="I356" s="139"/>
      <c r="J356" s="139"/>
      <c r="K356" s="139"/>
      <c r="L356" s="139"/>
      <c r="M356" s="139"/>
      <c r="N356" s="139"/>
      <c r="O356" s="65"/>
      <c r="P356" s="67"/>
    </row>
    <row r="357" ht="15.75" customHeight="1">
      <c r="A357" s="65"/>
      <c r="B357" s="65"/>
      <c r="C357" s="190"/>
      <c r="D357" s="191"/>
      <c r="E357" s="65"/>
      <c r="F357" s="65"/>
      <c r="G357" s="65"/>
      <c r="H357" s="65"/>
      <c r="I357" s="139"/>
      <c r="J357" s="139"/>
      <c r="K357" s="139"/>
      <c r="L357" s="139"/>
      <c r="M357" s="139"/>
      <c r="N357" s="139"/>
      <c r="O357" s="65"/>
      <c r="P357" s="67"/>
    </row>
    <row r="358" ht="15.75" customHeight="1">
      <c r="A358" s="65"/>
      <c r="B358" s="65"/>
      <c r="C358" s="190"/>
      <c r="D358" s="191"/>
      <c r="E358" s="65"/>
      <c r="F358" s="65"/>
      <c r="G358" s="65"/>
      <c r="H358" s="65"/>
      <c r="I358" s="139"/>
      <c r="J358" s="139"/>
      <c r="K358" s="139"/>
      <c r="L358" s="139"/>
      <c r="M358" s="139"/>
      <c r="N358" s="139"/>
      <c r="O358" s="65"/>
      <c r="P358" s="67"/>
    </row>
    <row r="359" ht="15.75" customHeight="1">
      <c r="A359" s="65"/>
      <c r="B359" s="65"/>
      <c r="C359" s="190"/>
      <c r="D359" s="191"/>
      <c r="E359" s="65"/>
      <c r="F359" s="65"/>
      <c r="G359" s="65"/>
      <c r="H359" s="65"/>
      <c r="I359" s="139"/>
      <c r="J359" s="139"/>
      <c r="K359" s="139"/>
      <c r="L359" s="139"/>
      <c r="M359" s="139"/>
      <c r="N359" s="139"/>
      <c r="O359" s="65"/>
      <c r="P359" s="67"/>
    </row>
    <row r="360" ht="15.75" customHeight="1">
      <c r="A360" s="65"/>
      <c r="B360" s="65"/>
      <c r="C360" s="190"/>
      <c r="D360" s="191"/>
      <c r="E360" s="65"/>
      <c r="F360" s="65"/>
      <c r="G360" s="65"/>
      <c r="H360" s="65"/>
      <c r="I360" s="139"/>
      <c r="J360" s="139"/>
      <c r="K360" s="139"/>
      <c r="L360" s="139"/>
      <c r="M360" s="139"/>
      <c r="N360" s="139"/>
      <c r="O360" s="65"/>
      <c r="P360" s="67"/>
    </row>
    <row r="361" ht="15.75" customHeight="1">
      <c r="A361" s="65"/>
      <c r="B361" s="65"/>
      <c r="C361" s="190"/>
      <c r="D361" s="191"/>
      <c r="E361" s="65"/>
      <c r="F361" s="65"/>
      <c r="G361" s="65"/>
      <c r="H361" s="65"/>
      <c r="I361" s="139"/>
      <c r="J361" s="139"/>
      <c r="K361" s="139"/>
      <c r="L361" s="139"/>
      <c r="M361" s="139"/>
      <c r="N361" s="139"/>
      <c r="O361" s="65"/>
      <c r="P361" s="67"/>
    </row>
    <row r="362" ht="15.75" customHeight="1">
      <c r="A362" s="65"/>
      <c r="B362" s="65"/>
      <c r="C362" s="190"/>
      <c r="D362" s="191"/>
      <c r="E362" s="65"/>
      <c r="F362" s="65"/>
      <c r="G362" s="65"/>
      <c r="H362" s="65"/>
      <c r="I362" s="139"/>
      <c r="J362" s="139"/>
      <c r="K362" s="139"/>
      <c r="L362" s="139"/>
      <c r="M362" s="139"/>
      <c r="N362" s="139"/>
      <c r="O362" s="65"/>
      <c r="P362" s="67"/>
    </row>
    <row r="363" ht="15.75" customHeight="1">
      <c r="A363" s="65"/>
      <c r="B363" s="65"/>
      <c r="C363" s="190"/>
      <c r="D363" s="191"/>
      <c r="E363" s="65"/>
      <c r="F363" s="65"/>
      <c r="G363" s="65"/>
      <c r="H363" s="65"/>
      <c r="I363" s="139"/>
      <c r="J363" s="139"/>
      <c r="K363" s="139"/>
      <c r="L363" s="139"/>
      <c r="M363" s="139"/>
      <c r="N363" s="139"/>
      <c r="O363" s="65"/>
      <c r="P363" s="67"/>
    </row>
    <row r="364" ht="15.75" customHeight="1">
      <c r="A364" s="65"/>
      <c r="B364" s="65"/>
      <c r="C364" s="190"/>
      <c r="D364" s="191"/>
      <c r="E364" s="65"/>
      <c r="F364" s="65"/>
      <c r="G364" s="65"/>
      <c r="H364" s="65"/>
      <c r="I364" s="139"/>
      <c r="J364" s="139"/>
      <c r="K364" s="139"/>
      <c r="L364" s="139"/>
      <c r="M364" s="139"/>
      <c r="N364" s="139"/>
      <c r="O364" s="65"/>
      <c r="P364" s="67"/>
    </row>
    <row r="365" ht="15.75" customHeight="1">
      <c r="A365" s="65"/>
      <c r="B365" s="65"/>
      <c r="C365" s="190"/>
      <c r="D365" s="191"/>
      <c r="E365" s="65"/>
      <c r="F365" s="65"/>
      <c r="G365" s="65"/>
      <c r="H365" s="65"/>
      <c r="I365" s="139"/>
      <c r="J365" s="139"/>
      <c r="K365" s="139"/>
      <c r="L365" s="139"/>
      <c r="M365" s="139"/>
      <c r="N365" s="139"/>
      <c r="O365" s="65"/>
      <c r="P365" s="67"/>
    </row>
    <row r="366" ht="15.75" customHeight="1">
      <c r="A366" s="65"/>
      <c r="B366" s="65"/>
      <c r="C366" s="190"/>
      <c r="D366" s="191"/>
      <c r="E366" s="65"/>
      <c r="F366" s="65"/>
      <c r="G366" s="65"/>
      <c r="H366" s="65"/>
      <c r="I366" s="139"/>
      <c r="J366" s="139"/>
      <c r="K366" s="139"/>
      <c r="L366" s="139"/>
      <c r="M366" s="139"/>
      <c r="N366" s="139"/>
      <c r="O366" s="65"/>
      <c r="P366" s="67"/>
    </row>
    <row r="367" ht="15.75" customHeight="1">
      <c r="A367" s="65"/>
      <c r="B367" s="65"/>
      <c r="C367" s="190"/>
      <c r="D367" s="191"/>
      <c r="E367" s="65"/>
      <c r="F367" s="65"/>
      <c r="G367" s="65"/>
      <c r="H367" s="65"/>
      <c r="I367" s="139"/>
      <c r="J367" s="139"/>
      <c r="K367" s="139"/>
      <c r="L367" s="139"/>
      <c r="M367" s="139"/>
      <c r="N367" s="139"/>
      <c r="O367" s="65"/>
      <c r="P367" s="67"/>
    </row>
    <row r="368" ht="15.75" customHeight="1">
      <c r="A368" s="65"/>
      <c r="B368" s="65"/>
      <c r="C368" s="190"/>
      <c r="D368" s="191"/>
      <c r="E368" s="65"/>
      <c r="F368" s="65"/>
      <c r="G368" s="65"/>
      <c r="H368" s="65"/>
      <c r="I368" s="139"/>
      <c r="J368" s="139"/>
      <c r="K368" s="139"/>
      <c r="L368" s="139"/>
      <c r="M368" s="139"/>
      <c r="N368" s="139"/>
      <c r="O368" s="65"/>
      <c r="P368" s="67"/>
    </row>
    <row r="369" ht="15.75" customHeight="1">
      <c r="A369" s="65"/>
      <c r="B369" s="65"/>
      <c r="C369" s="190"/>
      <c r="D369" s="191"/>
      <c r="E369" s="65"/>
      <c r="F369" s="65"/>
      <c r="G369" s="65"/>
      <c r="H369" s="65"/>
      <c r="I369" s="139"/>
      <c r="J369" s="139"/>
      <c r="K369" s="139"/>
      <c r="L369" s="139"/>
      <c r="M369" s="139"/>
      <c r="N369" s="139"/>
      <c r="O369" s="65"/>
      <c r="P369" s="67"/>
    </row>
    <row r="370" ht="15.75" customHeight="1">
      <c r="A370" s="65"/>
      <c r="B370" s="65"/>
      <c r="C370" s="190"/>
      <c r="D370" s="191"/>
      <c r="E370" s="65"/>
      <c r="F370" s="65"/>
      <c r="G370" s="65"/>
      <c r="H370" s="65"/>
      <c r="I370" s="139"/>
      <c r="J370" s="139"/>
      <c r="K370" s="139"/>
      <c r="L370" s="139"/>
      <c r="M370" s="139"/>
      <c r="N370" s="139"/>
      <c r="O370" s="65"/>
      <c r="P370" s="67"/>
    </row>
    <row r="371" ht="15.75" customHeight="1">
      <c r="A371" s="65"/>
      <c r="B371" s="65"/>
      <c r="C371" s="190"/>
      <c r="D371" s="191"/>
      <c r="E371" s="65"/>
      <c r="F371" s="65"/>
      <c r="G371" s="65"/>
      <c r="H371" s="65"/>
      <c r="I371" s="139"/>
      <c r="J371" s="139"/>
      <c r="K371" s="139"/>
      <c r="L371" s="139"/>
      <c r="M371" s="139"/>
      <c r="N371" s="139"/>
      <c r="O371" s="65"/>
      <c r="P371" s="67"/>
    </row>
    <row r="372" ht="15.75" customHeight="1">
      <c r="A372" s="65"/>
      <c r="B372" s="65"/>
      <c r="C372" s="190"/>
      <c r="D372" s="191"/>
      <c r="E372" s="65"/>
      <c r="F372" s="65"/>
      <c r="G372" s="65"/>
      <c r="H372" s="65"/>
      <c r="I372" s="139"/>
      <c r="J372" s="139"/>
      <c r="K372" s="139"/>
      <c r="L372" s="139"/>
      <c r="M372" s="139"/>
      <c r="N372" s="139"/>
      <c r="O372" s="65"/>
      <c r="P372" s="67"/>
    </row>
    <row r="373" ht="15.75" customHeight="1">
      <c r="A373" s="65"/>
      <c r="B373" s="65"/>
      <c r="C373" s="190"/>
      <c r="D373" s="191"/>
      <c r="E373" s="65"/>
      <c r="F373" s="65"/>
      <c r="G373" s="65"/>
      <c r="H373" s="65"/>
      <c r="I373" s="139"/>
      <c r="J373" s="139"/>
      <c r="K373" s="139"/>
      <c r="L373" s="139"/>
      <c r="M373" s="139"/>
      <c r="N373" s="139"/>
      <c r="O373" s="65"/>
      <c r="P373" s="67"/>
    </row>
    <row r="374" ht="15.75" customHeight="1">
      <c r="A374" s="65"/>
      <c r="B374" s="65"/>
      <c r="C374" s="190"/>
      <c r="D374" s="191"/>
      <c r="E374" s="65"/>
      <c r="F374" s="65"/>
      <c r="G374" s="65"/>
      <c r="H374" s="65"/>
      <c r="I374" s="139"/>
      <c r="J374" s="139"/>
      <c r="K374" s="139"/>
      <c r="L374" s="139"/>
      <c r="M374" s="139"/>
      <c r="N374" s="139"/>
      <c r="O374" s="65"/>
      <c r="P374" s="67"/>
    </row>
    <row r="375" ht="15.75" customHeight="1">
      <c r="A375" s="65"/>
      <c r="B375" s="65"/>
      <c r="C375" s="190"/>
      <c r="D375" s="191"/>
      <c r="E375" s="65"/>
      <c r="F375" s="65"/>
      <c r="G375" s="65"/>
      <c r="H375" s="65"/>
      <c r="I375" s="139"/>
      <c r="J375" s="139"/>
      <c r="K375" s="139"/>
      <c r="L375" s="139"/>
      <c r="M375" s="139"/>
      <c r="N375" s="139"/>
      <c r="O375" s="65"/>
      <c r="P375" s="67"/>
    </row>
    <row r="376" ht="15.75" customHeight="1">
      <c r="A376" s="65"/>
      <c r="B376" s="65"/>
      <c r="C376" s="190"/>
      <c r="D376" s="191"/>
      <c r="E376" s="65"/>
      <c r="F376" s="65"/>
      <c r="G376" s="65"/>
      <c r="H376" s="65"/>
      <c r="I376" s="139"/>
      <c r="J376" s="139"/>
      <c r="K376" s="139"/>
      <c r="L376" s="139"/>
      <c r="M376" s="139"/>
      <c r="N376" s="139"/>
      <c r="O376" s="65"/>
      <c r="P376" s="67"/>
    </row>
    <row r="377" ht="15.75" customHeight="1">
      <c r="A377" s="65"/>
      <c r="B377" s="65"/>
      <c r="C377" s="190"/>
      <c r="D377" s="191"/>
      <c r="E377" s="65"/>
      <c r="F377" s="65"/>
      <c r="G377" s="65"/>
      <c r="H377" s="65"/>
      <c r="I377" s="139"/>
      <c r="J377" s="139"/>
      <c r="K377" s="139"/>
      <c r="L377" s="139"/>
      <c r="M377" s="139"/>
      <c r="N377" s="139"/>
      <c r="O377" s="65"/>
      <c r="P377" s="67"/>
    </row>
    <row r="378" ht="15.75" customHeight="1">
      <c r="A378" s="65"/>
      <c r="B378" s="65"/>
      <c r="C378" s="190"/>
      <c r="D378" s="191"/>
      <c r="E378" s="65"/>
      <c r="F378" s="65"/>
      <c r="G378" s="65"/>
      <c r="H378" s="65"/>
      <c r="I378" s="139"/>
      <c r="J378" s="139"/>
      <c r="K378" s="139"/>
      <c r="L378" s="139"/>
      <c r="M378" s="139"/>
      <c r="N378" s="139"/>
      <c r="O378" s="65"/>
      <c r="P378" s="67"/>
    </row>
    <row r="379" ht="15.75" customHeight="1">
      <c r="A379" s="65"/>
      <c r="B379" s="65"/>
      <c r="C379" s="190"/>
      <c r="D379" s="191"/>
      <c r="E379" s="65"/>
      <c r="F379" s="65"/>
      <c r="G379" s="65"/>
      <c r="H379" s="65"/>
      <c r="I379" s="139"/>
      <c r="J379" s="139"/>
      <c r="K379" s="139"/>
      <c r="L379" s="139"/>
      <c r="M379" s="139"/>
      <c r="N379" s="139"/>
      <c r="O379" s="65"/>
      <c r="P379" s="67"/>
    </row>
    <row r="380" ht="15.75" customHeight="1">
      <c r="A380" s="65"/>
      <c r="B380" s="65"/>
      <c r="C380" s="190"/>
      <c r="D380" s="191"/>
      <c r="E380" s="65"/>
      <c r="F380" s="65"/>
      <c r="G380" s="65"/>
      <c r="H380" s="65"/>
      <c r="I380" s="139"/>
      <c r="J380" s="139"/>
      <c r="K380" s="139"/>
      <c r="L380" s="139"/>
      <c r="M380" s="139"/>
      <c r="N380" s="139"/>
      <c r="O380" s="65"/>
      <c r="P380" s="67"/>
    </row>
    <row r="381" ht="15.75" customHeight="1">
      <c r="A381" s="65"/>
      <c r="B381" s="65"/>
      <c r="C381" s="190"/>
      <c r="D381" s="191"/>
      <c r="E381" s="65"/>
      <c r="F381" s="65"/>
      <c r="G381" s="65"/>
      <c r="H381" s="65"/>
      <c r="I381" s="139"/>
      <c r="J381" s="139"/>
      <c r="K381" s="139"/>
      <c r="L381" s="139"/>
      <c r="M381" s="139"/>
      <c r="N381" s="139"/>
      <c r="O381" s="65"/>
      <c r="P381" s="67"/>
    </row>
    <row r="382" ht="15.75" customHeight="1">
      <c r="A382" s="65"/>
      <c r="B382" s="65"/>
      <c r="C382" s="190"/>
      <c r="D382" s="191"/>
      <c r="E382" s="65"/>
      <c r="F382" s="65"/>
      <c r="G382" s="65"/>
      <c r="H382" s="65"/>
      <c r="I382" s="139"/>
      <c r="J382" s="139"/>
      <c r="K382" s="139"/>
      <c r="L382" s="139"/>
      <c r="M382" s="139"/>
      <c r="N382" s="139"/>
      <c r="O382" s="65"/>
      <c r="P382" s="67"/>
    </row>
    <row r="383" ht="15.75" customHeight="1">
      <c r="A383" s="65"/>
      <c r="B383" s="65"/>
      <c r="C383" s="190"/>
      <c r="D383" s="191"/>
      <c r="E383" s="65"/>
      <c r="F383" s="65"/>
      <c r="G383" s="65"/>
      <c r="H383" s="65"/>
      <c r="I383" s="139"/>
      <c r="J383" s="139"/>
      <c r="K383" s="139"/>
      <c r="L383" s="139"/>
      <c r="M383" s="139"/>
      <c r="N383" s="139"/>
      <c r="O383" s="65"/>
      <c r="P383" s="67"/>
    </row>
    <row r="384" ht="15.75" customHeight="1">
      <c r="A384" s="65"/>
      <c r="B384" s="65"/>
      <c r="C384" s="190"/>
      <c r="D384" s="191"/>
      <c r="E384" s="65"/>
      <c r="F384" s="65"/>
      <c r="G384" s="65"/>
      <c r="H384" s="65"/>
      <c r="I384" s="139"/>
      <c r="J384" s="139"/>
      <c r="K384" s="139"/>
      <c r="L384" s="139"/>
      <c r="M384" s="139"/>
      <c r="N384" s="139"/>
      <c r="O384" s="65"/>
      <c r="P384" s="67"/>
    </row>
    <row r="385" ht="15.75" customHeight="1">
      <c r="A385" s="65"/>
      <c r="B385" s="65"/>
      <c r="C385" s="190"/>
      <c r="D385" s="191"/>
      <c r="E385" s="65"/>
      <c r="F385" s="65"/>
      <c r="G385" s="65"/>
      <c r="H385" s="65"/>
      <c r="I385" s="139"/>
      <c r="J385" s="139"/>
      <c r="K385" s="139"/>
      <c r="L385" s="139"/>
      <c r="M385" s="139"/>
      <c r="N385" s="139"/>
      <c r="O385" s="65"/>
      <c r="P385" s="67"/>
    </row>
    <row r="386" ht="15.75" customHeight="1">
      <c r="A386" s="65"/>
      <c r="B386" s="65"/>
      <c r="C386" s="190"/>
      <c r="D386" s="191"/>
      <c r="E386" s="65"/>
      <c r="F386" s="65"/>
      <c r="G386" s="65"/>
      <c r="H386" s="65"/>
      <c r="I386" s="139"/>
      <c r="J386" s="139"/>
      <c r="K386" s="139"/>
      <c r="L386" s="139"/>
      <c r="M386" s="139"/>
      <c r="N386" s="139"/>
      <c r="O386" s="65"/>
      <c r="P386" s="67"/>
    </row>
    <row r="387" ht="15.75" customHeight="1">
      <c r="A387" s="65"/>
      <c r="B387" s="65"/>
      <c r="C387" s="190"/>
      <c r="D387" s="191"/>
      <c r="E387" s="65"/>
      <c r="F387" s="65"/>
      <c r="G387" s="65"/>
      <c r="H387" s="65"/>
      <c r="I387" s="139"/>
      <c r="J387" s="139"/>
      <c r="K387" s="139"/>
      <c r="L387" s="139"/>
      <c r="M387" s="139"/>
      <c r="N387" s="139"/>
      <c r="O387" s="65"/>
      <c r="P387" s="67"/>
    </row>
    <row r="388" ht="15.75" customHeight="1">
      <c r="A388" s="65"/>
      <c r="B388" s="65"/>
      <c r="C388" s="190"/>
      <c r="D388" s="191"/>
      <c r="E388" s="65"/>
      <c r="F388" s="65"/>
      <c r="G388" s="65"/>
      <c r="H388" s="65"/>
      <c r="I388" s="139"/>
      <c r="J388" s="139"/>
      <c r="K388" s="139"/>
      <c r="L388" s="139"/>
      <c r="M388" s="139"/>
      <c r="N388" s="139"/>
      <c r="O388" s="65"/>
      <c r="P388" s="67"/>
    </row>
    <row r="389" ht="15.75" customHeight="1">
      <c r="A389" s="65"/>
      <c r="B389" s="65"/>
      <c r="C389" s="190"/>
      <c r="D389" s="191"/>
      <c r="E389" s="65"/>
      <c r="F389" s="65"/>
      <c r="G389" s="65"/>
      <c r="H389" s="65"/>
      <c r="I389" s="139"/>
      <c r="J389" s="139"/>
      <c r="K389" s="139"/>
      <c r="L389" s="139"/>
      <c r="M389" s="139"/>
      <c r="N389" s="139"/>
      <c r="O389" s="65"/>
      <c r="P389" s="67"/>
    </row>
    <row r="390" ht="15.75" customHeight="1">
      <c r="A390" s="65"/>
      <c r="B390" s="65"/>
      <c r="C390" s="190"/>
      <c r="D390" s="191"/>
      <c r="E390" s="65"/>
      <c r="F390" s="65"/>
      <c r="G390" s="65"/>
      <c r="H390" s="65"/>
      <c r="I390" s="139"/>
      <c r="J390" s="139"/>
      <c r="K390" s="139"/>
      <c r="L390" s="139"/>
      <c r="M390" s="139"/>
      <c r="N390" s="139"/>
      <c r="O390" s="65"/>
      <c r="P390" s="67"/>
    </row>
    <row r="391" ht="15.75" customHeight="1">
      <c r="A391" s="65"/>
      <c r="B391" s="65"/>
      <c r="C391" s="190"/>
      <c r="D391" s="191"/>
      <c r="E391" s="65"/>
      <c r="F391" s="65"/>
      <c r="G391" s="65"/>
      <c r="H391" s="65"/>
      <c r="I391" s="139"/>
      <c r="J391" s="139"/>
      <c r="K391" s="139"/>
      <c r="L391" s="139"/>
      <c r="M391" s="139"/>
      <c r="N391" s="139"/>
      <c r="O391" s="65"/>
      <c r="P391" s="67"/>
    </row>
    <row r="392" ht="15.75" customHeight="1">
      <c r="A392" s="65"/>
      <c r="B392" s="65"/>
      <c r="C392" s="190"/>
      <c r="D392" s="191"/>
      <c r="E392" s="65"/>
      <c r="F392" s="65"/>
      <c r="G392" s="65"/>
      <c r="H392" s="65"/>
      <c r="I392" s="139"/>
      <c r="J392" s="139"/>
      <c r="K392" s="139"/>
      <c r="L392" s="139"/>
      <c r="M392" s="139"/>
      <c r="N392" s="139"/>
      <c r="O392" s="65"/>
      <c r="P392" s="67"/>
    </row>
    <row r="393" ht="15.75" customHeight="1">
      <c r="A393" s="65"/>
      <c r="B393" s="65"/>
      <c r="C393" s="190"/>
      <c r="D393" s="191"/>
      <c r="E393" s="65"/>
      <c r="F393" s="65"/>
      <c r="G393" s="65"/>
      <c r="H393" s="65"/>
      <c r="I393" s="139"/>
      <c r="J393" s="139"/>
      <c r="K393" s="139"/>
      <c r="L393" s="139"/>
      <c r="M393" s="139"/>
      <c r="N393" s="139"/>
      <c r="O393" s="65"/>
      <c r="P393" s="67"/>
    </row>
    <row r="394" ht="15.75" customHeight="1">
      <c r="A394" s="65"/>
      <c r="B394" s="65"/>
      <c r="C394" s="190"/>
      <c r="D394" s="191"/>
      <c r="E394" s="65"/>
      <c r="F394" s="65"/>
      <c r="G394" s="65"/>
      <c r="H394" s="65"/>
      <c r="I394" s="139"/>
      <c r="J394" s="139"/>
      <c r="K394" s="139"/>
      <c r="L394" s="139"/>
      <c r="M394" s="139"/>
      <c r="N394" s="139"/>
      <c r="O394" s="65"/>
      <c r="P394" s="67"/>
    </row>
    <row r="395" ht="15.75" customHeight="1">
      <c r="A395" s="65"/>
      <c r="B395" s="65"/>
      <c r="C395" s="190"/>
      <c r="D395" s="191"/>
      <c r="E395" s="65"/>
      <c r="F395" s="65"/>
      <c r="G395" s="65"/>
      <c r="H395" s="65"/>
      <c r="I395" s="139"/>
      <c r="J395" s="139"/>
      <c r="K395" s="139"/>
      <c r="L395" s="139"/>
      <c r="M395" s="139"/>
      <c r="N395" s="139"/>
      <c r="O395" s="65"/>
      <c r="P395" s="67"/>
    </row>
    <row r="396" ht="15.75" customHeight="1">
      <c r="A396" s="65"/>
      <c r="B396" s="65"/>
      <c r="C396" s="190"/>
      <c r="D396" s="191"/>
      <c r="E396" s="65"/>
      <c r="F396" s="65"/>
      <c r="G396" s="65"/>
      <c r="H396" s="65"/>
      <c r="I396" s="139"/>
      <c r="J396" s="139"/>
      <c r="K396" s="139"/>
      <c r="L396" s="139"/>
      <c r="M396" s="139"/>
      <c r="N396" s="139"/>
      <c r="O396" s="65"/>
      <c r="P396" s="67"/>
    </row>
    <row r="397" ht="15.75" customHeight="1">
      <c r="A397" s="65"/>
      <c r="B397" s="65"/>
      <c r="C397" s="190"/>
      <c r="D397" s="191"/>
      <c r="E397" s="65"/>
      <c r="F397" s="65"/>
      <c r="G397" s="65"/>
      <c r="H397" s="65"/>
      <c r="I397" s="139"/>
      <c r="J397" s="139"/>
      <c r="K397" s="139"/>
      <c r="L397" s="139"/>
      <c r="M397" s="139"/>
      <c r="N397" s="139"/>
      <c r="O397" s="65"/>
      <c r="P397" s="67"/>
    </row>
    <row r="398" ht="15.75" customHeight="1">
      <c r="A398" s="65"/>
      <c r="B398" s="65"/>
      <c r="C398" s="190"/>
      <c r="D398" s="191"/>
      <c r="E398" s="65"/>
      <c r="F398" s="65"/>
      <c r="G398" s="65"/>
      <c r="H398" s="65"/>
      <c r="I398" s="139"/>
      <c r="J398" s="139"/>
      <c r="K398" s="139"/>
      <c r="L398" s="139"/>
      <c r="M398" s="139"/>
      <c r="N398" s="139"/>
      <c r="O398" s="65"/>
      <c r="P398" s="67"/>
    </row>
    <row r="399" ht="15.75" customHeight="1">
      <c r="A399" s="65"/>
      <c r="B399" s="65"/>
      <c r="C399" s="190"/>
      <c r="D399" s="191"/>
      <c r="E399" s="65"/>
      <c r="F399" s="65"/>
      <c r="G399" s="65"/>
      <c r="H399" s="65"/>
      <c r="I399" s="139"/>
      <c r="J399" s="139"/>
      <c r="K399" s="139"/>
      <c r="L399" s="139"/>
      <c r="M399" s="139"/>
      <c r="N399" s="139"/>
      <c r="O399" s="65"/>
      <c r="P399" s="67"/>
    </row>
    <row r="400" ht="15.75" customHeight="1">
      <c r="A400" s="65"/>
      <c r="B400" s="65"/>
      <c r="C400" s="190"/>
      <c r="D400" s="191"/>
      <c r="E400" s="65"/>
      <c r="F400" s="65"/>
      <c r="G400" s="65"/>
      <c r="H400" s="65"/>
      <c r="I400" s="139"/>
      <c r="J400" s="139"/>
      <c r="K400" s="139"/>
      <c r="L400" s="139"/>
      <c r="M400" s="139"/>
      <c r="N400" s="139"/>
      <c r="O400" s="65"/>
      <c r="P400" s="67"/>
    </row>
    <row r="401" ht="15.75" customHeight="1">
      <c r="A401" s="65"/>
      <c r="B401" s="65"/>
      <c r="C401" s="190"/>
      <c r="D401" s="191"/>
      <c r="E401" s="65"/>
      <c r="F401" s="65"/>
      <c r="G401" s="65"/>
      <c r="H401" s="65"/>
      <c r="I401" s="139"/>
      <c r="J401" s="139"/>
      <c r="K401" s="139"/>
      <c r="L401" s="139"/>
      <c r="M401" s="139"/>
      <c r="N401" s="139"/>
      <c r="O401" s="65"/>
      <c r="P401" s="67"/>
    </row>
    <row r="402" ht="15.75" customHeight="1">
      <c r="A402" s="65"/>
      <c r="B402" s="65"/>
      <c r="C402" s="190"/>
      <c r="D402" s="191"/>
      <c r="E402" s="65"/>
      <c r="F402" s="65"/>
      <c r="G402" s="65"/>
      <c r="H402" s="65"/>
      <c r="I402" s="139"/>
      <c r="J402" s="139"/>
      <c r="K402" s="139"/>
      <c r="L402" s="139"/>
      <c r="M402" s="139"/>
      <c r="N402" s="139"/>
      <c r="O402" s="65"/>
      <c r="P402" s="67"/>
    </row>
    <row r="403" ht="15.75" customHeight="1">
      <c r="A403" s="65"/>
      <c r="B403" s="65"/>
      <c r="C403" s="190"/>
      <c r="D403" s="191"/>
      <c r="E403" s="65"/>
      <c r="F403" s="65"/>
      <c r="G403" s="65"/>
      <c r="H403" s="65"/>
      <c r="I403" s="139"/>
      <c r="J403" s="139"/>
      <c r="K403" s="139"/>
      <c r="L403" s="139"/>
      <c r="M403" s="139"/>
      <c r="N403" s="139"/>
      <c r="O403" s="65"/>
      <c r="P403" s="67"/>
    </row>
    <row r="404" ht="15.75" customHeight="1">
      <c r="A404" s="65"/>
      <c r="B404" s="65"/>
      <c r="C404" s="190"/>
      <c r="D404" s="191"/>
      <c r="E404" s="65"/>
      <c r="F404" s="65"/>
      <c r="G404" s="65"/>
      <c r="H404" s="65"/>
      <c r="I404" s="139"/>
      <c r="J404" s="139"/>
      <c r="K404" s="139"/>
      <c r="L404" s="139"/>
      <c r="M404" s="139"/>
      <c r="N404" s="139"/>
      <c r="O404" s="65"/>
      <c r="P404" s="67"/>
    </row>
    <row r="405" ht="15.75" customHeight="1">
      <c r="A405" s="65"/>
      <c r="B405" s="65"/>
      <c r="C405" s="190"/>
      <c r="D405" s="191"/>
      <c r="E405" s="65"/>
      <c r="F405" s="65"/>
      <c r="G405" s="65"/>
      <c r="H405" s="65"/>
      <c r="I405" s="139"/>
      <c r="J405" s="139"/>
      <c r="K405" s="139"/>
      <c r="L405" s="139"/>
      <c r="M405" s="139"/>
      <c r="N405" s="139"/>
      <c r="O405" s="65"/>
      <c r="P405" s="67"/>
    </row>
    <row r="406" ht="15.75" customHeight="1">
      <c r="A406" s="65"/>
      <c r="B406" s="65"/>
      <c r="C406" s="190"/>
      <c r="D406" s="191"/>
      <c r="E406" s="65"/>
      <c r="F406" s="65"/>
      <c r="G406" s="65"/>
      <c r="H406" s="65"/>
      <c r="I406" s="139"/>
      <c r="J406" s="139"/>
      <c r="K406" s="139"/>
      <c r="L406" s="139"/>
      <c r="M406" s="139"/>
      <c r="N406" s="139"/>
      <c r="O406" s="65"/>
      <c r="P406" s="67"/>
    </row>
    <row r="407" ht="15.75" customHeight="1">
      <c r="A407" s="65"/>
      <c r="B407" s="65"/>
      <c r="C407" s="190"/>
      <c r="D407" s="191"/>
      <c r="E407" s="65"/>
      <c r="F407" s="65"/>
      <c r="G407" s="65"/>
      <c r="H407" s="65"/>
      <c r="I407" s="139"/>
      <c r="J407" s="139"/>
      <c r="K407" s="139"/>
      <c r="L407" s="139"/>
      <c r="M407" s="139"/>
      <c r="N407" s="139"/>
      <c r="O407" s="65"/>
      <c r="P407" s="67"/>
    </row>
    <row r="408" ht="15.75" customHeight="1">
      <c r="A408" s="65"/>
      <c r="B408" s="65"/>
      <c r="C408" s="190"/>
      <c r="D408" s="191"/>
      <c r="E408" s="65"/>
      <c r="F408" s="65"/>
      <c r="G408" s="65"/>
      <c r="H408" s="65"/>
      <c r="I408" s="139"/>
      <c r="J408" s="139"/>
      <c r="K408" s="139"/>
      <c r="L408" s="139"/>
      <c r="M408" s="139"/>
      <c r="N408" s="139"/>
      <c r="O408" s="65"/>
      <c r="P408" s="67"/>
    </row>
    <row r="409" ht="15.75" customHeight="1">
      <c r="A409" s="65"/>
      <c r="B409" s="65"/>
      <c r="C409" s="190"/>
      <c r="D409" s="191"/>
      <c r="E409" s="65"/>
      <c r="F409" s="65"/>
      <c r="G409" s="65"/>
      <c r="H409" s="65"/>
      <c r="I409" s="139"/>
      <c r="J409" s="139"/>
      <c r="K409" s="139"/>
      <c r="L409" s="139"/>
      <c r="M409" s="139"/>
      <c r="N409" s="139"/>
      <c r="O409" s="65"/>
      <c r="P409" s="67"/>
    </row>
    <row r="410" ht="15.75" customHeight="1">
      <c r="A410" s="65"/>
      <c r="B410" s="65"/>
      <c r="C410" s="190"/>
      <c r="D410" s="191"/>
      <c r="E410" s="65"/>
      <c r="F410" s="65"/>
      <c r="G410" s="65"/>
      <c r="H410" s="65"/>
      <c r="I410" s="139"/>
      <c r="J410" s="139"/>
      <c r="K410" s="139"/>
      <c r="L410" s="139"/>
      <c r="M410" s="139"/>
      <c r="N410" s="139"/>
      <c r="O410" s="65"/>
      <c r="P410" s="67"/>
    </row>
    <row r="411" ht="15.75" customHeight="1">
      <c r="A411" s="65"/>
      <c r="B411" s="65"/>
      <c r="C411" s="190"/>
      <c r="D411" s="191"/>
      <c r="E411" s="65"/>
      <c r="F411" s="65"/>
      <c r="G411" s="65"/>
      <c r="H411" s="65"/>
      <c r="I411" s="139"/>
      <c r="J411" s="139"/>
      <c r="K411" s="139"/>
      <c r="L411" s="139"/>
      <c r="M411" s="139"/>
      <c r="N411" s="139"/>
      <c r="O411" s="65"/>
      <c r="P411" s="67"/>
    </row>
    <row r="412" ht="15.75" customHeight="1">
      <c r="A412" s="65"/>
      <c r="B412" s="65"/>
      <c r="C412" s="190"/>
      <c r="D412" s="191"/>
      <c r="E412" s="65"/>
      <c r="F412" s="65"/>
      <c r="G412" s="65"/>
      <c r="H412" s="65"/>
      <c r="I412" s="139"/>
      <c r="J412" s="139"/>
      <c r="K412" s="139"/>
      <c r="L412" s="139"/>
      <c r="M412" s="139"/>
      <c r="N412" s="139"/>
      <c r="O412" s="65"/>
      <c r="P412" s="67"/>
    </row>
    <row r="413" ht="15.75" customHeight="1">
      <c r="A413" s="65"/>
      <c r="B413" s="65"/>
      <c r="C413" s="190"/>
      <c r="D413" s="191"/>
      <c r="E413" s="65"/>
      <c r="F413" s="65"/>
      <c r="G413" s="65"/>
      <c r="H413" s="65"/>
      <c r="I413" s="139"/>
      <c r="J413" s="139"/>
      <c r="K413" s="139"/>
      <c r="L413" s="139"/>
      <c r="M413" s="139"/>
      <c r="N413" s="139"/>
      <c r="O413" s="65"/>
      <c r="P413" s="67"/>
    </row>
    <row r="414" ht="15.75" customHeight="1">
      <c r="A414" s="65"/>
      <c r="B414" s="65"/>
      <c r="C414" s="190"/>
      <c r="D414" s="191"/>
      <c r="E414" s="65"/>
      <c r="F414" s="65"/>
      <c r="G414" s="65"/>
      <c r="H414" s="65"/>
      <c r="I414" s="139"/>
      <c r="J414" s="139"/>
      <c r="K414" s="139"/>
      <c r="L414" s="139"/>
      <c r="M414" s="139"/>
      <c r="N414" s="139"/>
      <c r="O414" s="65"/>
      <c r="P414" s="67"/>
    </row>
    <row r="415" ht="15.75" customHeight="1">
      <c r="A415" s="65"/>
      <c r="B415" s="65"/>
      <c r="C415" s="190"/>
      <c r="D415" s="191"/>
      <c r="E415" s="65"/>
      <c r="F415" s="65"/>
      <c r="G415" s="65"/>
      <c r="H415" s="65"/>
      <c r="I415" s="139"/>
      <c r="J415" s="139"/>
      <c r="K415" s="139"/>
      <c r="L415" s="139"/>
      <c r="M415" s="139"/>
      <c r="N415" s="139"/>
      <c r="O415" s="65"/>
      <c r="P415" s="67"/>
    </row>
    <row r="416" ht="15.75" customHeight="1">
      <c r="A416" s="65"/>
      <c r="B416" s="65"/>
      <c r="C416" s="190"/>
      <c r="D416" s="191"/>
      <c r="E416" s="65"/>
      <c r="F416" s="65"/>
      <c r="G416" s="65"/>
      <c r="H416" s="65"/>
      <c r="I416" s="139"/>
      <c r="J416" s="139"/>
      <c r="K416" s="139"/>
      <c r="L416" s="139"/>
      <c r="M416" s="139"/>
      <c r="N416" s="139"/>
      <c r="O416" s="65"/>
      <c r="P416" s="67"/>
    </row>
    <row r="417" ht="15.75" customHeight="1">
      <c r="A417" s="65"/>
      <c r="B417" s="65"/>
      <c r="C417" s="190"/>
      <c r="D417" s="191"/>
      <c r="E417" s="65"/>
      <c r="F417" s="65"/>
      <c r="G417" s="65"/>
      <c r="H417" s="65"/>
      <c r="I417" s="139"/>
      <c r="J417" s="139"/>
      <c r="K417" s="139"/>
      <c r="L417" s="139"/>
      <c r="M417" s="139"/>
      <c r="N417" s="139"/>
      <c r="O417" s="65"/>
      <c r="P417" s="67"/>
    </row>
    <row r="418" ht="15.75" customHeight="1">
      <c r="A418" s="65"/>
      <c r="B418" s="65"/>
      <c r="C418" s="190"/>
      <c r="D418" s="191"/>
      <c r="E418" s="65"/>
      <c r="F418" s="65"/>
      <c r="G418" s="65"/>
      <c r="H418" s="65"/>
      <c r="I418" s="139"/>
      <c r="J418" s="139"/>
      <c r="K418" s="139"/>
      <c r="L418" s="139"/>
      <c r="M418" s="139"/>
      <c r="N418" s="139"/>
      <c r="O418" s="65"/>
      <c r="P418" s="67"/>
    </row>
    <row r="419" ht="15.75" customHeight="1">
      <c r="A419" s="65"/>
      <c r="B419" s="65"/>
      <c r="C419" s="190"/>
      <c r="D419" s="191"/>
      <c r="E419" s="65"/>
      <c r="F419" s="65"/>
      <c r="G419" s="65"/>
      <c r="H419" s="65"/>
      <c r="I419" s="139"/>
      <c r="J419" s="139"/>
      <c r="K419" s="139"/>
      <c r="L419" s="139"/>
      <c r="M419" s="139"/>
      <c r="N419" s="139"/>
      <c r="O419" s="65"/>
      <c r="P419" s="67"/>
    </row>
    <row r="420" ht="15.75" customHeight="1">
      <c r="A420" s="65"/>
      <c r="B420" s="65"/>
      <c r="C420" s="190"/>
      <c r="D420" s="191"/>
      <c r="E420" s="65"/>
      <c r="F420" s="65"/>
      <c r="G420" s="65"/>
      <c r="H420" s="65"/>
      <c r="I420" s="139"/>
      <c r="J420" s="139"/>
      <c r="K420" s="139"/>
      <c r="L420" s="139"/>
      <c r="M420" s="139"/>
      <c r="N420" s="139"/>
      <c r="O420" s="65"/>
      <c r="P420" s="67"/>
    </row>
    <row r="421" ht="15.75" customHeight="1">
      <c r="A421" s="65"/>
      <c r="B421" s="65"/>
      <c r="C421" s="190"/>
      <c r="D421" s="191"/>
      <c r="E421" s="65"/>
      <c r="F421" s="65"/>
      <c r="G421" s="65"/>
      <c r="H421" s="65"/>
      <c r="I421" s="139"/>
      <c r="J421" s="139"/>
      <c r="K421" s="139"/>
      <c r="L421" s="139"/>
      <c r="M421" s="139"/>
      <c r="N421" s="139"/>
      <c r="O421" s="65"/>
      <c r="P421" s="67"/>
    </row>
    <row r="422" ht="15.75" customHeight="1">
      <c r="A422" s="65"/>
      <c r="B422" s="65"/>
      <c r="C422" s="190"/>
      <c r="D422" s="191"/>
      <c r="E422" s="65"/>
      <c r="F422" s="65"/>
      <c r="G422" s="65"/>
      <c r="H422" s="65"/>
      <c r="I422" s="139"/>
      <c r="J422" s="139"/>
      <c r="K422" s="139"/>
      <c r="L422" s="139"/>
      <c r="M422" s="139"/>
      <c r="N422" s="139"/>
      <c r="O422" s="65"/>
      <c r="P422" s="67"/>
    </row>
    <row r="423" ht="15.75" customHeight="1">
      <c r="A423" s="65"/>
      <c r="B423" s="65"/>
      <c r="C423" s="190"/>
      <c r="D423" s="191"/>
      <c r="E423" s="65"/>
      <c r="F423" s="65"/>
      <c r="G423" s="65"/>
      <c r="H423" s="65"/>
      <c r="I423" s="139"/>
      <c r="J423" s="139"/>
      <c r="K423" s="139"/>
      <c r="L423" s="139"/>
      <c r="M423" s="139"/>
      <c r="N423" s="139"/>
      <c r="O423" s="65"/>
      <c r="P423" s="67"/>
    </row>
    <row r="424" ht="15.75" customHeight="1">
      <c r="A424" s="65"/>
      <c r="B424" s="65"/>
      <c r="C424" s="190"/>
      <c r="D424" s="191"/>
      <c r="E424" s="65"/>
      <c r="F424" s="65"/>
      <c r="G424" s="65"/>
      <c r="H424" s="65"/>
      <c r="I424" s="139"/>
      <c r="J424" s="139"/>
      <c r="K424" s="139"/>
      <c r="L424" s="139"/>
      <c r="M424" s="139"/>
      <c r="N424" s="139"/>
      <c r="O424" s="65"/>
      <c r="P424" s="67"/>
    </row>
    <row r="425" ht="15.75" customHeight="1">
      <c r="A425" s="65"/>
      <c r="B425" s="65"/>
      <c r="C425" s="190"/>
      <c r="D425" s="191"/>
      <c r="E425" s="65"/>
      <c r="F425" s="65"/>
      <c r="G425" s="65"/>
      <c r="H425" s="65"/>
      <c r="I425" s="139"/>
      <c r="J425" s="139"/>
      <c r="K425" s="139"/>
      <c r="L425" s="139"/>
      <c r="M425" s="139"/>
      <c r="N425" s="139"/>
      <c r="O425" s="65"/>
      <c r="P425" s="67"/>
    </row>
    <row r="426" ht="15.75" customHeight="1">
      <c r="A426" s="65"/>
      <c r="B426" s="65"/>
      <c r="C426" s="190"/>
      <c r="D426" s="191"/>
      <c r="E426" s="65"/>
      <c r="F426" s="65"/>
      <c r="G426" s="65"/>
      <c r="H426" s="65"/>
      <c r="I426" s="139"/>
      <c r="J426" s="139"/>
      <c r="K426" s="139"/>
      <c r="L426" s="139"/>
      <c r="M426" s="139"/>
      <c r="N426" s="139"/>
      <c r="O426" s="65"/>
      <c r="P426" s="67"/>
    </row>
    <row r="427" ht="15.75" customHeight="1">
      <c r="A427" s="65"/>
      <c r="B427" s="65"/>
      <c r="C427" s="190"/>
      <c r="D427" s="191"/>
      <c r="E427" s="65"/>
      <c r="F427" s="65"/>
      <c r="G427" s="65"/>
      <c r="H427" s="65"/>
      <c r="I427" s="139"/>
      <c r="J427" s="139"/>
      <c r="K427" s="139"/>
      <c r="L427" s="139"/>
      <c r="M427" s="139"/>
      <c r="N427" s="139"/>
      <c r="O427" s="65"/>
      <c r="P427" s="67"/>
    </row>
    <row r="428" ht="15.75" customHeight="1">
      <c r="A428" s="65"/>
      <c r="B428" s="65"/>
      <c r="C428" s="190"/>
      <c r="D428" s="191"/>
      <c r="E428" s="65"/>
      <c r="F428" s="65"/>
      <c r="G428" s="65"/>
      <c r="H428" s="65"/>
      <c r="I428" s="139"/>
      <c r="J428" s="139"/>
      <c r="K428" s="139"/>
      <c r="L428" s="139"/>
      <c r="M428" s="139"/>
      <c r="N428" s="139"/>
      <c r="O428" s="65"/>
      <c r="P428" s="67"/>
    </row>
    <row r="429" ht="15.75" customHeight="1">
      <c r="A429" s="65"/>
      <c r="B429" s="65"/>
      <c r="C429" s="190"/>
      <c r="D429" s="191"/>
      <c r="E429" s="65"/>
      <c r="F429" s="65"/>
      <c r="G429" s="65"/>
      <c r="H429" s="65"/>
      <c r="I429" s="139"/>
      <c r="J429" s="139"/>
      <c r="K429" s="139"/>
      <c r="L429" s="139"/>
      <c r="M429" s="139"/>
      <c r="N429" s="139"/>
      <c r="O429" s="65"/>
      <c r="P429" s="67"/>
    </row>
    <row r="430" ht="15.75" customHeight="1">
      <c r="A430" s="65"/>
      <c r="B430" s="65"/>
      <c r="C430" s="190"/>
      <c r="D430" s="191"/>
      <c r="E430" s="65"/>
      <c r="F430" s="65"/>
      <c r="G430" s="65"/>
      <c r="H430" s="65"/>
      <c r="I430" s="139"/>
      <c r="J430" s="139"/>
      <c r="K430" s="139"/>
      <c r="L430" s="139"/>
      <c r="M430" s="139"/>
      <c r="N430" s="139"/>
      <c r="O430" s="65"/>
      <c r="P430" s="67"/>
    </row>
    <row r="431" ht="15.75" customHeight="1">
      <c r="A431" s="65"/>
      <c r="B431" s="65"/>
      <c r="C431" s="190"/>
      <c r="D431" s="191"/>
      <c r="E431" s="65"/>
      <c r="F431" s="65"/>
      <c r="G431" s="65"/>
      <c r="H431" s="65"/>
      <c r="I431" s="139"/>
      <c r="J431" s="139"/>
      <c r="K431" s="139"/>
      <c r="L431" s="139"/>
      <c r="M431" s="139"/>
      <c r="N431" s="139"/>
      <c r="O431" s="65"/>
      <c r="P431" s="67"/>
    </row>
    <row r="432" ht="15.75" customHeight="1">
      <c r="A432" s="65"/>
      <c r="B432" s="65"/>
      <c r="C432" s="190"/>
      <c r="D432" s="191"/>
      <c r="E432" s="65"/>
      <c r="F432" s="65"/>
      <c r="G432" s="65"/>
      <c r="H432" s="65"/>
      <c r="I432" s="139"/>
      <c r="J432" s="139"/>
      <c r="K432" s="139"/>
      <c r="L432" s="139"/>
      <c r="M432" s="139"/>
      <c r="N432" s="139"/>
      <c r="O432" s="65"/>
      <c r="P432" s="67"/>
    </row>
    <row r="433" ht="15.75" customHeight="1">
      <c r="A433" s="65"/>
      <c r="B433" s="65"/>
      <c r="C433" s="190"/>
      <c r="D433" s="191"/>
      <c r="E433" s="65"/>
      <c r="F433" s="65"/>
      <c r="G433" s="65"/>
      <c r="H433" s="65"/>
      <c r="I433" s="139"/>
      <c r="J433" s="139"/>
      <c r="K433" s="139"/>
      <c r="L433" s="139"/>
      <c r="M433" s="139"/>
      <c r="N433" s="139"/>
      <c r="O433" s="65"/>
      <c r="P433" s="67"/>
    </row>
    <row r="434" ht="15.75" customHeight="1">
      <c r="A434" s="65"/>
      <c r="B434" s="65"/>
      <c r="C434" s="190"/>
      <c r="D434" s="191"/>
      <c r="E434" s="65"/>
      <c r="F434" s="65"/>
      <c r="G434" s="65"/>
      <c r="H434" s="65"/>
      <c r="I434" s="139"/>
      <c r="J434" s="139"/>
      <c r="K434" s="139"/>
      <c r="L434" s="139"/>
      <c r="M434" s="139"/>
      <c r="N434" s="139"/>
      <c r="O434" s="65"/>
      <c r="P434" s="67"/>
    </row>
    <row r="435" ht="15.75" customHeight="1">
      <c r="A435" s="65"/>
      <c r="B435" s="65"/>
      <c r="C435" s="190"/>
      <c r="D435" s="191"/>
      <c r="E435" s="65"/>
      <c r="F435" s="65"/>
      <c r="G435" s="65"/>
      <c r="H435" s="65"/>
      <c r="I435" s="139"/>
      <c r="J435" s="139"/>
      <c r="K435" s="139"/>
      <c r="L435" s="139"/>
      <c r="M435" s="139"/>
      <c r="N435" s="139"/>
      <c r="O435" s="65"/>
      <c r="P435" s="67"/>
    </row>
    <row r="436" ht="15.75" customHeight="1">
      <c r="A436" s="65"/>
      <c r="B436" s="65"/>
      <c r="C436" s="190"/>
      <c r="D436" s="191"/>
      <c r="E436" s="65"/>
      <c r="F436" s="65"/>
      <c r="G436" s="65"/>
      <c r="H436" s="65"/>
      <c r="I436" s="139"/>
      <c r="J436" s="139"/>
      <c r="K436" s="139"/>
      <c r="L436" s="139"/>
      <c r="M436" s="139"/>
      <c r="N436" s="139"/>
      <c r="O436" s="65"/>
      <c r="P436" s="67"/>
    </row>
    <row r="437" ht="15.75" customHeight="1">
      <c r="A437" s="65"/>
      <c r="B437" s="65"/>
      <c r="C437" s="190"/>
      <c r="D437" s="191"/>
      <c r="E437" s="65"/>
      <c r="F437" s="65"/>
      <c r="G437" s="65"/>
      <c r="H437" s="65"/>
      <c r="I437" s="139"/>
      <c r="J437" s="139"/>
      <c r="K437" s="139"/>
      <c r="L437" s="139"/>
      <c r="M437" s="139"/>
      <c r="N437" s="139"/>
      <c r="O437" s="65"/>
      <c r="P437" s="67"/>
    </row>
    <row r="438" ht="15.75" customHeight="1">
      <c r="A438" s="65"/>
      <c r="B438" s="65"/>
      <c r="C438" s="190"/>
      <c r="D438" s="191"/>
      <c r="E438" s="65"/>
      <c r="F438" s="65"/>
      <c r="G438" s="65"/>
      <c r="H438" s="65"/>
      <c r="I438" s="139"/>
      <c r="J438" s="139"/>
      <c r="K438" s="139"/>
      <c r="L438" s="139"/>
      <c r="M438" s="139"/>
      <c r="N438" s="139"/>
      <c r="O438" s="65"/>
      <c r="P438" s="67"/>
    </row>
    <row r="439" ht="15.75" customHeight="1">
      <c r="A439" s="65"/>
      <c r="B439" s="65"/>
      <c r="C439" s="190"/>
      <c r="D439" s="191"/>
      <c r="E439" s="65"/>
      <c r="F439" s="65"/>
      <c r="G439" s="65"/>
      <c r="H439" s="65"/>
      <c r="I439" s="139"/>
      <c r="J439" s="139"/>
      <c r="K439" s="139"/>
      <c r="L439" s="139"/>
      <c r="M439" s="139"/>
      <c r="N439" s="139"/>
      <c r="O439" s="65"/>
      <c r="P439" s="67"/>
    </row>
    <row r="440" ht="15.75" customHeight="1">
      <c r="A440" s="65"/>
      <c r="B440" s="65"/>
      <c r="C440" s="190"/>
      <c r="D440" s="191"/>
      <c r="E440" s="65"/>
      <c r="F440" s="65"/>
      <c r="G440" s="65"/>
      <c r="H440" s="65"/>
      <c r="I440" s="139"/>
      <c r="J440" s="139"/>
      <c r="K440" s="139"/>
      <c r="L440" s="139"/>
      <c r="M440" s="139"/>
      <c r="N440" s="139"/>
      <c r="O440" s="65"/>
      <c r="P440" s="67"/>
    </row>
    <row r="441" ht="15.75" customHeight="1">
      <c r="A441" s="65"/>
      <c r="B441" s="65"/>
      <c r="C441" s="190"/>
      <c r="D441" s="191"/>
      <c r="E441" s="65"/>
      <c r="F441" s="65"/>
      <c r="G441" s="65"/>
      <c r="H441" s="65"/>
      <c r="I441" s="139"/>
      <c r="J441" s="139"/>
      <c r="K441" s="139"/>
      <c r="L441" s="139"/>
      <c r="M441" s="139"/>
      <c r="N441" s="139"/>
      <c r="O441" s="65"/>
      <c r="P441" s="67"/>
    </row>
    <row r="442" ht="15.75" customHeight="1">
      <c r="A442" s="65"/>
      <c r="B442" s="65"/>
      <c r="C442" s="190"/>
      <c r="D442" s="191"/>
      <c r="E442" s="65"/>
      <c r="F442" s="65"/>
      <c r="G442" s="65"/>
      <c r="H442" s="65"/>
      <c r="I442" s="139"/>
      <c r="J442" s="139"/>
      <c r="K442" s="139"/>
      <c r="L442" s="139"/>
      <c r="M442" s="139"/>
      <c r="N442" s="139"/>
      <c r="O442" s="65"/>
      <c r="P442" s="67"/>
    </row>
    <row r="443" ht="15.75" customHeight="1">
      <c r="A443" s="65"/>
      <c r="B443" s="65"/>
      <c r="C443" s="190"/>
      <c r="D443" s="191"/>
      <c r="E443" s="65"/>
      <c r="F443" s="65"/>
      <c r="G443" s="65"/>
      <c r="H443" s="65"/>
      <c r="I443" s="139"/>
      <c r="J443" s="139"/>
      <c r="K443" s="139"/>
      <c r="L443" s="139"/>
      <c r="M443" s="139"/>
      <c r="N443" s="139"/>
      <c r="O443" s="65"/>
      <c r="P443" s="67"/>
    </row>
    <row r="444" ht="15.75" customHeight="1">
      <c r="A444" s="65"/>
      <c r="B444" s="65"/>
      <c r="C444" s="190"/>
      <c r="D444" s="191"/>
      <c r="E444" s="65"/>
      <c r="F444" s="65"/>
      <c r="G444" s="65"/>
      <c r="H444" s="65"/>
      <c r="I444" s="139"/>
      <c r="J444" s="139"/>
      <c r="K444" s="139"/>
      <c r="L444" s="139"/>
      <c r="M444" s="139"/>
      <c r="N444" s="139"/>
      <c r="O444" s="65"/>
      <c r="P444" s="67"/>
    </row>
    <row r="445" ht="15.75" customHeight="1">
      <c r="A445" s="65"/>
      <c r="B445" s="65"/>
      <c r="C445" s="190"/>
      <c r="D445" s="191"/>
      <c r="E445" s="65"/>
      <c r="F445" s="65"/>
      <c r="G445" s="65"/>
      <c r="H445" s="65"/>
      <c r="I445" s="139"/>
      <c r="J445" s="139"/>
      <c r="K445" s="139"/>
      <c r="L445" s="139"/>
      <c r="M445" s="139"/>
      <c r="N445" s="139"/>
      <c r="O445" s="65"/>
      <c r="P445" s="67"/>
    </row>
    <row r="446" ht="15.75" customHeight="1">
      <c r="A446" s="65"/>
      <c r="B446" s="65"/>
      <c r="C446" s="190"/>
      <c r="D446" s="191"/>
      <c r="E446" s="65"/>
      <c r="F446" s="65"/>
      <c r="G446" s="65"/>
      <c r="H446" s="65"/>
      <c r="I446" s="139"/>
      <c r="J446" s="139"/>
      <c r="K446" s="139"/>
      <c r="L446" s="139"/>
      <c r="M446" s="139"/>
      <c r="N446" s="139"/>
      <c r="O446" s="65"/>
      <c r="P446" s="67"/>
    </row>
    <row r="447" ht="15.75" customHeight="1">
      <c r="A447" s="65"/>
      <c r="B447" s="65"/>
      <c r="C447" s="190"/>
      <c r="D447" s="191"/>
      <c r="E447" s="65"/>
      <c r="F447" s="65"/>
      <c r="G447" s="65"/>
      <c r="H447" s="65"/>
      <c r="I447" s="139"/>
      <c r="J447" s="139"/>
      <c r="K447" s="139"/>
      <c r="L447" s="139"/>
      <c r="M447" s="139"/>
      <c r="N447" s="139"/>
      <c r="O447" s="65"/>
      <c r="P447" s="67"/>
    </row>
    <row r="448" ht="15.75" customHeight="1">
      <c r="A448" s="65"/>
      <c r="B448" s="65"/>
      <c r="C448" s="190"/>
      <c r="D448" s="191"/>
      <c r="E448" s="65"/>
      <c r="F448" s="65"/>
      <c r="G448" s="65"/>
      <c r="H448" s="65"/>
      <c r="I448" s="139"/>
      <c r="J448" s="139"/>
      <c r="K448" s="139"/>
      <c r="L448" s="139"/>
      <c r="M448" s="139"/>
      <c r="N448" s="139"/>
      <c r="O448" s="65"/>
      <c r="P448" s="67"/>
    </row>
    <row r="449" ht="15.75" customHeight="1">
      <c r="A449" s="65"/>
      <c r="B449" s="65"/>
      <c r="C449" s="190"/>
      <c r="D449" s="191"/>
      <c r="E449" s="65"/>
      <c r="F449" s="65"/>
      <c r="G449" s="65"/>
      <c r="H449" s="65"/>
      <c r="I449" s="139"/>
      <c r="J449" s="139"/>
      <c r="K449" s="139"/>
      <c r="L449" s="139"/>
      <c r="M449" s="139"/>
      <c r="N449" s="139"/>
      <c r="O449" s="65"/>
      <c r="P449" s="67"/>
    </row>
    <row r="450" ht="15.75" customHeight="1">
      <c r="A450" s="65"/>
      <c r="B450" s="65"/>
      <c r="C450" s="190"/>
      <c r="D450" s="191"/>
      <c r="E450" s="65"/>
      <c r="F450" s="65"/>
      <c r="G450" s="65"/>
      <c r="H450" s="65"/>
      <c r="I450" s="139"/>
      <c r="J450" s="139"/>
      <c r="K450" s="139"/>
      <c r="L450" s="139"/>
      <c r="M450" s="139"/>
      <c r="N450" s="139"/>
      <c r="O450" s="65"/>
      <c r="P450" s="67"/>
    </row>
    <row r="451" ht="15.75" customHeight="1">
      <c r="A451" s="65"/>
      <c r="B451" s="65"/>
      <c r="C451" s="190"/>
      <c r="D451" s="191"/>
      <c r="E451" s="65"/>
      <c r="F451" s="65"/>
      <c r="G451" s="65"/>
      <c r="H451" s="65"/>
      <c r="I451" s="139"/>
      <c r="J451" s="139"/>
      <c r="K451" s="139"/>
      <c r="L451" s="139"/>
      <c r="M451" s="139"/>
      <c r="N451" s="139"/>
      <c r="O451" s="65"/>
      <c r="P451" s="67"/>
    </row>
    <row r="452" ht="15.75" customHeight="1">
      <c r="A452" s="65"/>
      <c r="B452" s="65"/>
      <c r="C452" s="190"/>
      <c r="D452" s="191"/>
      <c r="E452" s="65"/>
      <c r="F452" s="65"/>
      <c r="G452" s="65"/>
      <c r="H452" s="65"/>
      <c r="I452" s="139"/>
      <c r="J452" s="139"/>
      <c r="K452" s="139"/>
      <c r="L452" s="139"/>
      <c r="M452" s="139"/>
      <c r="N452" s="139"/>
      <c r="O452" s="65"/>
      <c r="P452" s="67"/>
    </row>
    <row r="453" ht="15.75" customHeight="1">
      <c r="A453" s="65"/>
      <c r="B453" s="65"/>
      <c r="C453" s="190"/>
      <c r="D453" s="191"/>
      <c r="E453" s="65"/>
      <c r="F453" s="65"/>
      <c r="G453" s="65"/>
      <c r="H453" s="65"/>
      <c r="I453" s="139"/>
      <c r="J453" s="139"/>
      <c r="K453" s="139"/>
      <c r="L453" s="139"/>
      <c r="M453" s="139"/>
      <c r="N453" s="139"/>
      <c r="O453" s="65"/>
      <c r="P453" s="67"/>
    </row>
    <row r="454" ht="15.75" customHeight="1">
      <c r="A454" s="65"/>
      <c r="B454" s="65"/>
      <c r="C454" s="190"/>
      <c r="D454" s="191"/>
      <c r="E454" s="65"/>
      <c r="F454" s="65"/>
      <c r="G454" s="65"/>
      <c r="H454" s="65"/>
      <c r="I454" s="139"/>
      <c r="J454" s="139"/>
      <c r="K454" s="139"/>
      <c r="L454" s="139"/>
      <c r="M454" s="139"/>
      <c r="N454" s="139"/>
      <c r="O454" s="65"/>
      <c r="P454" s="67"/>
    </row>
    <row r="455" ht="15.75" customHeight="1">
      <c r="A455" s="65"/>
      <c r="B455" s="65"/>
      <c r="C455" s="190"/>
      <c r="D455" s="191"/>
      <c r="E455" s="65"/>
      <c r="F455" s="65"/>
      <c r="G455" s="65"/>
      <c r="H455" s="65"/>
      <c r="I455" s="139"/>
      <c r="J455" s="139"/>
      <c r="K455" s="139"/>
      <c r="L455" s="139"/>
      <c r="M455" s="139"/>
      <c r="N455" s="139"/>
      <c r="O455" s="65"/>
      <c r="P455" s="67"/>
    </row>
    <row r="456" ht="15.75" customHeight="1">
      <c r="A456" s="65"/>
      <c r="B456" s="65"/>
      <c r="C456" s="190"/>
      <c r="D456" s="191"/>
      <c r="E456" s="65"/>
      <c r="F456" s="65"/>
      <c r="G456" s="65"/>
      <c r="H456" s="65"/>
      <c r="I456" s="139"/>
      <c r="J456" s="139"/>
      <c r="K456" s="139"/>
      <c r="L456" s="139"/>
      <c r="M456" s="139"/>
      <c r="N456" s="139"/>
      <c r="O456" s="65"/>
      <c r="P456" s="67"/>
    </row>
    <row r="457" ht="15.75" customHeight="1">
      <c r="A457" s="65"/>
      <c r="B457" s="65"/>
      <c r="C457" s="190"/>
      <c r="D457" s="191"/>
      <c r="E457" s="65"/>
      <c r="F457" s="65"/>
      <c r="G457" s="65"/>
      <c r="H457" s="65"/>
      <c r="I457" s="139"/>
      <c r="J457" s="139"/>
      <c r="K457" s="139"/>
      <c r="L457" s="139"/>
      <c r="M457" s="139"/>
      <c r="N457" s="139"/>
      <c r="O457" s="65"/>
      <c r="P457" s="67"/>
    </row>
    <row r="458" ht="15.75" customHeight="1">
      <c r="A458" s="65"/>
      <c r="B458" s="65"/>
      <c r="C458" s="190"/>
      <c r="D458" s="191"/>
      <c r="E458" s="65"/>
      <c r="F458" s="65"/>
      <c r="G458" s="65"/>
      <c r="H458" s="65"/>
      <c r="I458" s="139"/>
      <c r="J458" s="139"/>
      <c r="K458" s="139"/>
      <c r="L458" s="139"/>
      <c r="M458" s="139"/>
      <c r="N458" s="139"/>
      <c r="O458" s="65"/>
      <c r="P458" s="67"/>
    </row>
    <row r="459" ht="15.75" customHeight="1">
      <c r="A459" s="65"/>
      <c r="B459" s="65"/>
      <c r="C459" s="190"/>
      <c r="D459" s="191"/>
      <c r="E459" s="65"/>
      <c r="F459" s="65"/>
      <c r="G459" s="65"/>
      <c r="H459" s="65"/>
      <c r="I459" s="139"/>
      <c r="J459" s="139"/>
      <c r="K459" s="139"/>
      <c r="L459" s="139"/>
      <c r="M459" s="139"/>
      <c r="N459" s="139"/>
      <c r="O459" s="65"/>
      <c r="P459" s="67"/>
    </row>
    <row r="460" ht="15.75" customHeight="1">
      <c r="A460" s="65"/>
      <c r="B460" s="65"/>
      <c r="C460" s="190"/>
      <c r="D460" s="191"/>
      <c r="E460" s="65"/>
      <c r="F460" s="65"/>
      <c r="G460" s="65"/>
      <c r="H460" s="65"/>
      <c r="I460" s="139"/>
      <c r="J460" s="139"/>
      <c r="K460" s="139"/>
      <c r="L460" s="139"/>
      <c r="M460" s="139"/>
      <c r="N460" s="139"/>
      <c r="O460" s="65"/>
      <c r="P460" s="67"/>
    </row>
    <row r="461" ht="15.75" customHeight="1">
      <c r="A461" s="65"/>
      <c r="B461" s="65"/>
      <c r="C461" s="190"/>
      <c r="D461" s="191"/>
      <c r="E461" s="65"/>
      <c r="F461" s="65"/>
      <c r="G461" s="65"/>
      <c r="H461" s="65"/>
      <c r="I461" s="139"/>
      <c r="J461" s="139"/>
      <c r="K461" s="139"/>
      <c r="L461" s="139"/>
      <c r="M461" s="139"/>
      <c r="N461" s="139"/>
      <c r="O461" s="65"/>
      <c r="P461" s="67"/>
    </row>
    <row r="462" ht="15.75" customHeight="1">
      <c r="A462" s="65"/>
      <c r="B462" s="65"/>
      <c r="C462" s="190"/>
      <c r="D462" s="191"/>
      <c r="E462" s="65"/>
      <c r="F462" s="65"/>
      <c r="G462" s="65"/>
      <c r="H462" s="65"/>
      <c r="I462" s="139"/>
      <c r="J462" s="139"/>
      <c r="K462" s="139"/>
      <c r="L462" s="139"/>
      <c r="M462" s="139"/>
      <c r="N462" s="139"/>
      <c r="O462" s="65"/>
      <c r="P462" s="67"/>
    </row>
    <row r="463" ht="15.75" customHeight="1">
      <c r="A463" s="65"/>
      <c r="B463" s="65"/>
      <c r="C463" s="190"/>
      <c r="D463" s="191"/>
      <c r="E463" s="65"/>
      <c r="F463" s="65"/>
      <c r="G463" s="65"/>
      <c r="H463" s="65"/>
      <c r="I463" s="139"/>
      <c r="J463" s="139"/>
      <c r="K463" s="139"/>
      <c r="L463" s="139"/>
      <c r="M463" s="139"/>
      <c r="N463" s="139"/>
      <c r="O463" s="65"/>
      <c r="P463" s="67"/>
    </row>
    <row r="464" ht="15.75" customHeight="1">
      <c r="A464" s="65"/>
      <c r="B464" s="65"/>
      <c r="C464" s="190"/>
      <c r="D464" s="191"/>
      <c r="E464" s="65"/>
      <c r="F464" s="65"/>
      <c r="G464" s="65"/>
      <c r="H464" s="65"/>
      <c r="I464" s="139"/>
      <c r="J464" s="139"/>
      <c r="K464" s="139"/>
      <c r="L464" s="139"/>
      <c r="M464" s="139"/>
      <c r="N464" s="139"/>
      <c r="O464" s="65"/>
      <c r="P464" s="67"/>
    </row>
    <row r="465" ht="15.75" customHeight="1">
      <c r="A465" s="65"/>
      <c r="B465" s="65"/>
      <c r="C465" s="190"/>
      <c r="D465" s="191"/>
      <c r="E465" s="65"/>
      <c r="F465" s="65"/>
      <c r="G465" s="65"/>
      <c r="H465" s="65"/>
      <c r="I465" s="139"/>
      <c r="J465" s="139"/>
      <c r="K465" s="139"/>
      <c r="L465" s="139"/>
      <c r="M465" s="139"/>
      <c r="N465" s="139"/>
      <c r="O465" s="65"/>
      <c r="P465" s="67"/>
    </row>
    <row r="466" ht="15.75" customHeight="1">
      <c r="A466" s="65"/>
      <c r="B466" s="65"/>
      <c r="C466" s="190"/>
      <c r="D466" s="191"/>
      <c r="E466" s="65"/>
      <c r="F466" s="65"/>
      <c r="G466" s="65"/>
      <c r="H466" s="65"/>
      <c r="I466" s="139"/>
      <c r="J466" s="139"/>
      <c r="K466" s="139"/>
      <c r="L466" s="139"/>
      <c r="M466" s="139"/>
      <c r="N466" s="139"/>
      <c r="O466" s="65"/>
      <c r="P466" s="67"/>
    </row>
    <row r="467" ht="15.75" customHeight="1">
      <c r="A467" s="65"/>
      <c r="B467" s="65"/>
      <c r="C467" s="190"/>
      <c r="D467" s="191"/>
      <c r="E467" s="65"/>
      <c r="F467" s="65"/>
      <c r="G467" s="65"/>
      <c r="H467" s="65"/>
      <c r="I467" s="139"/>
      <c r="J467" s="139"/>
      <c r="K467" s="139"/>
      <c r="L467" s="139"/>
      <c r="M467" s="139"/>
      <c r="N467" s="139"/>
      <c r="O467" s="65"/>
      <c r="P467" s="67"/>
    </row>
    <row r="468" ht="15.75" customHeight="1">
      <c r="A468" s="65"/>
      <c r="B468" s="65"/>
      <c r="C468" s="190"/>
      <c r="D468" s="191"/>
      <c r="E468" s="65"/>
      <c r="F468" s="65"/>
      <c r="G468" s="65"/>
      <c r="H468" s="65"/>
      <c r="I468" s="139"/>
      <c r="J468" s="139"/>
      <c r="K468" s="139"/>
      <c r="L468" s="139"/>
      <c r="M468" s="139"/>
      <c r="N468" s="139"/>
      <c r="O468" s="65"/>
      <c r="P468" s="67"/>
    </row>
    <row r="469" ht="15.75" customHeight="1">
      <c r="A469" s="65"/>
      <c r="B469" s="65"/>
      <c r="C469" s="190"/>
      <c r="D469" s="191"/>
      <c r="E469" s="65"/>
      <c r="F469" s="65"/>
      <c r="G469" s="65"/>
      <c r="H469" s="65"/>
      <c r="I469" s="139"/>
      <c r="J469" s="139"/>
      <c r="K469" s="139"/>
      <c r="L469" s="139"/>
      <c r="M469" s="139"/>
      <c r="N469" s="139"/>
      <c r="O469" s="65"/>
      <c r="P469" s="67"/>
    </row>
    <row r="470" ht="15.75" customHeight="1">
      <c r="A470" s="65"/>
      <c r="B470" s="65"/>
      <c r="C470" s="190"/>
      <c r="D470" s="191"/>
      <c r="E470" s="65"/>
      <c r="F470" s="65"/>
      <c r="G470" s="65"/>
      <c r="H470" s="65"/>
      <c r="I470" s="139"/>
      <c r="J470" s="139"/>
      <c r="K470" s="139"/>
      <c r="L470" s="139"/>
      <c r="M470" s="139"/>
      <c r="N470" s="139"/>
      <c r="O470" s="65"/>
      <c r="P470" s="67"/>
    </row>
    <row r="471" ht="15.75" customHeight="1">
      <c r="A471" s="65"/>
      <c r="B471" s="65"/>
      <c r="C471" s="190"/>
      <c r="D471" s="191"/>
      <c r="E471" s="65"/>
      <c r="F471" s="65"/>
      <c r="G471" s="65"/>
      <c r="H471" s="65"/>
      <c r="I471" s="139"/>
      <c r="J471" s="139"/>
      <c r="K471" s="139"/>
      <c r="L471" s="139"/>
      <c r="M471" s="139"/>
      <c r="N471" s="139"/>
      <c r="O471" s="65"/>
      <c r="P471" s="67"/>
    </row>
    <row r="472" ht="15.75" customHeight="1">
      <c r="A472" s="65"/>
      <c r="B472" s="65"/>
      <c r="C472" s="190"/>
      <c r="D472" s="191"/>
      <c r="E472" s="65"/>
      <c r="F472" s="65"/>
      <c r="G472" s="65"/>
      <c r="H472" s="65"/>
      <c r="I472" s="139"/>
      <c r="J472" s="139"/>
      <c r="K472" s="139"/>
      <c r="L472" s="139"/>
      <c r="M472" s="139"/>
      <c r="N472" s="139"/>
      <c r="O472" s="65"/>
      <c r="P472" s="67"/>
    </row>
    <row r="473" ht="15.75" customHeight="1">
      <c r="A473" s="65"/>
      <c r="B473" s="65"/>
      <c r="C473" s="190"/>
      <c r="D473" s="191"/>
      <c r="E473" s="65"/>
      <c r="F473" s="65"/>
      <c r="G473" s="65"/>
      <c r="H473" s="65"/>
      <c r="I473" s="139"/>
      <c r="J473" s="139"/>
      <c r="K473" s="139"/>
      <c r="L473" s="139"/>
      <c r="M473" s="139"/>
      <c r="N473" s="139"/>
      <c r="O473" s="65"/>
      <c r="P473" s="67"/>
    </row>
    <row r="474" ht="15.75" customHeight="1">
      <c r="A474" s="65"/>
      <c r="B474" s="65"/>
      <c r="C474" s="190"/>
      <c r="D474" s="191"/>
      <c r="E474" s="65"/>
      <c r="F474" s="65"/>
      <c r="G474" s="65"/>
      <c r="H474" s="65"/>
      <c r="I474" s="139"/>
      <c r="J474" s="139"/>
      <c r="K474" s="139"/>
      <c r="L474" s="139"/>
      <c r="M474" s="139"/>
      <c r="N474" s="139"/>
      <c r="O474" s="65"/>
      <c r="P474" s="67"/>
    </row>
    <row r="475" ht="15.75" customHeight="1">
      <c r="A475" s="65"/>
      <c r="B475" s="65"/>
      <c r="C475" s="190"/>
      <c r="D475" s="191"/>
      <c r="E475" s="65"/>
      <c r="F475" s="65"/>
      <c r="G475" s="65"/>
      <c r="H475" s="65"/>
      <c r="I475" s="139"/>
      <c r="J475" s="139"/>
      <c r="K475" s="139"/>
      <c r="L475" s="139"/>
      <c r="M475" s="139"/>
      <c r="N475" s="139"/>
      <c r="O475" s="65"/>
      <c r="P475" s="67"/>
    </row>
    <row r="476" ht="15.75" customHeight="1">
      <c r="A476" s="65"/>
      <c r="B476" s="65"/>
      <c r="C476" s="190"/>
      <c r="D476" s="191"/>
      <c r="E476" s="65"/>
      <c r="F476" s="65"/>
      <c r="G476" s="65"/>
      <c r="H476" s="65"/>
      <c r="I476" s="139"/>
      <c r="J476" s="139"/>
      <c r="K476" s="139"/>
      <c r="L476" s="139"/>
      <c r="M476" s="139"/>
      <c r="N476" s="139"/>
      <c r="O476" s="65"/>
      <c r="P476" s="67"/>
    </row>
    <row r="477" ht="15.75" customHeight="1">
      <c r="A477" s="65"/>
      <c r="B477" s="65"/>
      <c r="C477" s="190"/>
      <c r="D477" s="191"/>
      <c r="E477" s="65"/>
      <c r="F477" s="65"/>
      <c r="G477" s="65"/>
      <c r="H477" s="65"/>
      <c r="I477" s="139"/>
      <c r="J477" s="139"/>
      <c r="K477" s="139"/>
      <c r="L477" s="139"/>
      <c r="M477" s="139"/>
      <c r="N477" s="139"/>
      <c r="O477" s="65"/>
      <c r="P477" s="67"/>
    </row>
    <row r="478" ht="15.75" customHeight="1">
      <c r="A478" s="65"/>
      <c r="B478" s="65"/>
      <c r="C478" s="190"/>
      <c r="D478" s="191"/>
      <c r="E478" s="65"/>
      <c r="F478" s="65"/>
      <c r="G478" s="65"/>
      <c r="H478" s="65"/>
      <c r="I478" s="139"/>
      <c r="J478" s="139"/>
      <c r="K478" s="139"/>
      <c r="L478" s="139"/>
      <c r="M478" s="139"/>
      <c r="N478" s="139"/>
      <c r="O478" s="65"/>
      <c r="P478" s="67"/>
    </row>
    <row r="479" ht="15.75" customHeight="1">
      <c r="A479" s="65"/>
      <c r="B479" s="65"/>
      <c r="C479" s="190"/>
      <c r="D479" s="191"/>
      <c r="E479" s="65"/>
      <c r="F479" s="65"/>
      <c r="G479" s="65"/>
      <c r="H479" s="65"/>
      <c r="I479" s="139"/>
      <c r="J479" s="139"/>
      <c r="K479" s="139"/>
      <c r="L479" s="139"/>
      <c r="M479" s="139"/>
      <c r="N479" s="139"/>
      <c r="O479" s="65"/>
      <c r="P479" s="67"/>
    </row>
    <row r="480" ht="15.75" customHeight="1">
      <c r="A480" s="65"/>
      <c r="B480" s="65"/>
      <c r="C480" s="190"/>
      <c r="D480" s="191"/>
      <c r="E480" s="65"/>
      <c r="F480" s="65"/>
      <c r="G480" s="65"/>
      <c r="H480" s="65"/>
      <c r="I480" s="139"/>
      <c r="J480" s="139"/>
      <c r="K480" s="139"/>
      <c r="L480" s="139"/>
      <c r="M480" s="139"/>
      <c r="N480" s="139"/>
      <c r="O480" s="65"/>
      <c r="P480" s="67"/>
    </row>
    <row r="481" ht="15.75" customHeight="1">
      <c r="A481" s="65"/>
      <c r="B481" s="65"/>
      <c r="C481" s="190"/>
      <c r="D481" s="191"/>
      <c r="E481" s="65"/>
      <c r="F481" s="65"/>
      <c r="G481" s="65"/>
      <c r="H481" s="65"/>
      <c r="I481" s="139"/>
      <c r="J481" s="139"/>
      <c r="K481" s="139"/>
      <c r="L481" s="139"/>
      <c r="M481" s="139"/>
      <c r="N481" s="139"/>
      <c r="O481" s="65"/>
      <c r="P481" s="67"/>
    </row>
    <row r="482" ht="15.75" customHeight="1">
      <c r="A482" s="65"/>
      <c r="B482" s="65"/>
      <c r="C482" s="190"/>
      <c r="D482" s="191"/>
      <c r="E482" s="65"/>
      <c r="F482" s="65"/>
      <c r="G482" s="65"/>
      <c r="H482" s="65"/>
      <c r="I482" s="139"/>
      <c r="J482" s="139"/>
      <c r="K482" s="139"/>
      <c r="L482" s="139"/>
      <c r="M482" s="139"/>
      <c r="N482" s="139"/>
      <c r="O482" s="65"/>
      <c r="P482" s="67"/>
    </row>
    <row r="483" ht="15.75" customHeight="1">
      <c r="A483" s="65"/>
      <c r="B483" s="65"/>
      <c r="C483" s="190"/>
      <c r="D483" s="191"/>
      <c r="E483" s="65"/>
      <c r="F483" s="65"/>
      <c r="G483" s="65"/>
      <c r="H483" s="65"/>
      <c r="I483" s="139"/>
      <c r="J483" s="139"/>
      <c r="K483" s="139"/>
      <c r="L483" s="139"/>
      <c r="M483" s="139"/>
      <c r="N483" s="139"/>
      <c r="O483" s="65"/>
      <c r="P483" s="67"/>
    </row>
    <row r="484" ht="15.75" customHeight="1">
      <c r="A484" s="65"/>
      <c r="B484" s="65"/>
      <c r="C484" s="190"/>
      <c r="D484" s="191"/>
      <c r="E484" s="65"/>
      <c r="F484" s="65"/>
      <c r="G484" s="65"/>
      <c r="H484" s="65"/>
      <c r="I484" s="139"/>
      <c r="J484" s="139"/>
      <c r="K484" s="139"/>
      <c r="L484" s="139"/>
      <c r="M484" s="139"/>
      <c r="N484" s="139"/>
      <c r="O484" s="65"/>
      <c r="P484" s="67"/>
    </row>
    <row r="485" ht="15.75" customHeight="1">
      <c r="A485" s="65"/>
      <c r="B485" s="65"/>
      <c r="C485" s="190"/>
      <c r="D485" s="191"/>
      <c r="E485" s="65"/>
      <c r="F485" s="65"/>
      <c r="G485" s="65"/>
      <c r="H485" s="65"/>
      <c r="I485" s="139"/>
      <c r="J485" s="139"/>
      <c r="K485" s="139"/>
      <c r="L485" s="139"/>
      <c r="M485" s="139"/>
      <c r="N485" s="139"/>
      <c r="O485" s="65"/>
      <c r="P485" s="67"/>
    </row>
    <row r="486" ht="15.75" customHeight="1">
      <c r="A486" s="65"/>
      <c r="B486" s="65"/>
      <c r="C486" s="190"/>
      <c r="D486" s="191"/>
      <c r="E486" s="65"/>
      <c r="F486" s="65"/>
      <c r="G486" s="65"/>
      <c r="H486" s="65"/>
      <c r="I486" s="139"/>
      <c r="J486" s="139"/>
      <c r="K486" s="139"/>
      <c r="L486" s="139"/>
      <c r="M486" s="139"/>
      <c r="N486" s="139"/>
      <c r="O486" s="65"/>
      <c r="P486" s="67"/>
    </row>
    <row r="487" ht="15.75" customHeight="1">
      <c r="A487" s="65"/>
      <c r="B487" s="65"/>
      <c r="C487" s="190"/>
      <c r="D487" s="191"/>
      <c r="E487" s="65"/>
      <c r="F487" s="65"/>
      <c r="G487" s="65"/>
      <c r="H487" s="65"/>
      <c r="I487" s="139"/>
      <c r="J487" s="139"/>
      <c r="K487" s="139"/>
      <c r="L487" s="139"/>
      <c r="M487" s="139"/>
      <c r="N487" s="139"/>
      <c r="O487" s="65"/>
      <c r="P487" s="67"/>
    </row>
    <row r="488" ht="15.75" customHeight="1">
      <c r="A488" s="65"/>
      <c r="B488" s="65"/>
      <c r="C488" s="190"/>
      <c r="D488" s="191"/>
      <c r="E488" s="65"/>
      <c r="F488" s="65"/>
      <c r="G488" s="65"/>
      <c r="H488" s="65"/>
      <c r="I488" s="139"/>
      <c r="J488" s="139"/>
      <c r="K488" s="139"/>
      <c r="L488" s="139"/>
      <c r="M488" s="139"/>
      <c r="N488" s="139"/>
      <c r="O488" s="65"/>
      <c r="P488" s="67"/>
    </row>
    <row r="489" ht="15.75" customHeight="1">
      <c r="A489" s="65"/>
      <c r="B489" s="65"/>
      <c r="C489" s="190"/>
      <c r="D489" s="191"/>
      <c r="E489" s="65"/>
      <c r="F489" s="65"/>
      <c r="G489" s="65"/>
      <c r="H489" s="65"/>
      <c r="I489" s="139"/>
      <c r="J489" s="139"/>
      <c r="K489" s="139"/>
      <c r="L489" s="139"/>
      <c r="M489" s="139"/>
      <c r="N489" s="139"/>
      <c r="O489" s="65"/>
      <c r="P489" s="67"/>
    </row>
    <row r="490" ht="15.75" customHeight="1">
      <c r="A490" s="65"/>
      <c r="B490" s="65"/>
      <c r="C490" s="190"/>
      <c r="D490" s="191"/>
      <c r="E490" s="65"/>
      <c r="F490" s="65"/>
      <c r="G490" s="65"/>
      <c r="H490" s="65"/>
      <c r="I490" s="139"/>
      <c r="J490" s="139"/>
      <c r="K490" s="139"/>
      <c r="L490" s="139"/>
      <c r="M490" s="139"/>
      <c r="N490" s="139"/>
      <c r="O490" s="65"/>
      <c r="P490" s="67"/>
    </row>
    <row r="491" ht="15.75" customHeight="1">
      <c r="A491" s="65"/>
      <c r="B491" s="65"/>
      <c r="C491" s="190"/>
      <c r="D491" s="191"/>
      <c r="E491" s="65"/>
      <c r="F491" s="65"/>
      <c r="G491" s="65"/>
      <c r="H491" s="65"/>
      <c r="I491" s="139"/>
      <c r="J491" s="139"/>
      <c r="K491" s="139"/>
      <c r="L491" s="139"/>
      <c r="M491" s="139"/>
      <c r="N491" s="139"/>
      <c r="O491" s="65"/>
      <c r="P491" s="67"/>
    </row>
    <row r="492" ht="15.75" customHeight="1">
      <c r="A492" s="65"/>
      <c r="B492" s="65"/>
      <c r="C492" s="190"/>
      <c r="D492" s="191"/>
      <c r="E492" s="65"/>
      <c r="F492" s="65"/>
      <c r="G492" s="65"/>
      <c r="H492" s="65"/>
      <c r="I492" s="139"/>
      <c r="J492" s="139"/>
      <c r="K492" s="139"/>
      <c r="L492" s="139"/>
      <c r="M492" s="139"/>
      <c r="N492" s="139"/>
      <c r="O492" s="65"/>
      <c r="P492" s="67"/>
    </row>
    <row r="493" ht="15.75" customHeight="1">
      <c r="A493" s="65"/>
      <c r="B493" s="65"/>
      <c r="C493" s="190"/>
      <c r="D493" s="191"/>
      <c r="E493" s="65"/>
      <c r="F493" s="65"/>
      <c r="G493" s="65"/>
      <c r="H493" s="65"/>
      <c r="I493" s="139"/>
      <c r="J493" s="139"/>
      <c r="K493" s="139"/>
      <c r="L493" s="139"/>
      <c r="M493" s="139"/>
      <c r="N493" s="139"/>
      <c r="O493" s="65"/>
      <c r="P493" s="67"/>
    </row>
    <row r="494" ht="15.75" customHeight="1">
      <c r="A494" s="65"/>
      <c r="B494" s="65"/>
      <c r="C494" s="190"/>
      <c r="D494" s="191"/>
      <c r="E494" s="65"/>
      <c r="F494" s="65"/>
      <c r="G494" s="65"/>
      <c r="H494" s="65"/>
      <c r="I494" s="139"/>
      <c r="J494" s="139"/>
      <c r="K494" s="139"/>
      <c r="L494" s="139"/>
      <c r="M494" s="139"/>
      <c r="N494" s="139"/>
      <c r="O494" s="65"/>
      <c r="P494" s="67"/>
    </row>
    <row r="495" ht="15.75" customHeight="1">
      <c r="A495" s="65"/>
      <c r="B495" s="65"/>
      <c r="C495" s="190"/>
      <c r="D495" s="191"/>
      <c r="E495" s="65"/>
      <c r="F495" s="65"/>
      <c r="G495" s="65"/>
      <c r="H495" s="65"/>
      <c r="I495" s="139"/>
      <c r="J495" s="139"/>
      <c r="K495" s="139"/>
      <c r="L495" s="139"/>
      <c r="M495" s="139"/>
      <c r="N495" s="139"/>
      <c r="O495" s="65"/>
      <c r="P495" s="67"/>
    </row>
    <row r="496" ht="15.75" customHeight="1">
      <c r="A496" s="65"/>
      <c r="B496" s="65"/>
      <c r="C496" s="190"/>
      <c r="D496" s="191"/>
      <c r="E496" s="65"/>
      <c r="F496" s="65"/>
      <c r="G496" s="65"/>
      <c r="H496" s="65"/>
      <c r="I496" s="139"/>
      <c r="J496" s="139"/>
      <c r="K496" s="139"/>
      <c r="L496" s="139"/>
      <c r="M496" s="139"/>
      <c r="N496" s="139"/>
      <c r="O496" s="65"/>
      <c r="P496" s="67"/>
    </row>
    <row r="497" ht="15.75" customHeight="1">
      <c r="A497" s="65"/>
      <c r="B497" s="65"/>
      <c r="C497" s="190"/>
      <c r="D497" s="191"/>
      <c r="E497" s="65"/>
      <c r="F497" s="65"/>
      <c r="G497" s="65"/>
      <c r="H497" s="65"/>
      <c r="I497" s="139"/>
      <c r="J497" s="139"/>
      <c r="K497" s="139"/>
      <c r="L497" s="139"/>
      <c r="M497" s="139"/>
      <c r="N497" s="139"/>
      <c r="O497" s="65"/>
      <c r="P497" s="67"/>
    </row>
    <row r="498" ht="15.75" customHeight="1">
      <c r="A498" s="65"/>
      <c r="B498" s="65"/>
      <c r="C498" s="190"/>
      <c r="D498" s="191"/>
      <c r="E498" s="65"/>
      <c r="F498" s="65"/>
      <c r="G498" s="65"/>
      <c r="H498" s="65"/>
      <c r="I498" s="139"/>
      <c r="J498" s="139"/>
      <c r="K498" s="139"/>
      <c r="L498" s="139"/>
      <c r="M498" s="139"/>
      <c r="N498" s="139"/>
      <c r="O498" s="65"/>
      <c r="P498" s="67"/>
    </row>
    <row r="499" ht="15.75" customHeight="1">
      <c r="A499" s="65"/>
      <c r="B499" s="65"/>
      <c r="C499" s="190"/>
      <c r="D499" s="191"/>
      <c r="E499" s="65"/>
      <c r="F499" s="65"/>
      <c r="G499" s="65"/>
      <c r="H499" s="65"/>
      <c r="I499" s="139"/>
      <c r="J499" s="139"/>
      <c r="K499" s="139"/>
      <c r="L499" s="139"/>
      <c r="M499" s="139"/>
      <c r="N499" s="139"/>
      <c r="O499" s="65"/>
      <c r="P499" s="67"/>
    </row>
    <row r="500" ht="15.75" customHeight="1">
      <c r="A500" s="65"/>
      <c r="B500" s="65"/>
      <c r="C500" s="190"/>
      <c r="D500" s="191"/>
      <c r="E500" s="65"/>
      <c r="F500" s="65"/>
      <c r="G500" s="65"/>
      <c r="H500" s="65"/>
      <c r="I500" s="139"/>
      <c r="J500" s="139"/>
      <c r="K500" s="139"/>
      <c r="L500" s="139"/>
      <c r="M500" s="139"/>
      <c r="N500" s="139"/>
      <c r="O500" s="65"/>
      <c r="P500" s="67"/>
    </row>
    <row r="501" ht="15.75" customHeight="1">
      <c r="A501" s="65"/>
      <c r="B501" s="65"/>
      <c r="C501" s="190"/>
      <c r="D501" s="191"/>
      <c r="E501" s="65"/>
      <c r="F501" s="65"/>
      <c r="G501" s="65"/>
      <c r="H501" s="65"/>
      <c r="I501" s="139"/>
      <c r="J501" s="139"/>
      <c r="K501" s="139"/>
      <c r="L501" s="139"/>
      <c r="M501" s="139"/>
      <c r="N501" s="139"/>
      <c r="O501" s="65"/>
      <c r="P501" s="67"/>
    </row>
    <row r="502" ht="15.75" customHeight="1">
      <c r="A502" s="65"/>
      <c r="B502" s="65"/>
      <c r="C502" s="190"/>
      <c r="D502" s="191"/>
      <c r="E502" s="65"/>
      <c r="F502" s="65"/>
      <c r="G502" s="65"/>
      <c r="H502" s="65"/>
      <c r="I502" s="139"/>
      <c r="J502" s="139"/>
      <c r="K502" s="139"/>
      <c r="L502" s="139"/>
      <c r="M502" s="139"/>
      <c r="N502" s="139"/>
      <c r="O502" s="65"/>
      <c r="P502" s="67"/>
    </row>
    <row r="503" ht="15.75" customHeight="1">
      <c r="A503" s="65"/>
      <c r="B503" s="65"/>
      <c r="C503" s="190"/>
      <c r="D503" s="191"/>
      <c r="E503" s="65"/>
      <c r="F503" s="65"/>
      <c r="G503" s="65"/>
      <c r="H503" s="65"/>
      <c r="I503" s="139"/>
      <c r="J503" s="139"/>
      <c r="K503" s="139"/>
      <c r="L503" s="139"/>
      <c r="M503" s="139"/>
      <c r="N503" s="139"/>
      <c r="O503" s="65"/>
      <c r="P503" s="67"/>
    </row>
    <row r="504" ht="15.75" customHeight="1">
      <c r="A504" s="65"/>
      <c r="B504" s="65"/>
      <c r="C504" s="190"/>
      <c r="D504" s="191"/>
      <c r="E504" s="65"/>
      <c r="F504" s="65"/>
      <c r="G504" s="65"/>
      <c r="H504" s="65"/>
      <c r="I504" s="139"/>
      <c r="J504" s="139"/>
      <c r="K504" s="139"/>
      <c r="L504" s="139"/>
      <c r="M504" s="139"/>
      <c r="N504" s="139"/>
      <c r="O504" s="65"/>
      <c r="P504" s="67"/>
    </row>
    <row r="505" ht="15.75" customHeight="1">
      <c r="A505" s="65"/>
      <c r="B505" s="65"/>
      <c r="C505" s="190"/>
      <c r="D505" s="191"/>
      <c r="E505" s="65"/>
      <c r="F505" s="65"/>
      <c r="G505" s="65"/>
      <c r="H505" s="65"/>
      <c r="I505" s="139"/>
      <c r="J505" s="139"/>
      <c r="K505" s="139"/>
      <c r="L505" s="139"/>
      <c r="M505" s="139"/>
      <c r="N505" s="139"/>
      <c r="O505" s="65"/>
      <c r="P505" s="67"/>
    </row>
    <row r="506" ht="15.75" customHeight="1">
      <c r="A506" s="65"/>
      <c r="B506" s="65"/>
      <c r="C506" s="190"/>
      <c r="D506" s="191"/>
      <c r="E506" s="65"/>
      <c r="F506" s="65"/>
      <c r="G506" s="65"/>
      <c r="H506" s="65"/>
      <c r="I506" s="139"/>
      <c r="J506" s="139"/>
      <c r="K506" s="139"/>
      <c r="L506" s="139"/>
      <c r="M506" s="139"/>
      <c r="N506" s="139"/>
      <c r="O506" s="65"/>
      <c r="P506" s="67"/>
    </row>
    <row r="507" ht="15.75" customHeight="1">
      <c r="A507" s="65"/>
      <c r="B507" s="65"/>
      <c r="C507" s="190"/>
      <c r="D507" s="191"/>
      <c r="E507" s="65"/>
      <c r="F507" s="65"/>
      <c r="G507" s="65"/>
      <c r="H507" s="65"/>
      <c r="I507" s="139"/>
      <c r="J507" s="139"/>
      <c r="K507" s="139"/>
      <c r="L507" s="139"/>
      <c r="M507" s="139"/>
      <c r="N507" s="139"/>
      <c r="O507" s="65"/>
      <c r="P507" s="67"/>
    </row>
    <row r="508" ht="15.75" customHeight="1">
      <c r="A508" s="65"/>
      <c r="B508" s="65"/>
      <c r="C508" s="190"/>
      <c r="D508" s="191"/>
      <c r="E508" s="65"/>
      <c r="F508" s="65"/>
      <c r="G508" s="65"/>
      <c r="H508" s="65"/>
      <c r="I508" s="139"/>
      <c r="J508" s="139"/>
      <c r="K508" s="139"/>
      <c r="L508" s="139"/>
      <c r="M508" s="139"/>
      <c r="N508" s="139"/>
      <c r="O508" s="65"/>
      <c r="P508" s="67"/>
    </row>
    <row r="509" ht="15.75" customHeight="1">
      <c r="A509" s="65"/>
      <c r="B509" s="65"/>
      <c r="C509" s="190"/>
      <c r="D509" s="191"/>
      <c r="E509" s="65"/>
      <c r="F509" s="65"/>
      <c r="G509" s="65"/>
      <c r="H509" s="65"/>
      <c r="I509" s="139"/>
      <c r="J509" s="139"/>
      <c r="K509" s="139"/>
      <c r="L509" s="139"/>
      <c r="M509" s="139"/>
      <c r="N509" s="139"/>
      <c r="O509" s="65"/>
      <c r="P509" s="67"/>
    </row>
    <row r="510" ht="15.75" customHeight="1">
      <c r="A510" s="65"/>
      <c r="B510" s="65"/>
      <c r="C510" s="190"/>
      <c r="D510" s="191"/>
      <c r="E510" s="65"/>
      <c r="F510" s="65"/>
      <c r="G510" s="65"/>
      <c r="H510" s="65"/>
      <c r="I510" s="139"/>
      <c r="J510" s="139"/>
      <c r="K510" s="139"/>
      <c r="L510" s="139"/>
      <c r="M510" s="139"/>
      <c r="N510" s="139"/>
      <c r="O510" s="65"/>
      <c r="P510" s="67"/>
    </row>
    <row r="511" ht="15.75" customHeight="1">
      <c r="A511" s="65"/>
      <c r="B511" s="65"/>
      <c r="C511" s="190"/>
      <c r="D511" s="191"/>
      <c r="E511" s="65"/>
      <c r="F511" s="65"/>
      <c r="G511" s="65"/>
      <c r="H511" s="65"/>
      <c r="I511" s="139"/>
      <c r="J511" s="139"/>
      <c r="K511" s="139"/>
      <c r="L511" s="139"/>
      <c r="M511" s="139"/>
      <c r="N511" s="139"/>
      <c r="O511" s="65"/>
      <c r="P511" s="67"/>
    </row>
    <row r="512" ht="15.75" customHeight="1">
      <c r="A512" s="65"/>
      <c r="B512" s="65"/>
      <c r="C512" s="190"/>
      <c r="D512" s="191"/>
      <c r="E512" s="65"/>
      <c r="F512" s="65"/>
      <c r="G512" s="65"/>
      <c r="H512" s="65"/>
      <c r="I512" s="139"/>
      <c r="J512" s="139"/>
      <c r="K512" s="139"/>
      <c r="L512" s="139"/>
      <c r="M512" s="139"/>
      <c r="N512" s="139"/>
      <c r="O512" s="65"/>
      <c r="P512" s="67"/>
    </row>
    <row r="513" ht="15.75" customHeight="1">
      <c r="A513" s="65"/>
      <c r="B513" s="65"/>
      <c r="C513" s="190"/>
      <c r="D513" s="191"/>
      <c r="E513" s="65"/>
      <c r="F513" s="65"/>
      <c r="G513" s="65"/>
      <c r="H513" s="65"/>
      <c r="I513" s="139"/>
      <c r="J513" s="139"/>
      <c r="K513" s="139"/>
      <c r="L513" s="139"/>
      <c r="M513" s="139"/>
      <c r="N513" s="139"/>
      <c r="O513" s="65"/>
      <c r="P513" s="67"/>
    </row>
    <row r="514" ht="15.75" customHeight="1">
      <c r="A514" s="65"/>
      <c r="B514" s="65"/>
      <c r="C514" s="190"/>
      <c r="D514" s="191"/>
      <c r="E514" s="65"/>
      <c r="F514" s="65"/>
      <c r="G514" s="65"/>
      <c r="H514" s="65"/>
      <c r="I514" s="139"/>
      <c r="J514" s="139"/>
      <c r="K514" s="139"/>
      <c r="L514" s="139"/>
      <c r="M514" s="139"/>
      <c r="N514" s="139"/>
      <c r="O514" s="65"/>
      <c r="P514" s="67"/>
    </row>
    <row r="515" ht="15.75" customHeight="1">
      <c r="A515" s="65"/>
      <c r="B515" s="65"/>
      <c r="C515" s="190"/>
      <c r="D515" s="191"/>
      <c r="E515" s="65"/>
      <c r="F515" s="65"/>
      <c r="G515" s="65"/>
      <c r="H515" s="65"/>
      <c r="I515" s="139"/>
      <c r="J515" s="139"/>
      <c r="K515" s="139"/>
      <c r="L515" s="139"/>
      <c r="M515" s="139"/>
      <c r="N515" s="139"/>
      <c r="O515" s="65"/>
      <c r="P515" s="67"/>
    </row>
    <row r="516" ht="15.75" customHeight="1">
      <c r="A516" s="65"/>
      <c r="B516" s="65"/>
      <c r="C516" s="190"/>
      <c r="D516" s="191"/>
      <c r="E516" s="65"/>
      <c r="F516" s="65"/>
      <c r="G516" s="65"/>
      <c r="H516" s="65"/>
      <c r="I516" s="139"/>
      <c r="J516" s="139"/>
      <c r="K516" s="139"/>
      <c r="L516" s="139"/>
      <c r="M516" s="139"/>
      <c r="N516" s="139"/>
      <c r="O516" s="65"/>
      <c r="P516" s="67"/>
    </row>
    <row r="517" ht="15.75" customHeight="1">
      <c r="A517" s="65"/>
      <c r="B517" s="65"/>
      <c r="C517" s="190"/>
      <c r="D517" s="191"/>
      <c r="E517" s="65"/>
      <c r="F517" s="65"/>
      <c r="G517" s="65"/>
      <c r="H517" s="65"/>
      <c r="I517" s="139"/>
      <c r="J517" s="139"/>
      <c r="K517" s="139"/>
      <c r="L517" s="139"/>
      <c r="M517" s="139"/>
      <c r="N517" s="139"/>
      <c r="O517" s="65"/>
      <c r="P517" s="67"/>
    </row>
    <row r="518" ht="15.75" customHeight="1">
      <c r="A518" s="65"/>
      <c r="B518" s="65"/>
      <c r="C518" s="190"/>
      <c r="D518" s="191"/>
      <c r="E518" s="65"/>
      <c r="F518" s="65"/>
      <c r="G518" s="65"/>
      <c r="H518" s="65"/>
      <c r="I518" s="139"/>
      <c r="J518" s="139"/>
      <c r="K518" s="139"/>
      <c r="L518" s="139"/>
      <c r="M518" s="139"/>
      <c r="N518" s="139"/>
      <c r="O518" s="65"/>
      <c r="P518" s="67"/>
    </row>
    <row r="519" ht="15.75" customHeight="1">
      <c r="A519" s="65"/>
      <c r="B519" s="65"/>
      <c r="C519" s="190"/>
      <c r="D519" s="191"/>
      <c r="E519" s="65"/>
      <c r="F519" s="65"/>
      <c r="G519" s="65"/>
      <c r="H519" s="65"/>
      <c r="I519" s="139"/>
      <c r="J519" s="139"/>
      <c r="K519" s="139"/>
      <c r="L519" s="139"/>
      <c r="M519" s="139"/>
      <c r="N519" s="139"/>
      <c r="O519" s="65"/>
      <c r="P519" s="67"/>
    </row>
    <row r="520" ht="15.75" customHeight="1">
      <c r="A520" s="65"/>
      <c r="B520" s="65"/>
      <c r="C520" s="190"/>
      <c r="D520" s="191"/>
      <c r="E520" s="65"/>
      <c r="F520" s="65"/>
      <c r="G520" s="65"/>
      <c r="H520" s="65"/>
      <c r="I520" s="139"/>
      <c r="J520" s="139"/>
      <c r="K520" s="139"/>
      <c r="L520" s="139"/>
      <c r="M520" s="139"/>
      <c r="N520" s="139"/>
      <c r="O520" s="65"/>
      <c r="P520" s="67"/>
    </row>
    <row r="521" ht="15.75" customHeight="1">
      <c r="A521" s="65"/>
      <c r="B521" s="65"/>
      <c r="C521" s="190"/>
      <c r="D521" s="191"/>
      <c r="E521" s="65"/>
      <c r="F521" s="65"/>
      <c r="G521" s="65"/>
      <c r="H521" s="65"/>
      <c r="I521" s="139"/>
      <c r="J521" s="139"/>
      <c r="K521" s="139"/>
      <c r="L521" s="139"/>
      <c r="M521" s="139"/>
      <c r="N521" s="139"/>
      <c r="O521" s="65"/>
      <c r="P521" s="67"/>
    </row>
    <row r="522" ht="15.75" customHeight="1">
      <c r="A522" s="65"/>
      <c r="B522" s="65"/>
      <c r="C522" s="190"/>
      <c r="D522" s="191"/>
      <c r="E522" s="65"/>
      <c r="F522" s="65"/>
      <c r="G522" s="65"/>
      <c r="H522" s="65"/>
      <c r="I522" s="139"/>
      <c r="J522" s="139"/>
      <c r="K522" s="139"/>
      <c r="L522" s="139"/>
      <c r="M522" s="139"/>
      <c r="N522" s="139"/>
      <c r="O522" s="65"/>
      <c r="P522" s="67"/>
    </row>
    <row r="523" ht="15.75" customHeight="1">
      <c r="A523" s="65"/>
      <c r="B523" s="65"/>
      <c r="C523" s="190"/>
      <c r="D523" s="191"/>
      <c r="E523" s="65"/>
      <c r="F523" s="65"/>
      <c r="G523" s="65"/>
      <c r="H523" s="65"/>
      <c r="I523" s="139"/>
      <c r="J523" s="139"/>
      <c r="K523" s="139"/>
      <c r="L523" s="139"/>
      <c r="M523" s="139"/>
      <c r="N523" s="139"/>
      <c r="O523" s="65"/>
      <c r="P523" s="67"/>
    </row>
    <row r="524" ht="15.75" customHeight="1">
      <c r="A524" s="65"/>
      <c r="B524" s="65"/>
      <c r="C524" s="190"/>
      <c r="D524" s="191"/>
      <c r="E524" s="65"/>
      <c r="F524" s="65"/>
      <c r="G524" s="65"/>
      <c r="H524" s="65"/>
      <c r="I524" s="139"/>
      <c r="J524" s="139"/>
      <c r="K524" s="139"/>
      <c r="L524" s="139"/>
      <c r="M524" s="139"/>
      <c r="N524" s="139"/>
      <c r="O524" s="65"/>
      <c r="P524" s="67"/>
    </row>
    <row r="525" ht="15.75" customHeight="1">
      <c r="A525" s="65"/>
      <c r="B525" s="65"/>
      <c r="C525" s="190"/>
      <c r="D525" s="191"/>
      <c r="E525" s="65"/>
      <c r="F525" s="65"/>
      <c r="G525" s="65"/>
      <c r="H525" s="65"/>
      <c r="I525" s="139"/>
      <c r="J525" s="139"/>
      <c r="K525" s="139"/>
      <c r="L525" s="139"/>
      <c r="M525" s="139"/>
      <c r="N525" s="139"/>
      <c r="O525" s="65"/>
      <c r="P525" s="67"/>
    </row>
    <row r="526" ht="15.75" customHeight="1">
      <c r="A526" s="65"/>
      <c r="B526" s="65"/>
      <c r="C526" s="190"/>
      <c r="D526" s="191"/>
      <c r="E526" s="65"/>
      <c r="F526" s="65"/>
      <c r="G526" s="65"/>
      <c r="H526" s="65"/>
      <c r="I526" s="139"/>
      <c r="J526" s="139"/>
      <c r="K526" s="139"/>
      <c r="L526" s="139"/>
      <c r="M526" s="139"/>
      <c r="N526" s="139"/>
      <c r="O526" s="65"/>
      <c r="P526" s="67"/>
    </row>
    <row r="527" ht="15.75" customHeight="1">
      <c r="A527" s="65"/>
      <c r="B527" s="65"/>
      <c r="C527" s="190"/>
      <c r="D527" s="191"/>
      <c r="E527" s="65"/>
      <c r="F527" s="65"/>
      <c r="G527" s="65"/>
      <c r="H527" s="65"/>
      <c r="I527" s="139"/>
      <c r="J527" s="139"/>
      <c r="K527" s="139"/>
      <c r="L527" s="139"/>
      <c r="M527" s="139"/>
      <c r="N527" s="139"/>
      <c r="O527" s="65"/>
      <c r="P527" s="67"/>
    </row>
    <row r="528" ht="15.75" customHeight="1">
      <c r="A528" s="65"/>
      <c r="B528" s="65"/>
      <c r="C528" s="190"/>
      <c r="D528" s="191"/>
      <c r="E528" s="65"/>
      <c r="F528" s="65"/>
      <c r="G528" s="65"/>
      <c r="H528" s="65"/>
      <c r="I528" s="139"/>
      <c r="J528" s="139"/>
      <c r="K528" s="139"/>
      <c r="L528" s="139"/>
      <c r="M528" s="139"/>
      <c r="N528" s="139"/>
      <c r="O528" s="65"/>
      <c r="P528" s="67"/>
    </row>
    <row r="529" ht="15.75" customHeight="1">
      <c r="A529" s="65"/>
      <c r="B529" s="65"/>
      <c r="C529" s="190"/>
      <c r="D529" s="191"/>
      <c r="E529" s="65"/>
      <c r="F529" s="65"/>
      <c r="G529" s="65"/>
      <c r="H529" s="65"/>
      <c r="I529" s="139"/>
      <c r="J529" s="139"/>
      <c r="K529" s="139"/>
      <c r="L529" s="139"/>
      <c r="M529" s="139"/>
      <c r="N529" s="139"/>
      <c r="O529" s="65"/>
      <c r="P529" s="67"/>
    </row>
    <row r="530" ht="15.75" customHeight="1">
      <c r="A530" s="65"/>
      <c r="B530" s="65"/>
      <c r="C530" s="190"/>
      <c r="D530" s="191"/>
      <c r="E530" s="65"/>
      <c r="F530" s="65"/>
      <c r="G530" s="65"/>
      <c r="H530" s="65"/>
      <c r="I530" s="139"/>
      <c r="J530" s="139"/>
      <c r="K530" s="139"/>
      <c r="L530" s="139"/>
      <c r="M530" s="139"/>
      <c r="N530" s="139"/>
      <c r="O530" s="65"/>
      <c r="P530" s="67"/>
    </row>
    <row r="531" ht="15.75" customHeight="1">
      <c r="A531" s="65"/>
      <c r="B531" s="65"/>
      <c r="C531" s="190"/>
      <c r="D531" s="191"/>
      <c r="E531" s="65"/>
      <c r="F531" s="65"/>
      <c r="G531" s="65"/>
      <c r="H531" s="65"/>
      <c r="I531" s="139"/>
      <c r="J531" s="139"/>
      <c r="K531" s="139"/>
      <c r="L531" s="139"/>
      <c r="M531" s="139"/>
      <c r="N531" s="139"/>
      <c r="O531" s="65"/>
      <c r="P531" s="67"/>
    </row>
    <row r="532" ht="15.75" customHeight="1">
      <c r="A532" s="65"/>
      <c r="B532" s="65"/>
      <c r="C532" s="190"/>
      <c r="D532" s="191"/>
      <c r="E532" s="65"/>
      <c r="F532" s="65"/>
      <c r="G532" s="65"/>
      <c r="H532" s="65"/>
      <c r="I532" s="139"/>
      <c r="J532" s="139"/>
      <c r="K532" s="139"/>
      <c r="L532" s="139"/>
      <c r="M532" s="139"/>
      <c r="N532" s="139"/>
      <c r="O532" s="65"/>
      <c r="P532" s="67"/>
    </row>
    <row r="533" ht="15.75" customHeight="1">
      <c r="A533" s="65"/>
      <c r="B533" s="65"/>
      <c r="C533" s="190"/>
      <c r="D533" s="191"/>
      <c r="E533" s="65"/>
      <c r="F533" s="65"/>
      <c r="G533" s="65"/>
      <c r="H533" s="65"/>
      <c r="I533" s="139"/>
      <c r="J533" s="139"/>
      <c r="K533" s="139"/>
      <c r="L533" s="139"/>
      <c r="M533" s="139"/>
      <c r="N533" s="139"/>
      <c r="O533" s="65"/>
      <c r="P533" s="67"/>
    </row>
    <row r="534" ht="15.75" customHeight="1">
      <c r="A534" s="65"/>
      <c r="B534" s="65"/>
      <c r="C534" s="190"/>
      <c r="D534" s="191"/>
      <c r="E534" s="65"/>
      <c r="F534" s="65"/>
      <c r="G534" s="65"/>
      <c r="H534" s="65"/>
      <c r="I534" s="139"/>
      <c r="J534" s="139"/>
      <c r="K534" s="139"/>
      <c r="L534" s="139"/>
      <c r="M534" s="139"/>
      <c r="N534" s="139"/>
      <c r="O534" s="65"/>
      <c r="P534" s="67"/>
    </row>
    <row r="535" ht="15.75" customHeight="1">
      <c r="A535" s="65"/>
      <c r="B535" s="65"/>
      <c r="C535" s="190"/>
      <c r="D535" s="191"/>
      <c r="E535" s="65"/>
      <c r="F535" s="65"/>
      <c r="G535" s="65"/>
      <c r="H535" s="65"/>
      <c r="I535" s="139"/>
      <c r="J535" s="139"/>
      <c r="K535" s="139"/>
      <c r="L535" s="139"/>
      <c r="M535" s="139"/>
      <c r="N535" s="139"/>
      <c r="O535" s="65"/>
      <c r="P535" s="67"/>
    </row>
    <row r="536" ht="15.75" customHeight="1">
      <c r="A536" s="65"/>
      <c r="B536" s="65"/>
      <c r="C536" s="190"/>
      <c r="D536" s="191"/>
      <c r="E536" s="65"/>
      <c r="F536" s="65"/>
      <c r="G536" s="65"/>
      <c r="H536" s="65"/>
      <c r="I536" s="139"/>
      <c r="J536" s="139"/>
      <c r="K536" s="139"/>
      <c r="L536" s="139"/>
      <c r="M536" s="139"/>
      <c r="N536" s="139"/>
      <c r="O536" s="65"/>
      <c r="P536" s="67"/>
    </row>
    <row r="537" ht="15.75" customHeight="1">
      <c r="A537" s="65"/>
      <c r="B537" s="65"/>
      <c r="C537" s="190"/>
      <c r="D537" s="191"/>
      <c r="E537" s="65"/>
      <c r="F537" s="65"/>
      <c r="G537" s="65"/>
      <c r="H537" s="65"/>
      <c r="I537" s="139"/>
      <c r="J537" s="139"/>
      <c r="K537" s="139"/>
      <c r="L537" s="139"/>
      <c r="M537" s="139"/>
      <c r="N537" s="139"/>
      <c r="O537" s="65"/>
      <c r="P537" s="67"/>
    </row>
    <row r="538" ht="15.75" customHeight="1">
      <c r="A538" s="65"/>
      <c r="B538" s="65"/>
      <c r="C538" s="190"/>
      <c r="D538" s="191"/>
      <c r="E538" s="65"/>
      <c r="F538" s="65"/>
      <c r="G538" s="65"/>
      <c r="H538" s="65"/>
      <c r="I538" s="139"/>
      <c r="J538" s="139"/>
      <c r="K538" s="139"/>
      <c r="L538" s="139"/>
      <c r="M538" s="139"/>
      <c r="N538" s="139"/>
      <c r="O538" s="65"/>
      <c r="P538" s="67"/>
    </row>
    <row r="539" ht="15.75" customHeight="1">
      <c r="A539" s="65"/>
      <c r="B539" s="65"/>
      <c r="C539" s="190"/>
      <c r="D539" s="191"/>
      <c r="E539" s="65"/>
      <c r="F539" s="65"/>
      <c r="G539" s="65"/>
      <c r="H539" s="65"/>
      <c r="I539" s="139"/>
      <c r="J539" s="139"/>
      <c r="K539" s="139"/>
      <c r="L539" s="139"/>
      <c r="M539" s="139"/>
      <c r="N539" s="139"/>
      <c r="O539" s="65"/>
      <c r="P539" s="67"/>
    </row>
    <row r="540" ht="15.75" customHeight="1">
      <c r="A540" s="65"/>
      <c r="B540" s="65"/>
      <c r="C540" s="190"/>
      <c r="D540" s="191"/>
      <c r="E540" s="65"/>
      <c r="F540" s="65"/>
      <c r="G540" s="65"/>
      <c r="H540" s="65"/>
      <c r="I540" s="139"/>
      <c r="J540" s="139"/>
      <c r="K540" s="139"/>
      <c r="L540" s="139"/>
      <c r="M540" s="139"/>
      <c r="N540" s="139"/>
      <c r="O540" s="65"/>
      <c r="P540" s="67"/>
    </row>
    <row r="541" ht="15.75" customHeight="1">
      <c r="A541" s="65"/>
      <c r="B541" s="65"/>
      <c r="C541" s="190"/>
      <c r="D541" s="191"/>
      <c r="E541" s="65"/>
      <c r="F541" s="65"/>
      <c r="G541" s="65"/>
      <c r="H541" s="65"/>
      <c r="I541" s="139"/>
      <c r="J541" s="139"/>
      <c r="K541" s="139"/>
      <c r="L541" s="139"/>
      <c r="M541" s="139"/>
      <c r="N541" s="139"/>
      <c r="O541" s="65"/>
      <c r="P541" s="67"/>
    </row>
    <row r="542" ht="15.75" customHeight="1">
      <c r="A542" s="65"/>
      <c r="B542" s="65"/>
      <c r="C542" s="190"/>
      <c r="D542" s="191"/>
      <c r="E542" s="65"/>
      <c r="F542" s="65"/>
      <c r="G542" s="65"/>
      <c r="H542" s="65"/>
      <c r="I542" s="139"/>
      <c r="J542" s="139"/>
      <c r="K542" s="139"/>
      <c r="L542" s="139"/>
      <c r="M542" s="139"/>
      <c r="N542" s="139"/>
      <c r="O542" s="65"/>
      <c r="P542" s="67"/>
    </row>
    <row r="543" ht="15.75" customHeight="1">
      <c r="A543" s="65"/>
      <c r="B543" s="65"/>
      <c r="C543" s="190"/>
      <c r="D543" s="191"/>
      <c r="E543" s="65"/>
      <c r="F543" s="65"/>
      <c r="G543" s="65"/>
      <c r="H543" s="65"/>
      <c r="I543" s="139"/>
      <c r="J543" s="139"/>
      <c r="K543" s="139"/>
      <c r="L543" s="139"/>
      <c r="M543" s="139"/>
      <c r="N543" s="139"/>
      <c r="O543" s="65"/>
      <c r="P543" s="67"/>
    </row>
    <row r="544" ht="15.75" customHeight="1">
      <c r="A544" s="65"/>
      <c r="B544" s="65"/>
      <c r="C544" s="190"/>
      <c r="D544" s="191"/>
      <c r="E544" s="65"/>
      <c r="F544" s="65"/>
      <c r="G544" s="65"/>
      <c r="H544" s="65"/>
      <c r="I544" s="139"/>
      <c r="J544" s="139"/>
      <c r="K544" s="139"/>
      <c r="L544" s="139"/>
      <c r="M544" s="139"/>
      <c r="N544" s="139"/>
      <c r="O544" s="65"/>
      <c r="P544" s="67"/>
    </row>
    <row r="545" ht="15.75" customHeight="1">
      <c r="A545" s="65"/>
      <c r="B545" s="65"/>
      <c r="C545" s="190"/>
      <c r="D545" s="191"/>
      <c r="E545" s="65"/>
      <c r="F545" s="65"/>
      <c r="G545" s="65"/>
      <c r="H545" s="65"/>
      <c r="I545" s="139"/>
      <c r="J545" s="139"/>
      <c r="K545" s="139"/>
      <c r="L545" s="139"/>
      <c r="M545" s="139"/>
      <c r="N545" s="139"/>
      <c r="O545" s="65"/>
      <c r="P545" s="67"/>
    </row>
    <row r="546" ht="15.75" customHeight="1">
      <c r="A546" s="65"/>
      <c r="B546" s="65"/>
      <c r="C546" s="190"/>
      <c r="D546" s="191"/>
      <c r="E546" s="65"/>
      <c r="F546" s="65"/>
      <c r="G546" s="65"/>
      <c r="H546" s="65"/>
      <c r="I546" s="139"/>
      <c r="J546" s="139"/>
      <c r="K546" s="139"/>
      <c r="L546" s="139"/>
      <c r="M546" s="139"/>
      <c r="N546" s="139"/>
      <c r="O546" s="65"/>
      <c r="P546" s="67"/>
    </row>
    <row r="547" ht="15.75" customHeight="1">
      <c r="A547" s="65"/>
      <c r="B547" s="65"/>
      <c r="C547" s="190"/>
      <c r="D547" s="191"/>
      <c r="E547" s="65"/>
      <c r="F547" s="65"/>
      <c r="G547" s="65"/>
      <c r="H547" s="65"/>
      <c r="I547" s="139"/>
      <c r="J547" s="139"/>
      <c r="K547" s="139"/>
      <c r="L547" s="139"/>
      <c r="M547" s="139"/>
      <c r="N547" s="139"/>
      <c r="O547" s="65"/>
      <c r="P547" s="67"/>
    </row>
    <row r="548" ht="15.75" customHeight="1">
      <c r="A548" s="65"/>
      <c r="B548" s="65"/>
      <c r="C548" s="190"/>
      <c r="D548" s="191"/>
      <c r="E548" s="65"/>
      <c r="F548" s="65"/>
      <c r="G548" s="65"/>
      <c r="H548" s="65"/>
      <c r="I548" s="139"/>
      <c r="J548" s="139"/>
      <c r="K548" s="139"/>
      <c r="L548" s="139"/>
      <c r="M548" s="139"/>
      <c r="N548" s="139"/>
      <c r="O548" s="65"/>
      <c r="P548" s="67"/>
    </row>
    <row r="549" ht="15.75" customHeight="1">
      <c r="A549" s="65"/>
      <c r="B549" s="65"/>
      <c r="C549" s="190"/>
      <c r="D549" s="191"/>
      <c r="E549" s="65"/>
      <c r="F549" s="65"/>
      <c r="G549" s="65"/>
      <c r="H549" s="65"/>
      <c r="I549" s="139"/>
      <c r="J549" s="139"/>
      <c r="K549" s="139"/>
      <c r="L549" s="139"/>
      <c r="M549" s="139"/>
      <c r="N549" s="139"/>
      <c r="O549" s="65"/>
      <c r="P549" s="67"/>
    </row>
    <row r="550" ht="15.75" customHeight="1">
      <c r="A550" s="65"/>
      <c r="B550" s="65"/>
      <c r="C550" s="190"/>
      <c r="D550" s="191"/>
      <c r="E550" s="65"/>
      <c r="F550" s="65"/>
      <c r="G550" s="65"/>
      <c r="H550" s="65"/>
      <c r="I550" s="139"/>
      <c r="J550" s="139"/>
      <c r="K550" s="139"/>
      <c r="L550" s="139"/>
      <c r="M550" s="139"/>
      <c r="N550" s="139"/>
      <c r="O550" s="65"/>
      <c r="P550" s="67"/>
    </row>
    <row r="551" ht="15.75" customHeight="1">
      <c r="A551" s="65"/>
      <c r="B551" s="65"/>
      <c r="C551" s="190"/>
      <c r="D551" s="191"/>
      <c r="E551" s="65"/>
      <c r="F551" s="65"/>
      <c r="G551" s="65"/>
      <c r="H551" s="65"/>
      <c r="I551" s="139"/>
      <c r="J551" s="139"/>
      <c r="K551" s="139"/>
      <c r="L551" s="139"/>
      <c r="M551" s="139"/>
      <c r="N551" s="139"/>
      <c r="O551" s="65"/>
      <c r="P551" s="67"/>
    </row>
    <row r="552" ht="15.75" customHeight="1">
      <c r="A552" s="65"/>
      <c r="B552" s="65"/>
      <c r="C552" s="190"/>
      <c r="D552" s="191"/>
      <c r="E552" s="65"/>
      <c r="F552" s="65"/>
      <c r="G552" s="65"/>
      <c r="H552" s="65"/>
      <c r="I552" s="139"/>
      <c r="J552" s="139"/>
      <c r="K552" s="139"/>
      <c r="L552" s="139"/>
      <c r="M552" s="139"/>
      <c r="N552" s="139"/>
      <c r="O552" s="65"/>
      <c r="P552" s="67"/>
    </row>
    <row r="553" ht="15.75" customHeight="1">
      <c r="A553" s="65"/>
      <c r="B553" s="65"/>
      <c r="C553" s="190"/>
      <c r="D553" s="191"/>
      <c r="E553" s="65"/>
      <c r="F553" s="65"/>
      <c r="G553" s="65"/>
      <c r="H553" s="65"/>
      <c r="I553" s="139"/>
      <c r="J553" s="139"/>
      <c r="K553" s="139"/>
      <c r="L553" s="139"/>
      <c r="M553" s="139"/>
      <c r="N553" s="139"/>
      <c r="O553" s="65"/>
      <c r="P553" s="67"/>
    </row>
    <row r="554" ht="15.75" customHeight="1">
      <c r="A554" s="65"/>
      <c r="B554" s="65"/>
      <c r="C554" s="190"/>
      <c r="D554" s="191"/>
      <c r="E554" s="65"/>
      <c r="F554" s="65"/>
      <c r="G554" s="65"/>
      <c r="H554" s="65"/>
      <c r="I554" s="139"/>
      <c r="J554" s="139"/>
      <c r="K554" s="139"/>
      <c r="L554" s="139"/>
      <c r="M554" s="139"/>
      <c r="N554" s="139"/>
      <c r="O554" s="65"/>
      <c r="P554" s="67"/>
    </row>
    <row r="555" ht="15.75" customHeight="1">
      <c r="A555" s="65"/>
      <c r="B555" s="65"/>
      <c r="C555" s="190"/>
      <c r="D555" s="191"/>
      <c r="E555" s="65"/>
      <c r="F555" s="65"/>
      <c r="G555" s="65"/>
      <c r="H555" s="65"/>
      <c r="I555" s="139"/>
      <c r="J555" s="139"/>
      <c r="K555" s="139"/>
      <c r="L555" s="139"/>
      <c r="M555" s="139"/>
      <c r="N555" s="139"/>
      <c r="O555" s="65"/>
      <c r="P555" s="67"/>
    </row>
    <row r="556" ht="15.75" customHeight="1">
      <c r="A556" s="65"/>
      <c r="B556" s="65"/>
      <c r="C556" s="190"/>
      <c r="D556" s="191"/>
      <c r="E556" s="65"/>
      <c r="F556" s="65"/>
      <c r="G556" s="65"/>
      <c r="H556" s="65"/>
      <c r="I556" s="139"/>
      <c r="J556" s="139"/>
      <c r="K556" s="139"/>
      <c r="L556" s="139"/>
      <c r="M556" s="139"/>
      <c r="N556" s="139"/>
      <c r="O556" s="65"/>
      <c r="P556" s="67"/>
    </row>
    <row r="557" ht="15.75" customHeight="1">
      <c r="A557" s="65"/>
      <c r="B557" s="65"/>
      <c r="C557" s="190"/>
      <c r="D557" s="191"/>
      <c r="E557" s="65"/>
      <c r="F557" s="65"/>
      <c r="G557" s="65"/>
      <c r="H557" s="65"/>
      <c r="I557" s="139"/>
      <c r="J557" s="139"/>
      <c r="K557" s="139"/>
      <c r="L557" s="139"/>
      <c r="M557" s="139"/>
      <c r="N557" s="139"/>
      <c r="O557" s="65"/>
      <c r="P557" s="67"/>
    </row>
    <row r="558" ht="15.75" customHeight="1">
      <c r="A558" s="65"/>
      <c r="B558" s="65"/>
      <c r="C558" s="190"/>
      <c r="D558" s="191"/>
      <c r="E558" s="65"/>
      <c r="F558" s="65"/>
      <c r="G558" s="65"/>
      <c r="H558" s="65"/>
      <c r="I558" s="139"/>
      <c r="J558" s="139"/>
      <c r="K558" s="139"/>
      <c r="L558" s="139"/>
      <c r="M558" s="139"/>
      <c r="N558" s="139"/>
      <c r="O558" s="65"/>
      <c r="P558" s="67"/>
    </row>
    <row r="559" ht="15.75" customHeight="1">
      <c r="A559" s="65"/>
      <c r="B559" s="65"/>
      <c r="C559" s="190"/>
      <c r="D559" s="191"/>
      <c r="E559" s="65"/>
      <c r="F559" s="65"/>
      <c r="G559" s="65"/>
      <c r="H559" s="65"/>
      <c r="I559" s="139"/>
      <c r="J559" s="139"/>
      <c r="K559" s="139"/>
      <c r="L559" s="139"/>
      <c r="M559" s="139"/>
      <c r="N559" s="139"/>
      <c r="O559" s="65"/>
      <c r="P559" s="67"/>
    </row>
    <row r="560" ht="15.75" customHeight="1">
      <c r="A560" s="65"/>
      <c r="B560" s="65"/>
      <c r="C560" s="190"/>
      <c r="D560" s="191"/>
      <c r="E560" s="65"/>
      <c r="F560" s="65"/>
      <c r="G560" s="65"/>
      <c r="H560" s="65"/>
      <c r="I560" s="139"/>
      <c r="J560" s="139"/>
      <c r="K560" s="139"/>
      <c r="L560" s="139"/>
      <c r="M560" s="139"/>
      <c r="N560" s="139"/>
      <c r="O560" s="65"/>
      <c r="P560" s="67"/>
    </row>
    <row r="561" ht="15.75" customHeight="1">
      <c r="A561" s="65"/>
      <c r="B561" s="65"/>
      <c r="C561" s="190"/>
      <c r="D561" s="191"/>
      <c r="E561" s="65"/>
      <c r="F561" s="65"/>
      <c r="G561" s="65"/>
      <c r="H561" s="65"/>
      <c r="I561" s="139"/>
      <c r="J561" s="139"/>
      <c r="K561" s="139"/>
      <c r="L561" s="139"/>
      <c r="M561" s="139"/>
      <c r="N561" s="139"/>
      <c r="O561" s="65"/>
      <c r="P561" s="67"/>
    </row>
    <row r="562" ht="15.75" customHeight="1">
      <c r="A562" s="65"/>
      <c r="B562" s="65"/>
      <c r="C562" s="190"/>
      <c r="D562" s="191"/>
      <c r="E562" s="65"/>
      <c r="F562" s="65"/>
      <c r="G562" s="65"/>
      <c r="H562" s="65"/>
      <c r="I562" s="139"/>
      <c r="J562" s="139"/>
      <c r="K562" s="139"/>
      <c r="L562" s="139"/>
      <c r="M562" s="139"/>
      <c r="N562" s="139"/>
      <c r="O562" s="65"/>
      <c r="P562" s="67"/>
    </row>
    <row r="563" ht="15.75" customHeight="1">
      <c r="A563" s="65"/>
      <c r="B563" s="65"/>
      <c r="C563" s="190"/>
      <c r="D563" s="191"/>
      <c r="E563" s="65"/>
      <c r="F563" s="65"/>
      <c r="G563" s="65"/>
      <c r="H563" s="65"/>
      <c r="I563" s="139"/>
      <c r="J563" s="139"/>
      <c r="K563" s="139"/>
      <c r="L563" s="139"/>
      <c r="M563" s="139"/>
      <c r="N563" s="139"/>
      <c r="O563" s="65"/>
      <c r="P563" s="67"/>
    </row>
    <row r="564" ht="15.75" customHeight="1">
      <c r="A564" s="65"/>
      <c r="B564" s="65"/>
      <c r="C564" s="190"/>
      <c r="D564" s="191"/>
      <c r="E564" s="65"/>
      <c r="F564" s="65"/>
      <c r="G564" s="65"/>
      <c r="H564" s="65"/>
      <c r="I564" s="139"/>
      <c r="J564" s="139"/>
      <c r="K564" s="139"/>
      <c r="L564" s="139"/>
      <c r="M564" s="139"/>
      <c r="N564" s="139"/>
      <c r="O564" s="65"/>
      <c r="P564" s="67"/>
    </row>
    <row r="565" ht="15.75" customHeight="1">
      <c r="A565" s="65"/>
      <c r="B565" s="65"/>
      <c r="C565" s="190"/>
      <c r="D565" s="191"/>
      <c r="E565" s="65"/>
      <c r="F565" s="65"/>
      <c r="G565" s="65"/>
      <c r="H565" s="65"/>
      <c r="I565" s="139"/>
      <c r="J565" s="139"/>
      <c r="K565" s="139"/>
      <c r="L565" s="139"/>
      <c r="M565" s="139"/>
      <c r="N565" s="139"/>
      <c r="O565" s="65"/>
      <c r="P565" s="67"/>
    </row>
    <row r="566" ht="15.75" customHeight="1">
      <c r="A566" s="65"/>
      <c r="B566" s="65"/>
      <c r="C566" s="190"/>
      <c r="D566" s="191"/>
      <c r="E566" s="65"/>
      <c r="F566" s="65"/>
      <c r="G566" s="65"/>
      <c r="H566" s="65"/>
      <c r="I566" s="139"/>
      <c r="J566" s="139"/>
      <c r="K566" s="139"/>
      <c r="L566" s="139"/>
      <c r="M566" s="139"/>
      <c r="N566" s="139"/>
      <c r="O566" s="65"/>
      <c r="P566" s="67"/>
    </row>
    <row r="567" ht="15.75" customHeight="1">
      <c r="A567" s="65"/>
      <c r="B567" s="65"/>
      <c r="C567" s="190"/>
      <c r="D567" s="191"/>
      <c r="E567" s="65"/>
      <c r="F567" s="65"/>
      <c r="G567" s="65"/>
      <c r="H567" s="65"/>
      <c r="I567" s="139"/>
      <c r="J567" s="139"/>
      <c r="K567" s="139"/>
      <c r="L567" s="139"/>
      <c r="M567" s="139"/>
      <c r="N567" s="139"/>
      <c r="O567" s="65"/>
      <c r="P567" s="67"/>
    </row>
    <row r="568" ht="15.75" customHeight="1">
      <c r="A568" s="65"/>
      <c r="B568" s="65"/>
      <c r="C568" s="190"/>
      <c r="D568" s="191"/>
      <c r="E568" s="65"/>
      <c r="F568" s="65"/>
      <c r="G568" s="65"/>
      <c r="H568" s="65"/>
      <c r="I568" s="139"/>
      <c r="J568" s="139"/>
      <c r="K568" s="139"/>
      <c r="L568" s="139"/>
      <c r="M568" s="139"/>
      <c r="N568" s="139"/>
      <c r="O568" s="65"/>
      <c r="P568" s="67"/>
    </row>
    <row r="569" ht="15.75" customHeight="1">
      <c r="A569" s="65"/>
      <c r="B569" s="65"/>
      <c r="C569" s="190"/>
      <c r="D569" s="191"/>
      <c r="E569" s="65"/>
      <c r="F569" s="65"/>
      <c r="G569" s="65"/>
      <c r="H569" s="65"/>
      <c r="I569" s="139"/>
      <c r="J569" s="139"/>
      <c r="K569" s="139"/>
      <c r="L569" s="139"/>
      <c r="M569" s="139"/>
      <c r="N569" s="139"/>
      <c r="O569" s="65"/>
      <c r="P569" s="67"/>
    </row>
    <row r="570" ht="15.75" customHeight="1">
      <c r="A570" s="65"/>
      <c r="B570" s="65"/>
      <c r="C570" s="190"/>
      <c r="D570" s="191"/>
      <c r="E570" s="65"/>
      <c r="F570" s="65"/>
      <c r="G570" s="65"/>
      <c r="H570" s="65"/>
      <c r="I570" s="139"/>
      <c r="J570" s="139"/>
      <c r="K570" s="139"/>
      <c r="L570" s="139"/>
      <c r="M570" s="139"/>
      <c r="N570" s="139"/>
      <c r="O570" s="65"/>
      <c r="P570" s="67"/>
    </row>
    <row r="571" ht="15.75" customHeight="1">
      <c r="A571" s="65"/>
      <c r="B571" s="65"/>
      <c r="C571" s="190"/>
      <c r="D571" s="191"/>
      <c r="E571" s="65"/>
      <c r="F571" s="65"/>
      <c r="G571" s="65"/>
      <c r="H571" s="65"/>
      <c r="I571" s="139"/>
      <c r="J571" s="139"/>
      <c r="K571" s="139"/>
      <c r="L571" s="139"/>
      <c r="M571" s="139"/>
      <c r="N571" s="139"/>
      <c r="O571" s="65"/>
      <c r="P571" s="67"/>
    </row>
    <row r="572" ht="15.75" customHeight="1">
      <c r="A572" s="65"/>
      <c r="B572" s="65"/>
      <c r="C572" s="190"/>
      <c r="D572" s="191"/>
      <c r="E572" s="65"/>
      <c r="F572" s="65"/>
      <c r="G572" s="65"/>
      <c r="H572" s="65"/>
      <c r="I572" s="139"/>
      <c r="J572" s="139"/>
      <c r="K572" s="139"/>
      <c r="L572" s="139"/>
      <c r="M572" s="139"/>
      <c r="N572" s="139"/>
      <c r="O572" s="65"/>
      <c r="P572" s="67"/>
    </row>
    <row r="573" ht="15.75" customHeight="1">
      <c r="A573" s="65"/>
      <c r="B573" s="65"/>
      <c r="C573" s="190"/>
      <c r="D573" s="191"/>
      <c r="E573" s="65"/>
      <c r="F573" s="65"/>
      <c r="G573" s="65"/>
      <c r="H573" s="65"/>
      <c r="I573" s="139"/>
      <c r="J573" s="139"/>
      <c r="K573" s="139"/>
      <c r="L573" s="139"/>
      <c r="M573" s="139"/>
      <c r="N573" s="139"/>
      <c r="O573" s="65"/>
      <c r="P573" s="67"/>
    </row>
    <row r="574" ht="15.75" customHeight="1">
      <c r="A574" s="65"/>
      <c r="B574" s="65"/>
      <c r="C574" s="190"/>
      <c r="D574" s="191"/>
      <c r="E574" s="65"/>
      <c r="F574" s="65"/>
      <c r="G574" s="65"/>
      <c r="H574" s="65"/>
      <c r="I574" s="139"/>
      <c r="J574" s="139"/>
      <c r="K574" s="139"/>
      <c r="L574" s="139"/>
      <c r="M574" s="139"/>
      <c r="N574" s="139"/>
      <c r="O574" s="65"/>
      <c r="P574" s="67"/>
    </row>
    <row r="575" ht="15.75" customHeight="1">
      <c r="A575" s="65"/>
      <c r="B575" s="65"/>
      <c r="C575" s="190"/>
      <c r="D575" s="191"/>
      <c r="E575" s="65"/>
      <c r="F575" s="65"/>
      <c r="G575" s="65"/>
      <c r="H575" s="65"/>
      <c r="I575" s="139"/>
      <c r="J575" s="139"/>
      <c r="K575" s="139"/>
      <c r="L575" s="139"/>
      <c r="M575" s="139"/>
      <c r="N575" s="139"/>
      <c r="O575" s="65"/>
      <c r="P575" s="67"/>
    </row>
    <row r="576" ht="15.75" customHeight="1">
      <c r="A576" s="65"/>
      <c r="B576" s="65"/>
      <c r="C576" s="190"/>
      <c r="D576" s="191"/>
      <c r="E576" s="65"/>
      <c r="F576" s="65"/>
      <c r="G576" s="65"/>
      <c r="H576" s="65"/>
      <c r="I576" s="139"/>
      <c r="J576" s="139"/>
      <c r="K576" s="139"/>
      <c r="L576" s="139"/>
      <c r="M576" s="139"/>
      <c r="N576" s="139"/>
      <c r="O576" s="65"/>
      <c r="P576" s="67"/>
    </row>
    <row r="577" ht="15.75" customHeight="1">
      <c r="A577" s="65"/>
      <c r="B577" s="65"/>
      <c r="C577" s="190"/>
      <c r="D577" s="191"/>
      <c r="E577" s="65"/>
      <c r="F577" s="65"/>
      <c r="G577" s="65"/>
      <c r="H577" s="65"/>
      <c r="I577" s="139"/>
      <c r="J577" s="139"/>
      <c r="K577" s="139"/>
      <c r="L577" s="139"/>
      <c r="M577" s="139"/>
      <c r="N577" s="139"/>
      <c r="O577" s="65"/>
      <c r="P577" s="67"/>
    </row>
    <row r="578" ht="15.75" customHeight="1">
      <c r="A578" s="65"/>
      <c r="B578" s="65"/>
      <c r="C578" s="190"/>
      <c r="D578" s="191"/>
      <c r="E578" s="65"/>
      <c r="F578" s="65"/>
      <c r="G578" s="65"/>
      <c r="H578" s="65"/>
      <c r="I578" s="139"/>
      <c r="J578" s="139"/>
      <c r="K578" s="139"/>
      <c r="L578" s="139"/>
      <c r="M578" s="139"/>
      <c r="N578" s="139"/>
      <c r="O578" s="65"/>
      <c r="P578" s="67"/>
    </row>
    <row r="579" ht="15.75" customHeight="1">
      <c r="A579" s="65"/>
      <c r="B579" s="65"/>
      <c r="C579" s="190"/>
      <c r="D579" s="191"/>
      <c r="E579" s="65"/>
      <c r="F579" s="65"/>
      <c r="G579" s="65"/>
      <c r="H579" s="65"/>
      <c r="I579" s="139"/>
      <c r="J579" s="139"/>
      <c r="K579" s="139"/>
      <c r="L579" s="139"/>
      <c r="M579" s="139"/>
      <c r="N579" s="139"/>
      <c r="O579" s="65"/>
      <c r="P579" s="67"/>
    </row>
    <row r="580" ht="15.75" customHeight="1">
      <c r="A580" s="65"/>
      <c r="B580" s="65"/>
      <c r="C580" s="190"/>
      <c r="D580" s="191"/>
      <c r="E580" s="65"/>
      <c r="F580" s="65"/>
      <c r="G580" s="65"/>
      <c r="H580" s="65"/>
      <c r="I580" s="139"/>
      <c r="J580" s="139"/>
      <c r="K580" s="139"/>
      <c r="L580" s="139"/>
      <c r="M580" s="139"/>
      <c r="N580" s="139"/>
      <c r="O580" s="65"/>
      <c r="P580" s="67"/>
    </row>
    <row r="581" ht="15.75" customHeight="1">
      <c r="A581" s="65"/>
      <c r="B581" s="65"/>
      <c r="C581" s="190"/>
      <c r="D581" s="191"/>
      <c r="E581" s="65"/>
      <c r="F581" s="65"/>
      <c r="G581" s="65"/>
      <c r="H581" s="65"/>
      <c r="I581" s="139"/>
      <c r="J581" s="139"/>
      <c r="K581" s="139"/>
      <c r="L581" s="139"/>
      <c r="M581" s="139"/>
      <c r="N581" s="139"/>
      <c r="O581" s="65"/>
      <c r="P581" s="67"/>
    </row>
    <row r="582" ht="15.75" customHeight="1">
      <c r="A582" s="65"/>
      <c r="B582" s="65"/>
      <c r="C582" s="190"/>
      <c r="D582" s="191"/>
      <c r="E582" s="65"/>
      <c r="F582" s="65"/>
      <c r="G582" s="65"/>
      <c r="H582" s="65"/>
      <c r="I582" s="139"/>
      <c r="J582" s="139"/>
      <c r="K582" s="139"/>
      <c r="L582" s="139"/>
      <c r="M582" s="139"/>
      <c r="N582" s="139"/>
      <c r="O582" s="65"/>
      <c r="P582" s="67"/>
    </row>
    <row r="583" ht="15.75" customHeight="1">
      <c r="A583" s="65"/>
      <c r="B583" s="65"/>
      <c r="C583" s="190"/>
      <c r="D583" s="191"/>
      <c r="E583" s="65"/>
      <c r="F583" s="65"/>
      <c r="G583" s="65"/>
      <c r="H583" s="65"/>
      <c r="I583" s="139"/>
      <c r="J583" s="139"/>
      <c r="K583" s="139"/>
      <c r="L583" s="139"/>
      <c r="M583" s="139"/>
      <c r="N583" s="139"/>
      <c r="O583" s="65"/>
      <c r="P583" s="67"/>
    </row>
    <row r="584" ht="15.75" customHeight="1">
      <c r="A584" s="65"/>
      <c r="B584" s="65"/>
      <c r="C584" s="190"/>
      <c r="D584" s="191"/>
      <c r="E584" s="65"/>
      <c r="F584" s="65"/>
      <c r="G584" s="65"/>
      <c r="H584" s="65"/>
      <c r="I584" s="139"/>
      <c r="J584" s="139"/>
      <c r="K584" s="139"/>
      <c r="L584" s="139"/>
      <c r="M584" s="139"/>
      <c r="N584" s="139"/>
      <c r="O584" s="65"/>
      <c r="P584" s="67"/>
    </row>
    <row r="585" ht="15.75" customHeight="1">
      <c r="A585" s="65"/>
      <c r="B585" s="65"/>
      <c r="C585" s="190"/>
      <c r="D585" s="191"/>
      <c r="E585" s="65"/>
      <c r="F585" s="65"/>
      <c r="G585" s="65"/>
      <c r="H585" s="65"/>
      <c r="I585" s="139"/>
      <c r="J585" s="139"/>
      <c r="K585" s="139"/>
      <c r="L585" s="139"/>
      <c r="M585" s="139"/>
      <c r="N585" s="139"/>
      <c r="O585" s="65"/>
      <c r="P585" s="67"/>
    </row>
    <row r="586" ht="15.75" customHeight="1">
      <c r="A586" s="65"/>
      <c r="B586" s="65"/>
      <c r="C586" s="190"/>
      <c r="D586" s="191"/>
      <c r="E586" s="65"/>
      <c r="F586" s="65"/>
      <c r="G586" s="65"/>
      <c r="H586" s="65"/>
      <c r="I586" s="139"/>
      <c r="J586" s="139"/>
      <c r="K586" s="139"/>
      <c r="L586" s="139"/>
      <c r="M586" s="139"/>
      <c r="N586" s="139"/>
      <c r="O586" s="65"/>
      <c r="P586" s="67"/>
    </row>
    <row r="587" ht="15.75" customHeight="1">
      <c r="A587" s="65"/>
      <c r="B587" s="65"/>
      <c r="C587" s="190"/>
      <c r="D587" s="191"/>
      <c r="E587" s="65"/>
      <c r="F587" s="65"/>
      <c r="G587" s="65"/>
      <c r="H587" s="65"/>
      <c r="I587" s="139"/>
      <c r="J587" s="139"/>
      <c r="K587" s="139"/>
      <c r="L587" s="139"/>
      <c r="M587" s="139"/>
      <c r="N587" s="139"/>
      <c r="O587" s="65"/>
      <c r="P587" s="67"/>
    </row>
    <row r="588" ht="15.75" customHeight="1">
      <c r="A588" s="65"/>
      <c r="B588" s="65"/>
      <c r="C588" s="190"/>
      <c r="D588" s="191"/>
      <c r="E588" s="65"/>
      <c r="F588" s="65"/>
      <c r="G588" s="65"/>
      <c r="H588" s="65"/>
      <c r="I588" s="139"/>
      <c r="J588" s="139"/>
      <c r="K588" s="139"/>
      <c r="L588" s="139"/>
      <c r="M588" s="139"/>
      <c r="N588" s="139"/>
      <c r="O588" s="65"/>
      <c r="P588" s="67"/>
    </row>
    <row r="589" ht="15.75" customHeight="1">
      <c r="A589" s="65"/>
      <c r="B589" s="65"/>
      <c r="C589" s="190"/>
      <c r="D589" s="191"/>
      <c r="E589" s="65"/>
      <c r="F589" s="65"/>
      <c r="G589" s="65"/>
      <c r="H589" s="65"/>
      <c r="I589" s="139"/>
      <c r="J589" s="139"/>
      <c r="K589" s="139"/>
      <c r="L589" s="139"/>
      <c r="M589" s="139"/>
      <c r="N589" s="139"/>
      <c r="O589" s="65"/>
      <c r="P589" s="67"/>
    </row>
    <row r="590" ht="15.75" customHeight="1">
      <c r="A590" s="65"/>
      <c r="B590" s="65"/>
      <c r="C590" s="190"/>
      <c r="D590" s="191"/>
      <c r="E590" s="65"/>
      <c r="F590" s="65"/>
      <c r="G590" s="65"/>
      <c r="H590" s="65"/>
      <c r="I590" s="139"/>
      <c r="J590" s="139"/>
      <c r="K590" s="139"/>
      <c r="L590" s="139"/>
      <c r="M590" s="139"/>
      <c r="N590" s="139"/>
      <c r="O590" s="65"/>
      <c r="P590" s="67"/>
    </row>
    <row r="591" ht="15.75" customHeight="1">
      <c r="A591" s="65"/>
      <c r="B591" s="65"/>
      <c r="C591" s="190"/>
      <c r="D591" s="191"/>
      <c r="E591" s="65"/>
      <c r="F591" s="65"/>
      <c r="G591" s="65"/>
      <c r="H591" s="65"/>
      <c r="I591" s="139"/>
      <c r="J591" s="139"/>
      <c r="K591" s="139"/>
      <c r="L591" s="139"/>
      <c r="M591" s="139"/>
      <c r="N591" s="139"/>
      <c r="O591" s="65"/>
      <c r="P591" s="67"/>
    </row>
    <row r="592" ht="15.75" customHeight="1">
      <c r="A592" s="65"/>
      <c r="B592" s="65"/>
      <c r="C592" s="190"/>
      <c r="D592" s="191"/>
      <c r="E592" s="65"/>
      <c r="F592" s="65"/>
      <c r="G592" s="65"/>
      <c r="H592" s="65"/>
      <c r="I592" s="139"/>
      <c r="J592" s="139"/>
      <c r="K592" s="139"/>
      <c r="L592" s="139"/>
      <c r="M592" s="139"/>
      <c r="N592" s="139"/>
      <c r="O592" s="65"/>
      <c r="P592" s="67"/>
    </row>
    <row r="593" ht="15.75" customHeight="1">
      <c r="A593" s="65"/>
      <c r="B593" s="65"/>
      <c r="C593" s="190"/>
      <c r="D593" s="191"/>
      <c r="E593" s="65"/>
      <c r="F593" s="65"/>
      <c r="G593" s="65"/>
      <c r="H593" s="65"/>
      <c r="I593" s="139"/>
      <c r="J593" s="139"/>
      <c r="K593" s="139"/>
      <c r="L593" s="139"/>
      <c r="M593" s="139"/>
      <c r="N593" s="139"/>
      <c r="O593" s="65"/>
      <c r="P593" s="67"/>
    </row>
    <row r="594" ht="15.75" customHeight="1">
      <c r="A594" s="65"/>
      <c r="B594" s="65"/>
      <c r="C594" s="190"/>
      <c r="D594" s="191"/>
      <c r="E594" s="65"/>
      <c r="F594" s="65"/>
      <c r="G594" s="65"/>
      <c r="H594" s="65"/>
      <c r="I594" s="139"/>
      <c r="J594" s="139"/>
      <c r="K594" s="139"/>
      <c r="L594" s="139"/>
      <c r="M594" s="139"/>
      <c r="N594" s="139"/>
      <c r="O594" s="65"/>
      <c r="P594" s="67"/>
    </row>
    <row r="595" ht="15.75" customHeight="1">
      <c r="A595" s="65"/>
      <c r="B595" s="65"/>
      <c r="C595" s="190"/>
      <c r="D595" s="191"/>
      <c r="E595" s="65"/>
      <c r="F595" s="65"/>
      <c r="G595" s="65"/>
      <c r="H595" s="65"/>
      <c r="I595" s="139"/>
      <c r="J595" s="139"/>
      <c r="K595" s="139"/>
      <c r="L595" s="139"/>
      <c r="M595" s="139"/>
      <c r="N595" s="139"/>
      <c r="O595" s="65"/>
      <c r="P595" s="67"/>
    </row>
    <row r="596" ht="15.75" customHeight="1">
      <c r="A596" s="65"/>
      <c r="B596" s="65"/>
      <c r="C596" s="190"/>
      <c r="D596" s="191"/>
      <c r="E596" s="65"/>
      <c r="F596" s="65"/>
      <c r="G596" s="65"/>
      <c r="H596" s="65"/>
      <c r="I596" s="139"/>
      <c r="J596" s="139"/>
      <c r="K596" s="139"/>
      <c r="L596" s="139"/>
      <c r="M596" s="139"/>
      <c r="N596" s="139"/>
      <c r="O596" s="65"/>
      <c r="P596" s="67"/>
    </row>
    <row r="597" ht="15.75" customHeight="1">
      <c r="A597" s="65"/>
      <c r="B597" s="65"/>
      <c r="C597" s="190"/>
      <c r="D597" s="191"/>
      <c r="E597" s="65"/>
      <c r="F597" s="65"/>
      <c r="G597" s="65"/>
      <c r="H597" s="65"/>
      <c r="I597" s="139"/>
      <c r="J597" s="139"/>
      <c r="K597" s="139"/>
      <c r="L597" s="139"/>
      <c r="M597" s="139"/>
      <c r="N597" s="139"/>
      <c r="O597" s="65"/>
      <c r="P597" s="67"/>
    </row>
    <row r="598" ht="15.75" customHeight="1">
      <c r="A598" s="65"/>
      <c r="B598" s="65"/>
      <c r="C598" s="190"/>
      <c r="D598" s="191"/>
      <c r="E598" s="65"/>
      <c r="F598" s="65"/>
      <c r="G598" s="65"/>
      <c r="H598" s="65"/>
      <c r="I598" s="139"/>
      <c r="J598" s="139"/>
      <c r="K598" s="139"/>
      <c r="L598" s="139"/>
      <c r="M598" s="139"/>
      <c r="N598" s="139"/>
      <c r="O598" s="65"/>
      <c r="P598" s="67"/>
    </row>
    <row r="599" ht="15.75" customHeight="1">
      <c r="A599" s="65"/>
      <c r="B599" s="65"/>
      <c r="C599" s="190"/>
      <c r="D599" s="191"/>
      <c r="E599" s="65"/>
      <c r="F599" s="65"/>
      <c r="G599" s="65"/>
      <c r="H599" s="65"/>
      <c r="I599" s="139"/>
      <c r="J599" s="139"/>
      <c r="K599" s="139"/>
      <c r="L599" s="139"/>
      <c r="M599" s="139"/>
      <c r="N599" s="139"/>
      <c r="O599" s="65"/>
      <c r="P599" s="67"/>
    </row>
    <row r="600" ht="15.75" customHeight="1">
      <c r="A600" s="65"/>
      <c r="B600" s="65"/>
      <c r="C600" s="190"/>
      <c r="D600" s="191"/>
      <c r="E600" s="65"/>
      <c r="F600" s="65"/>
      <c r="G600" s="65"/>
      <c r="H600" s="65"/>
      <c r="I600" s="139"/>
      <c r="J600" s="139"/>
      <c r="K600" s="139"/>
      <c r="L600" s="139"/>
      <c r="M600" s="139"/>
      <c r="N600" s="139"/>
      <c r="O600" s="65"/>
      <c r="P600" s="67"/>
    </row>
    <row r="601" ht="15.75" customHeight="1">
      <c r="A601" s="65"/>
      <c r="B601" s="65"/>
      <c r="C601" s="190"/>
      <c r="D601" s="191"/>
      <c r="E601" s="65"/>
      <c r="F601" s="65"/>
      <c r="G601" s="65"/>
      <c r="H601" s="65"/>
      <c r="I601" s="139"/>
      <c r="J601" s="139"/>
      <c r="K601" s="139"/>
      <c r="L601" s="139"/>
      <c r="M601" s="139"/>
      <c r="N601" s="139"/>
      <c r="O601" s="65"/>
      <c r="P601" s="67"/>
    </row>
    <row r="602" ht="15.75" customHeight="1">
      <c r="A602" s="65"/>
      <c r="B602" s="65"/>
      <c r="C602" s="190"/>
      <c r="D602" s="191"/>
      <c r="E602" s="65"/>
      <c r="F602" s="65"/>
      <c r="G602" s="65"/>
      <c r="H602" s="65"/>
      <c r="I602" s="139"/>
      <c r="J602" s="139"/>
      <c r="K602" s="139"/>
      <c r="L602" s="139"/>
      <c r="M602" s="139"/>
      <c r="N602" s="139"/>
      <c r="O602" s="65"/>
      <c r="P602" s="67"/>
    </row>
    <row r="603" ht="15.75" customHeight="1">
      <c r="A603" s="65"/>
      <c r="B603" s="65"/>
      <c r="C603" s="190"/>
      <c r="D603" s="191"/>
      <c r="E603" s="65"/>
      <c r="F603" s="65"/>
      <c r="G603" s="65"/>
      <c r="H603" s="65"/>
      <c r="I603" s="139"/>
      <c r="J603" s="139"/>
      <c r="K603" s="139"/>
      <c r="L603" s="139"/>
      <c r="M603" s="139"/>
      <c r="N603" s="139"/>
      <c r="O603" s="65"/>
      <c r="P603" s="67"/>
    </row>
    <row r="604" ht="15.75" customHeight="1">
      <c r="A604" s="65"/>
      <c r="B604" s="65"/>
      <c r="C604" s="190"/>
      <c r="D604" s="191"/>
      <c r="E604" s="65"/>
      <c r="F604" s="65"/>
      <c r="G604" s="65"/>
      <c r="H604" s="65"/>
      <c r="I604" s="139"/>
      <c r="J604" s="139"/>
      <c r="K604" s="139"/>
      <c r="L604" s="139"/>
      <c r="M604" s="139"/>
      <c r="N604" s="139"/>
      <c r="O604" s="65"/>
      <c r="P604" s="67"/>
    </row>
    <row r="605" ht="15.75" customHeight="1">
      <c r="A605" s="65"/>
      <c r="B605" s="65"/>
      <c r="C605" s="190"/>
      <c r="D605" s="191"/>
      <c r="E605" s="65"/>
      <c r="F605" s="65"/>
      <c r="G605" s="65"/>
      <c r="H605" s="65"/>
      <c r="I605" s="139"/>
      <c r="J605" s="139"/>
      <c r="K605" s="139"/>
      <c r="L605" s="139"/>
      <c r="M605" s="139"/>
      <c r="N605" s="139"/>
      <c r="O605" s="65"/>
      <c r="P605" s="67"/>
    </row>
    <row r="606" ht="15.75" customHeight="1">
      <c r="A606" s="65"/>
      <c r="B606" s="65"/>
      <c r="C606" s="190"/>
      <c r="D606" s="191"/>
      <c r="E606" s="65"/>
      <c r="F606" s="65"/>
      <c r="G606" s="65"/>
      <c r="H606" s="65"/>
      <c r="I606" s="139"/>
      <c r="J606" s="139"/>
      <c r="K606" s="139"/>
      <c r="L606" s="139"/>
      <c r="M606" s="139"/>
      <c r="N606" s="139"/>
      <c r="O606" s="65"/>
      <c r="P606" s="67"/>
    </row>
    <row r="607" ht="15.75" customHeight="1">
      <c r="A607" s="65"/>
      <c r="B607" s="65"/>
      <c r="C607" s="190"/>
      <c r="D607" s="191"/>
      <c r="E607" s="65"/>
      <c r="F607" s="65"/>
      <c r="G607" s="65"/>
      <c r="H607" s="65"/>
      <c r="I607" s="139"/>
      <c r="J607" s="139"/>
      <c r="K607" s="139"/>
      <c r="L607" s="139"/>
      <c r="M607" s="139"/>
      <c r="N607" s="139"/>
      <c r="O607" s="65"/>
      <c r="P607" s="67"/>
    </row>
    <row r="608" ht="15.75" customHeight="1">
      <c r="A608" s="65"/>
      <c r="B608" s="65"/>
      <c r="C608" s="190"/>
      <c r="D608" s="191"/>
      <c r="E608" s="65"/>
      <c r="F608" s="65"/>
      <c r="G608" s="65"/>
      <c r="H608" s="65"/>
      <c r="I608" s="139"/>
      <c r="J608" s="139"/>
      <c r="K608" s="139"/>
      <c r="L608" s="139"/>
      <c r="M608" s="139"/>
      <c r="N608" s="139"/>
      <c r="O608" s="65"/>
      <c r="P608" s="67"/>
    </row>
    <row r="609" ht="15.75" customHeight="1">
      <c r="A609" s="65"/>
      <c r="B609" s="65"/>
      <c r="C609" s="190"/>
      <c r="D609" s="191"/>
      <c r="E609" s="65"/>
      <c r="F609" s="65"/>
      <c r="G609" s="65"/>
      <c r="H609" s="65"/>
      <c r="I609" s="139"/>
      <c r="J609" s="139"/>
      <c r="K609" s="139"/>
      <c r="L609" s="139"/>
      <c r="M609" s="139"/>
      <c r="N609" s="139"/>
      <c r="O609" s="65"/>
      <c r="P609" s="67"/>
    </row>
    <row r="610" ht="15.75" customHeight="1">
      <c r="A610" s="65"/>
      <c r="B610" s="65"/>
      <c r="C610" s="190"/>
      <c r="D610" s="191"/>
      <c r="E610" s="65"/>
      <c r="F610" s="65"/>
      <c r="G610" s="65"/>
      <c r="H610" s="65"/>
      <c r="I610" s="139"/>
      <c r="J610" s="139"/>
      <c r="K610" s="139"/>
      <c r="L610" s="139"/>
      <c r="M610" s="139"/>
      <c r="N610" s="139"/>
      <c r="O610" s="65"/>
      <c r="P610" s="67"/>
    </row>
    <row r="611" ht="15.75" customHeight="1">
      <c r="A611" s="65"/>
      <c r="B611" s="65"/>
      <c r="C611" s="190"/>
      <c r="D611" s="191"/>
      <c r="E611" s="65"/>
      <c r="F611" s="65"/>
      <c r="G611" s="65"/>
      <c r="H611" s="65"/>
      <c r="I611" s="139"/>
      <c r="J611" s="139"/>
      <c r="K611" s="139"/>
      <c r="L611" s="139"/>
      <c r="M611" s="139"/>
      <c r="N611" s="139"/>
      <c r="O611" s="65"/>
      <c r="P611" s="67"/>
    </row>
    <row r="612" ht="15.75" customHeight="1">
      <c r="A612" s="65"/>
      <c r="B612" s="65"/>
      <c r="C612" s="190"/>
      <c r="D612" s="191"/>
      <c r="E612" s="65"/>
      <c r="F612" s="65"/>
      <c r="G612" s="65"/>
      <c r="H612" s="65"/>
      <c r="I612" s="139"/>
      <c r="J612" s="139"/>
      <c r="K612" s="139"/>
      <c r="L612" s="139"/>
      <c r="M612" s="139"/>
      <c r="N612" s="139"/>
      <c r="O612" s="65"/>
      <c r="P612" s="67"/>
    </row>
    <row r="613" ht="15.75" customHeight="1">
      <c r="A613" s="65"/>
      <c r="B613" s="65"/>
      <c r="C613" s="190"/>
      <c r="D613" s="191"/>
      <c r="E613" s="65"/>
      <c r="F613" s="65"/>
      <c r="G613" s="65"/>
      <c r="H613" s="65"/>
      <c r="I613" s="139"/>
      <c r="J613" s="139"/>
      <c r="K613" s="139"/>
      <c r="L613" s="139"/>
      <c r="M613" s="139"/>
      <c r="N613" s="139"/>
      <c r="O613" s="65"/>
      <c r="P613" s="67"/>
    </row>
    <row r="614" ht="15.75" customHeight="1">
      <c r="A614" s="65"/>
      <c r="B614" s="65"/>
      <c r="C614" s="190"/>
      <c r="D614" s="191"/>
      <c r="E614" s="65"/>
      <c r="F614" s="65"/>
      <c r="G614" s="65"/>
      <c r="H614" s="65"/>
      <c r="I614" s="139"/>
      <c r="J614" s="139"/>
      <c r="K614" s="139"/>
      <c r="L614" s="139"/>
      <c r="M614" s="139"/>
      <c r="N614" s="139"/>
      <c r="O614" s="65"/>
      <c r="P614" s="67"/>
    </row>
    <row r="615" ht="15.75" customHeight="1">
      <c r="A615" s="65"/>
      <c r="B615" s="65"/>
      <c r="C615" s="190"/>
      <c r="D615" s="191"/>
      <c r="E615" s="65"/>
      <c r="F615" s="65"/>
      <c r="G615" s="65"/>
      <c r="H615" s="65"/>
      <c r="I615" s="139"/>
      <c r="J615" s="139"/>
      <c r="K615" s="139"/>
      <c r="L615" s="139"/>
      <c r="M615" s="139"/>
      <c r="N615" s="139"/>
      <c r="O615" s="65"/>
      <c r="P615" s="67"/>
    </row>
    <row r="616" ht="15.75" customHeight="1">
      <c r="A616" s="65"/>
      <c r="B616" s="65"/>
      <c r="C616" s="190"/>
      <c r="D616" s="191"/>
      <c r="E616" s="65"/>
      <c r="F616" s="65"/>
      <c r="G616" s="65"/>
      <c r="H616" s="65"/>
      <c r="I616" s="139"/>
      <c r="J616" s="139"/>
      <c r="K616" s="139"/>
      <c r="L616" s="139"/>
      <c r="M616" s="139"/>
      <c r="N616" s="139"/>
      <c r="O616" s="65"/>
      <c r="P616" s="67"/>
    </row>
    <row r="617" ht="15.75" customHeight="1">
      <c r="A617" s="65"/>
      <c r="B617" s="65"/>
      <c r="C617" s="190"/>
      <c r="D617" s="191"/>
      <c r="E617" s="65"/>
      <c r="F617" s="65"/>
      <c r="G617" s="65"/>
      <c r="H617" s="65"/>
      <c r="I617" s="139"/>
      <c r="J617" s="139"/>
      <c r="K617" s="139"/>
      <c r="L617" s="139"/>
      <c r="M617" s="139"/>
      <c r="N617" s="139"/>
      <c r="O617" s="65"/>
      <c r="P617" s="67"/>
    </row>
    <row r="618" ht="15.75" customHeight="1">
      <c r="A618" s="65"/>
      <c r="B618" s="65"/>
      <c r="C618" s="190"/>
      <c r="D618" s="191"/>
      <c r="E618" s="65"/>
      <c r="F618" s="65"/>
      <c r="G618" s="65"/>
      <c r="H618" s="65"/>
      <c r="I618" s="139"/>
      <c r="J618" s="139"/>
      <c r="K618" s="139"/>
      <c r="L618" s="139"/>
      <c r="M618" s="139"/>
      <c r="N618" s="139"/>
      <c r="O618" s="65"/>
      <c r="P618" s="67"/>
    </row>
    <row r="619" ht="15.75" customHeight="1">
      <c r="A619" s="65"/>
      <c r="B619" s="65"/>
      <c r="C619" s="190"/>
      <c r="D619" s="191"/>
      <c r="E619" s="65"/>
      <c r="F619" s="65"/>
      <c r="G619" s="65"/>
      <c r="H619" s="65"/>
      <c r="I619" s="139"/>
      <c r="J619" s="139"/>
      <c r="K619" s="139"/>
      <c r="L619" s="139"/>
      <c r="M619" s="139"/>
      <c r="N619" s="139"/>
      <c r="O619" s="65"/>
      <c r="P619" s="67"/>
    </row>
    <row r="620" ht="15.75" customHeight="1">
      <c r="A620" s="65"/>
      <c r="B620" s="65"/>
      <c r="C620" s="190"/>
      <c r="D620" s="191"/>
      <c r="E620" s="65"/>
      <c r="F620" s="65"/>
      <c r="G620" s="65"/>
      <c r="H620" s="65"/>
      <c r="I620" s="139"/>
      <c r="J620" s="139"/>
      <c r="K620" s="139"/>
      <c r="L620" s="139"/>
      <c r="M620" s="139"/>
      <c r="N620" s="139"/>
      <c r="O620" s="65"/>
      <c r="P620" s="67"/>
    </row>
    <row r="621" ht="15.75" customHeight="1">
      <c r="A621" s="65"/>
      <c r="B621" s="65"/>
      <c r="C621" s="190"/>
      <c r="D621" s="191"/>
      <c r="E621" s="65"/>
      <c r="F621" s="65"/>
      <c r="G621" s="65"/>
      <c r="H621" s="65"/>
      <c r="I621" s="139"/>
      <c r="J621" s="139"/>
      <c r="K621" s="139"/>
      <c r="L621" s="139"/>
      <c r="M621" s="139"/>
      <c r="N621" s="139"/>
      <c r="O621" s="65"/>
      <c r="P621" s="67"/>
    </row>
    <row r="622" ht="15.75" customHeight="1">
      <c r="A622" s="65"/>
      <c r="B622" s="65"/>
      <c r="C622" s="190"/>
      <c r="D622" s="191"/>
      <c r="E622" s="65"/>
      <c r="F622" s="65"/>
      <c r="G622" s="65"/>
      <c r="H622" s="65"/>
      <c r="I622" s="139"/>
      <c r="J622" s="139"/>
      <c r="K622" s="139"/>
      <c r="L622" s="139"/>
      <c r="M622" s="139"/>
      <c r="N622" s="139"/>
      <c r="O622" s="65"/>
      <c r="P622" s="67"/>
    </row>
    <row r="623" ht="15.75" customHeight="1">
      <c r="A623" s="65"/>
      <c r="B623" s="65"/>
      <c r="C623" s="190"/>
      <c r="D623" s="191"/>
      <c r="E623" s="65"/>
      <c r="F623" s="65"/>
      <c r="G623" s="65"/>
      <c r="H623" s="65"/>
      <c r="I623" s="139"/>
      <c r="J623" s="139"/>
      <c r="K623" s="139"/>
      <c r="L623" s="139"/>
      <c r="M623" s="139"/>
      <c r="N623" s="139"/>
      <c r="O623" s="65"/>
      <c r="P623" s="67"/>
    </row>
    <row r="624" ht="15.75" customHeight="1">
      <c r="A624" s="65"/>
      <c r="B624" s="65"/>
      <c r="C624" s="190"/>
      <c r="D624" s="191"/>
      <c r="E624" s="65"/>
      <c r="F624" s="65"/>
      <c r="G624" s="65"/>
      <c r="H624" s="65"/>
      <c r="I624" s="139"/>
      <c r="J624" s="139"/>
      <c r="K624" s="139"/>
      <c r="L624" s="139"/>
      <c r="M624" s="139"/>
      <c r="N624" s="139"/>
      <c r="O624" s="65"/>
      <c r="P624" s="67"/>
    </row>
    <row r="625" ht="15.75" customHeight="1">
      <c r="A625" s="65"/>
      <c r="B625" s="65"/>
      <c r="C625" s="190"/>
      <c r="D625" s="191"/>
      <c r="E625" s="65"/>
      <c r="F625" s="65"/>
      <c r="G625" s="65"/>
      <c r="H625" s="65"/>
      <c r="I625" s="139"/>
      <c r="J625" s="139"/>
      <c r="K625" s="139"/>
      <c r="L625" s="139"/>
      <c r="M625" s="139"/>
      <c r="N625" s="139"/>
      <c r="O625" s="65"/>
      <c r="P625" s="67"/>
    </row>
    <row r="626" ht="15.75" customHeight="1">
      <c r="A626" s="65"/>
      <c r="B626" s="65"/>
      <c r="C626" s="190"/>
      <c r="D626" s="191"/>
      <c r="E626" s="65"/>
      <c r="F626" s="65"/>
      <c r="G626" s="65"/>
      <c r="H626" s="65"/>
      <c r="I626" s="139"/>
      <c r="J626" s="139"/>
      <c r="K626" s="139"/>
      <c r="L626" s="139"/>
      <c r="M626" s="139"/>
      <c r="N626" s="139"/>
      <c r="O626" s="65"/>
      <c r="P626" s="67"/>
    </row>
    <row r="627" ht="15.75" customHeight="1">
      <c r="A627" s="65"/>
      <c r="B627" s="65"/>
      <c r="C627" s="190"/>
      <c r="D627" s="191"/>
      <c r="E627" s="65"/>
      <c r="F627" s="65"/>
      <c r="G627" s="65"/>
      <c r="H627" s="65"/>
      <c r="I627" s="139"/>
      <c r="J627" s="139"/>
      <c r="K627" s="139"/>
      <c r="L627" s="139"/>
      <c r="M627" s="139"/>
      <c r="N627" s="139"/>
      <c r="O627" s="65"/>
      <c r="P627" s="67"/>
    </row>
    <row r="628" ht="15.75" customHeight="1">
      <c r="A628" s="65"/>
      <c r="B628" s="65"/>
      <c r="C628" s="190"/>
      <c r="D628" s="191"/>
      <c r="E628" s="65"/>
      <c r="F628" s="65"/>
      <c r="G628" s="65"/>
      <c r="H628" s="65"/>
      <c r="I628" s="139"/>
      <c r="J628" s="139"/>
      <c r="K628" s="139"/>
      <c r="L628" s="139"/>
      <c r="M628" s="139"/>
      <c r="N628" s="139"/>
      <c r="O628" s="65"/>
      <c r="P628" s="67"/>
    </row>
    <row r="629" ht="15.75" customHeight="1">
      <c r="A629" s="65"/>
      <c r="B629" s="65"/>
      <c r="C629" s="190"/>
      <c r="D629" s="191"/>
      <c r="E629" s="65"/>
      <c r="F629" s="65"/>
      <c r="G629" s="65"/>
      <c r="H629" s="65"/>
      <c r="I629" s="139"/>
      <c r="J629" s="139"/>
      <c r="K629" s="139"/>
      <c r="L629" s="139"/>
      <c r="M629" s="139"/>
      <c r="N629" s="139"/>
      <c r="O629" s="65"/>
      <c r="P629" s="67"/>
    </row>
    <row r="630" ht="15.75" customHeight="1">
      <c r="A630" s="65"/>
      <c r="B630" s="65"/>
      <c r="C630" s="190"/>
      <c r="D630" s="191"/>
      <c r="E630" s="65"/>
      <c r="F630" s="65"/>
      <c r="G630" s="65"/>
      <c r="H630" s="65"/>
      <c r="I630" s="139"/>
      <c r="J630" s="139"/>
      <c r="K630" s="139"/>
      <c r="L630" s="139"/>
      <c r="M630" s="139"/>
      <c r="N630" s="139"/>
      <c r="O630" s="65"/>
      <c r="P630" s="67"/>
    </row>
    <row r="631" ht="15.75" customHeight="1">
      <c r="A631" s="65"/>
      <c r="B631" s="65"/>
      <c r="C631" s="190"/>
      <c r="D631" s="191"/>
      <c r="E631" s="65"/>
      <c r="F631" s="65"/>
      <c r="G631" s="65"/>
      <c r="H631" s="65"/>
      <c r="I631" s="139"/>
      <c r="J631" s="139"/>
      <c r="K631" s="139"/>
      <c r="L631" s="139"/>
      <c r="M631" s="139"/>
      <c r="N631" s="139"/>
      <c r="O631" s="65"/>
      <c r="P631" s="67"/>
    </row>
    <row r="632" ht="15.75" customHeight="1">
      <c r="A632" s="65"/>
      <c r="B632" s="65"/>
      <c r="C632" s="190"/>
      <c r="D632" s="191"/>
      <c r="E632" s="65"/>
      <c r="F632" s="65"/>
      <c r="G632" s="65"/>
      <c r="H632" s="65"/>
      <c r="I632" s="139"/>
      <c r="J632" s="139"/>
      <c r="K632" s="139"/>
      <c r="L632" s="139"/>
      <c r="M632" s="139"/>
      <c r="N632" s="139"/>
      <c r="O632" s="65"/>
      <c r="P632" s="67"/>
    </row>
    <row r="633" ht="15.75" customHeight="1">
      <c r="A633" s="65"/>
      <c r="B633" s="65"/>
      <c r="C633" s="190"/>
      <c r="D633" s="191"/>
      <c r="E633" s="65"/>
      <c r="F633" s="65"/>
      <c r="G633" s="65"/>
      <c r="H633" s="65"/>
      <c r="I633" s="139"/>
      <c r="J633" s="139"/>
      <c r="K633" s="139"/>
      <c r="L633" s="139"/>
      <c r="M633" s="139"/>
      <c r="N633" s="139"/>
      <c r="O633" s="65"/>
      <c r="P633" s="67"/>
    </row>
    <row r="634" ht="15.75" customHeight="1">
      <c r="A634" s="65"/>
      <c r="B634" s="65"/>
      <c r="C634" s="190"/>
      <c r="D634" s="191"/>
      <c r="E634" s="65"/>
      <c r="F634" s="65"/>
      <c r="G634" s="65"/>
      <c r="H634" s="65"/>
      <c r="I634" s="139"/>
      <c r="J634" s="139"/>
      <c r="K634" s="139"/>
      <c r="L634" s="139"/>
      <c r="M634" s="139"/>
      <c r="N634" s="139"/>
      <c r="O634" s="65"/>
      <c r="P634" s="67"/>
    </row>
    <row r="635" ht="15.75" customHeight="1">
      <c r="A635" s="65"/>
      <c r="B635" s="65"/>
      <c r="C635" s="190"/>
      <c r="D635" s="191"/>
      <c r="E635" s="65"/>
      <c r="F635" s="65"/>
      <c r="G635" s="65"/>
      <c r="H635" s="65"/>
      <c r="I635" s="139"/>
      <c r="J635" s="139"/>
      <c r="K635" s="139"/>
      <c r="L635" s="139"/>
      <c r="M635" s="139"/>
      <c r="N635" s="139"/>
      <c r="O635" s="65"/>
      <c r="P635" s="67"/>
    </row>
    <row r="636" ht="15.75" customHeight="1">
      <c r="A636" s="65"/>
      <c r="B636" s="65"/>
      <c r="C636" s="190"/>
      <c r="D636" s="191"/>
      <c r="E636" s="65"/>
      <c r="F636" s="65"/>
      <c r="G636" s="65"/>
      <c r="H636" s="65"/>
      <c r="I636" s="139"/>
      <c r="J636" s="139"/>
      <c r="K636" s="139"/>
      <c r="L636" s="139"/>
      <c r="M636" s="139"/>
      <c r="N636" s="139"/>
      <c r="O636" s="65"/>
      <c r="P636" s="67"/>
    </row>
    <row r="637" ht="15.75" customHeight="1">
      <c r="A637" s="65"/>
      <c r="B637" s="65"/>
      <c r="C637" s="190"/>
      <c r="D637" s="191"/>
      <c r="E637" s="65"/>
      <c r="F637" s="65"/>
      <c r="G637" s="65"/>
      <c r="H637" s="65"/>
      <c r="I637" s="139"/>
      <c r="J637" s="139"/>
      <c r="K637" s="139"/>
      <c r="L637" s="139"/>
      <c r="M637" s="139"/>
      <c r="N637" s="139"/>
      <c r="O637" s="65"/>
      <c r="P637" s="67"/>
    </row>
    <row r="638" ht="15.75" customHeight="1">
      <c r="A638" s="65"/>
      <c r="B638" s="65"/>
      <c r="C638" s="190"/>
      <c r="D638" s="191"/>
      <c r="E638" s="65"/>
      <c r="F638" s="65"/>
      <c r="G638" s="65"/>
      <c r="H638" s="65"/>
      <c r="I638" s="139"/>
      <c r="J638" s="139"/>
      <c r="K638" s="139"/>
      <c r="L638" s="139"/>
      <c r="M638" s="139"/>
      <c r="N638" s="139"/>
      <c r="O638" s="65"/>
      <c r="P638" s="67"/>
    </row>
    <row r="639" ht="15.75" customHeight="1">
      <c r="A639" s="65"/>
      <c r="B639" s="65"/>
      <c r="C639" s="190"/>
      <c r="D639" s="191"/>
      <c r="E639" s="65"/>
      <c r="F639" s="65"/>
      <c r="G639" s="65"/>
      <c r="H639" s="65"/>
      <c r="I639" s="139"/>
      <c r="J639" s="139"/>
      <c r="K639" s="139"/>
      <c r="L639" s="139"/>
      <c r="M639" s="139"/>
      <c r="N639" s="139"/>
      <c r="O639" s="65"/>
      <c r="P639" s="67"/>
    </row>
    <row r="640" ht="15.75" customHeight="1">
      <c r="A640" s="65"/>
      <c r="B640" s="65"/>
      <c r="C640" s="190"/>
      <c r="D640" s="191"/>
      <c r="E640" s="65"/>
      <c r="F640" s="65"/>
      <c r="G640" s="65"/>
      <c r="H640" s="65"/>
      <c r="I640" s="139"/>
      <c r="J640" s="139"/>
      <c r="K640" s="139"/>
      <c r="L640" s="139"/>
      <c r="M640" s="139"/>
      <c r="N640" s="139"/>
      <c r="O640" s="65"/>
      <c r="P640" s="67"/>
    </row>
    <row r="641" ht="15.75" customHeight="1">
      <c r="A641" s="65"/>
      <c r="B641" s="65"/>
      <c r="C641" s="190"/>
      <c r="D641" s="191"/>
      <c r="E641" s="65"/>
      <c r="F641" s="65"/>
      <c r="G641" s="65"/>
      <c r="H641" s="65"/>
      <c r="I641" s="139"/>
      <c r="J641" s="139"/>
      <c r="K641" s="139"/>
      <c r="L641" s="139"/>
      <c r="M641" s="139"/>
      <c r="N641" s="139"/>
      <c r="O641" s="65"/>
      <c r="P641" s="67"/>
    </row>
    <row r="642" ht="15.75" customHeight="1">
      <c r="A642" s="65"/>
      <c r="B642" s="65"/>
      <c r="C642" s="190"/>
      <c r="D642" s="191"/>
      <c r="E642" s="65"/>
      <c r="F642" s="65"/>
      <c r="G642" s="65"/>
      <c r="H642" s="65"/>
      <c r="I642" s="139"/>
      <c r="J642" s="139"/>
      <c r="K642" s="139"/>
      <c r="L642" s="139"/>
      <c r="M642" s="139"/>
      <c r="N642" s="139"/>
      <c r="O642" s="65"/>
      <c r="P642" s="67"/>
    </row>
    <row r="643" ht="15.75" customHeight="1">
      <c r="A643" s="65"/>
      <c r="B643" s="65"/>
      <c r="C643" s="190"/>
      <c r="D643" s="191"/>
      <c r="E643" s="65"/>
      <c r="F643" s="65"/>
      <c r="G643" s="65"/>
      <c r="H643" s="65"/>
      <c r="I643" s="139"/>
      <c r="J643" s="139"/>
      <c r="K643" s="139"/>
      <c r="L643" s="139"/>
      <c r="M643" s="139"/>
      <c r="N643" s="139"/>
      <c r="O643" s="65"/>
      <c r="P643" s="67"/>
    </row>
    <row r="644" ht="15.75" customHeight="1">
      <c r="A644" s="65"/>
      <c r="B644" s="65"/>
      <c r="C644" s="190"/>
      <c r="D644" s="191"/>
      <c r="E644" s="65"/>
      <c r="F644" s="65"/>
      <c r="G644" s="65"/>
      <c r="H644" s="65"/>
      <c r="I644" s="139"/>
      <c r="J644" s="139"/>
      <c r="K644" s="139"/>
      <c r="L644" s="139"/>
      <c r="M644" s="139"/>
      <c r="N644" s="139"/>
      <c r="O644" s="65"/>
      <c r="P644" s="67"/>
    </row>
    <row r="645" ht="15.75" customHeight="1">
      <c r="A645" s="65"/>
      <c r="B645" s="65"/>
      <c r="C645" s="190"/>
      <c r="D645" s="191"/>
      <c r="E645" s="65"/>
      <c r="F645" s="65"/>
      <c r="G645" s="65"/>
      <c r="H645" s="65"/>
      <c r="I645" s="139"/>
      <c r="J645" s="139"/>
      <c r="K645" s="139"/>
      <c r="L645" s="139"/>
      <c r="M645" s="139"/>
      <c r="N645" s="139"/>
      <c r="O645" s="65"/>
      <c r="P645" s="67"/>
    </row>
    <row r="646" ht="15.75" customHeight="1">
      <c r="A646" s="65"/>
      <c r="B646" s="65"/>
      <c r="C646" s="190"/>
      <c r="D646" s="191"/>
      <c r="E646" s="65"/>
      <c r="F646" s="65"/>
      <c r="G646" s="65"/>
      <c r="H646" s="65"/>
      <c r="I646" s="139"/>
      <c r="J646" s="139"/>
      <c r="K646" s="139"/>
      <c r="L646" s="139"/>
      <c r="M646" s="139"/>
      <c r="N646" s="139"/>
      <c r="O646" s="65"/>
      <c r="P646" s="67"/>
    </row>
    <row r="647" ht="15.75" customHeight="1">
      <c r="A647" s="65"/>
      <c r="B647" s="65"/>
      <c r="C647" s="190"/>
      <c r="D647" s="191"/>
      <c r="E647" s="65"/>
      <c r="F647" s="65"/>
      <c r="G647" s="65"/>
      <c r="H647" s="65"/>
      <c r="I647" s="139"/>
      <c r="J647" s="139"/>
      <c r="K647" s="139"/>
      <c r="L647" s="139"/>
      <c r="M647" s="139"/>
      <c r="N647" s="139"/>
      <c r="O647" s="65"/>
      <c r="P647" s="67"/>
    </row>
    <row r="648" ht="15.75" customHeight="1">
      <c r="A648" s="65"/>
      <c r="B648" s="65"/>
      <c r="C648" s="190"/>
      <c r="D648" s="191"/>
      <c r="E648" s="65"/>
      <c r="F648" s="65"/>
      <c r="G648" s="65"/>
      <c r="H648" s="65"/>
      <c r="I648" s="139"/>
      <c r="J648" s="139"/>
      <c r="K648" s="139"/>
      <c r="L648" s="139"/>
      <c r="M648" s="139"/>
      <c r="N648" s="139"/>
      <c r="O648" s="65"/>
      <c r="P648" s="67"/>
    </row>
    <row r="649" ht="15.75" customHeight="1">
      <c r="A649" s="65"/>
      <c r="B649" s="65"/>
      <c r="C649" s="190"/>
      <c r="D649" s="191"/>
      <c r="E649" s="65"/>
      <c r="F649" s="65"/>
      <c r="G649" s="65"/>
      <c r="H649" s="65"/>
      <c r="I649" s="139"/>
      <c r="J649" s="139"/>
      <c r="K649" s="139"/>
      <c r="L649" s="139"/>
      <c r="M649" s="139"/>
      <c r="N649" s="139"/>
      <c r="O649" s="65"/>
      <c r="P649" s="67"/>
    </row>
    <row r="650" ht="15.75" customHeight="1">
      <c r="A650" s="65"/>
      <c r="B650" s="65"/>
      <c r="C650" s="190"/>
      <c r="D650" s="191"/>
      <c r="E650" s="65"/>
      <c r="F650" s="65"/>
      <c r="G650" s="65"/>
      <c r="H650" s="65"/>
      <c r="I650" s="139"/>
      <c r="J650" s="139"/>
      <c r="K650" s="139"/>
      <c r="L650" s="139"/>
      <c r="M650" s="139"/>
      <c r="N650" s="139"/>
      <c r="O650" s="65"/>
      <c r="P650" s="67"/>
    </row>
    <row r="651" ht="15.75" customHeight="1">
      <c r="A651" s="65"/>
      <c r="B651" s="65"/>
      <c r="C651" s="190"/>
      <c r="D651" s="191"/>
      <c r="E651" s="65"/>
      <c r="F651" s="65"/>
      <c r="G651" s="65"/>
      <c r="H651" s="65"/>
      <c r="I651" s="139"/>
      <c r="J651" s="139"/>
      <c r="K651" s="139"/>
      <c r="L651" s="139"/>
      <c r="M651" s="139"/>
      <c r="N651" s="139"/>
      <c r="O651" s="65"/>
      <c r="P651" s="67"/>
    </row>
    <row r="652" ht="15.75" customHeight="1">
      <c r="A652" s="65"/>
      <c r="B652" s="65"/>
      <c r="C652" s="190"/>
      <c r="D652" s="191"/>
      <c r="E652" s="65"/>
      <c r="F652" s="65"/>
      <c r="G652" s="65"/>
      <c r="H652" s="65"/>
      <c r="I652" s="139"/>
      <c r="J652" s="139"/>
      <c r="K652" s="139"/>
      <c r="L652" s="139"/>
      <c r="M652" s="139"/>
      <c r="N652" s="139"/>
      <c r="O652" s="65"/>
      <c r="P652" s="67"/>
    </row>
    <row r="653" ht="15.75" customHeight="1">
      <c r="A653" s="65"/>
      <c r="B653" s="65"/>
      <c r="C653" s="190"/>
      <c r="D653" s="191"/>
      <c r="E653" s="65"/>
      <c r="F653" s="65"/>
      <c r="G653" s="65"/>
      <c r="H653" s="65"/>
      <c r="I653" s="139"/>
      <c r="J653" s="139"/>
      <c r="K653" s="139"/>
      <c r="L653" s="139"/>
      <c r="M653" s="139"/>
      <c r="N653" s="139"/>
      <c r="O653" s="65"/>
      <c r="P653" s="67"/>
    </row>
    <row r="654" ht="15.75" customHeight="1">
      <c r="A654" s="65"/>
      <c r="B654" s="65"/>
      <c r="C654" s="190"/>
      <c r="D654" s="191"/>
      <c r="E654" s="65"/>
      <c r="F654" s="65"/>
      <c r="G654" s="65"/>
      <c r="H654" s="65"/>
      <c r="I654" s="139"/>
      <c r="J654" s="139"/>
      <c r="K654" s="139"/>
      <c r="L654" s="139"/>
      <c r="M654" s="139"/>
      <c r="N654" s="139"/>
      <c r="O654" s="65"/>
      <c r="P654" s="67"/>
    </row>
    <row r="655" ht="15.75" customHeight="1">
      <c r="A655" s="65"/>
      <c r="B655" s="65"/>
      <c r="C655" s="190"/>
      <c r="D655" s="191"/>
      <c r="E655" s="65"/>
      <c r="F655" s="65"/>
      <c r="G655" s="65"/>
      <c r="H655" s="65"/>
      <c r="I655" s="139"/>
      <c r="J655" s="139"/>
      <c r="K655" s="139"/>
      <c r="L655" s="139"/>
      <c r="M655" s="139"/>
      <c r="N655" s="139"/>
      <c r="O655" s="65"/>
      <c r="P655" s="67"/>
    </row>
    <row r="656" ht="15.75" customHeight="1">
      <c r="A656" s="65"/>
      <c r="B656" s="65"/>
      <c r="C656" s="190"/>
      <c r="D656" s="191"/>
      <c r="E656" s="65"/>
      <c r="F656" s="65"/>
      <c r="G656" s="65"/>
      <c r="H656" s="65"/>
      <c r="I656" s="139"/>
      <c r="J656" s="139"/>
      <c r="K656" s="139"/>
      <c r="L656" s="139"/>
      <c r="M656" s="139"/>
      <c r="N656" s="139"/>
      <c r="O656" s="65"/>
      <c r="P656" s="67"/>
    </row>
    <row r="657" ht="15.75" customHeight="1">
      <c r="A657" s="65"/>
      <c r="B657" s="65"/>
      <c r="C657" s="190"/>
      <c r="D657" s="191"/>
      <c r="E657" s="65"/>
      <c r="F657" s="65"/>
      <c r="G657" s="65"/>
      <c r="H657" s="65"/>
      <c r="I657" s="139"/>
      <c r="J657" s="139"/>
      <c r="K657" s="139"/>
      <c r="L657" s="139"/>
      <c r="M657" s="139"/>
      <c r="N657" s="139"/>
      <c r="O657" s="65"/>
      <c r="P657" s="67"/>
    </row>
    <row r="658" ht="15.75" customHeight="1">
      <c r="A658" s="65"/>
      <c r="B658" s="65"/>
      <c r="C658" s="190"/>
      <c r="D658" s="191"/>
      <c r="E658" s="65"/>
      <c r="F658" s="65"/>
      <c r="G658" s="65"/>
      <c r="H658" s="65"/>
      <c r="I658" s="139"/>
      <c r="J658" s="139"/>
      <c r="K658" s="139"/>
      <c r="L658" s="139"/>
      <c r="M658" s="139"/>
      <c r="N658" s="139"/>
      <c r="O658" s="65"/>
      <c r="P658" s="67"/>
    </row>
    <row r="659" ht="15.75" customHeight="1">
      <c r="A659" s="65"/>
      <c r="B659" s="65"/>
      <c r="C659" s="190"/>
      <c r="D659" s="191"/>
      <c r="E659" s="65"/>
      <c r="F659" s="65"/>
      <c r="G659" s="65"/>
      <c r="H659" s="65"/>
      <c r="I659" s="139"/>
      <c r="J659" s="139"/>
      <c r="K659" s="139"/>
      <c r="L659" s="139"/>
      <c r="M659" s="139"/>
      <c r="N659" s="139"/>
      <c r="O659" s="65"/>
      <c r="P659" s="67"/>
    </row>
    <row r="660" ht="15.75" customHeight="1">
      <c r="A660" s="65"/>
      <c r="B660" s="65"/>
      <c r="C660" s="190"/>
      <c r="D660" s="191"/>
      <c r="E660" s="65"/>
      <c r="F660" s="65"/>
      <c r="G660" s="65"/>
      <c r="H660" s="65"/>
      <c r="I660" s="139"/>
      <c r="J660" s="139"/>
      <c r="K660" s="139"/>
      <c r="L660" s="139"/>
      <c r="M660" s="139"/>
      <c r="N660" s="139"/>
      <c r="O660" s="65"/>
      <c r="P660" s="67"/>
    </row>
    <row r="661" ht="15.75" customHeight="1">
      <c r="A661" s="65"/>
      <c r="B661" s="65"/>
      <c r="C661" s="190"/>
      <c r="D661" s="191"/>
      <c r="E661" s="65"/>
      <c r="F661" s="65"/>
      <c r="G661" s="65"/>
      <c r="H661" s="65"/>
      <c r="I661" s="139"/>
      <c r="J661" s="139"/>
      <c r="K661" s="139"/>
      <c r="L661" s="139"/>
      <c r="M661" s="139"/>
      <c r="N661" s="139"/>
      <c r="O661" s="65"/>
      <c r="P661" s="67"/>
    </row>
    <row r="662" ht="15.75" customHeight="1">
      <c r="A662" s="65"/>
      <c r="B662" s="65"/>
      <c r="C662" s="190"/>
      <c r="D662" s="191"/>
      <c r="E662" s="65"/>
      <c r="F662" s="65"/>
      <c r="G662" s="65"/>
      <c r="H662" s="65"/>
      <c r="I662" s="139"/>
      <c r="J662" s="139"/>
      <c r="K662" s="139"/>
      <c r="L662" s="139"/>
      <c r="M662" s="139"/>
      <c r="N662" s="139"/>
      <c r="O662" s="65"/>
      <c r="P662" s="67"/>
    </row>
    <row r="663" ht="15.75" customHeight="1">
      <c r="A663" s="65"/>
      <c r="B663" s="65"/>
      <c r="C663" s="190"/>
      <c r="D663" s="191"/>
      <c r="E663" s="65"/>
      <c r="F663" s="65"/>
      <c r="G663" s="65"/>
      <c r="H663" s="65"/>
      <c r="I663" s="139"/>
      <c r="J663" s="139"/>
      <c r="K663" s="139"/>
      <c r="L663" s="139"/>
      <c r="M663" s="139"/>
      <c r="N663" s="139"/>
      <c r="O663" s="65"/>
      <c r="P663" s="67"/>
    </row>
    <row r="664" ht="15.75" customHeight="1">
      <c r="A664" s="65"/>
      <c r="B664" s="65"/>
      <c r="C664" s="190"/>
      <c r="D664" s="191"/>
      <c r="E664" s="65"/>
      <c r="F664" s="65"/>
      <c r="G664" s="65"/>
      <c r="H664" s="65"/>
      <c r="I664" s="139"/>
      <c r="J664" s="139"/>
      <c r="K664" s="139"/>
      <c r="L664" s="139"/>
      <c r="M664" s="139"/>
      <c r="N664" s="139"/>
      <c r="O664" s="65"/>
      <c r="P664" s="67"/>
    </row>
    <row r="665" ht="15.75" customHeight="1">
      <c r="A665" s="65"/>
      <c r="B665" s="65"/>
      <c r="C665" s="190"/>
      <c r="D665" s="191"/>
      <c r="E665" s="65"/>
      <c r="F665" s="65"/>
      <c r="G665" s="65"/>
      <c r="H665" s="65"/>
      <c r="I665" s="139"/>
      <c r="J665" s="139"/>
      <c r="K665" s="139"/>
      <c r="L665" s="139"/>
      <c r="M665" s="139"/>
      <c r="N665" s="139"/>
      <c r="O665" s="65"/>
      <c r="P665" s="67"/>
    </row>
    <row r="666" ht="15.75" customHeight="1">
      <c r="A666" s="65"/>
      <c r="B666" s="65"/>
      <c r="C666" s="190"/>
      <c r="D666" s="191"/>
      <c r="E666" s="65"/>
      <c r="F666" s="65"/>
      <c r="G666" s="65"/>
      <c r="H666" s="65"/>
      <c r="I666" s="139"/>
      <c r="J666" s="139"/>
      <c r="K666" s="139"/>
      <c r="L666" s="139"/>
      <c r="M666" s="139"/>
      <c r="N666" s="139"/>
      <c r="O666" s="65"/>
      <c r="P666" s="67"/>
    </row>
    <row r="667" ht="15.75" customHeight="1">
      <c r="A667" s="65"/>
      <c r="B667" s="65"/>
      <c r="C667" s="190"/>
      <c r="D667" s="191"/>
      <c r="E667" s="65"/>
      <c r="F667" s="65"/>
      <c r="G667" s="65"/>
      <c r="H667" s="65"/>
      <c r="I667" s="139"/>
      <c r="J667" s="139"/>
      <c r="K667" s="139"/>
      <c r="L667" s="139"/>
      <c r="M667" s="139"/>
      <c r="N667" s="139"/>
      <c r="O667" s="65"/>
      <c r="P667" s="67"/>
    </row>
    <row r="668" ht="15.75" customHeight="1">
      <c r="A668" s="65"/>
      <c r="B668" s="65"/>
      <c r="C668" s="190"/>
      <c r="D668" s="191"/>
      <c r="E668" s="65"/>
      <c r="F668" s="65"/>
      <c r="G668" s="65"/>
      <c r="H668" s="65"/>
      <c r="I668" s="139"/>
      <c r="J668" s="139"/>
      <c r="K668" s="139"/>
      <c r="L668" s="139"/>
      <c r="M668" s="139"/>
      <c r="N668" s="139"/>
      <c r="O668" s="65"/>
      <c r="P668" s="67"/>
    </row>
    <row r="669" ht="15.75" customHeight="1">
      <c r="A669" s="65"/>
      <c r="B669" s="65"/>
      <c r="C669" s="190"/>
      <c r="D669" s="191"/>
      <c r="E669" s="65"/>
      <c r="F669" s="65"/>
      <c r="G669" s="65"/>
      <c r="H669" s="65"/>
      <c r="I669" s="139"/>
      <c r="J669" s="139"/>
      <c r="K669" s="139"/>
      <c r="L669" s="139"/>
      <c r="M669" s="139"/>
      <c r="N669" s="139"/>
      <c r="O669" s="65"/>
      <c r="P669" s="67"/>
    </row>
    <row r="670" ht="15.75" customHeight="1">
      <c r="A670" s="65"/>
      <c r="B670" s="65"/>
      <c r="C670" s="190"/>
      <c r="D670" s="191"/>
      <c r="E670" s="65"/>
      <c r="F670" s="65"/>
      <c r="G670" s="65"/>
      <c r="H670" s="65"/>
      <c r="I670" s="139"/>
      <c r="J670" s="139"/>
      <c r="K670" s="139"/>
      <c r="L670" s="139"/>
      <c r="M670" s="139"/>
      <c r="N670" s="139"/>
      <c r="O670" s="65"/>
      <c r="P670" s="67"/>
    </row>
    <row r="671" ht="15.75" customHeight="1">
      <c r="A671" s="65"/>
      <c r="B671" s="65"/>
      <c r="C671" s="190"/>
      <c r="D671" s="191"/>
      <c r="E671" s="65"/>
      <c r="F671" s="65"/>
      <c r="G671" s="65"/>
      <c r="H671" s="65"/>
      <c r="I671" s="139"/>
      <c r="J671" s="139"/>
      <c r="K671" s="139"/>
      <c r="L671" s="139"/>
      <c r="M671" s="139"/>
      <c r="N671" s="139"/>
      <c r="O671" s="65"/>
      <c r="P671" s="67"/>
    </row>
    <row r="672" ht="15.75" customHeight="1">
      <c r="A672" s="65"/>
      <c r="B672" s="65"/>
      <c r="C672" s="190"/>
      <c r="D672" s="191"/>
      <c r="E672" s="65"/>
      <c r="F672" s="65"/>
      <c r="G672" s="65"/>
      <c r="H672" s="65"/>
      <c r="I672" s="139"/>
      <c r="J672" s="139"/>
      <c r="K672" s="139"/>
      <c r="L672" s="139"/>
      <c r="M672" s="139"/>
      <c r="N672" s="139"/>
      <c r="O672" s="65"/>
      <c r="P672" s="67"/>
    </row>
    <row r="673" ht="15.75" customHeight="1">
      <c r="A673" s="65"/>
      <c r="B673" s="65"/>
      <c r="C673" s="190"/>
      <c r="D673" s="191"/>
      <c r="E673" s="65"/>
      <c r="F673" s="65"/>
      <c r="G673" s="65"/>
      <c r="H673" s="65"/>
      <c r="I673" s="139"/>
      <c r="J673" s="139"/>
      <c r="K673" s="139"/>
      <c r="L673" s="139"/>
      <c r="M673" s="139"/>
      <c r="N673" s="139"/>
      <c r="O673" s="65"/>
      <c r="P673" s="67"/>
    </row>
    <row r="674" ht="15.75" customHeight="1">
      <c r="A674" s="65"/>
      <c r="B674" s="65"/>
      <c r="C674" s="190"/>
      <c r="D674" s="191"/>
      <c r="E674" s="65"/>
      <c r="F674" s="65"/>
      <c r="G674" s="65"/>
      <c r="H674" s="65"/>
      <c r="I674" s="139"/>
      <c r="J674" s="139"/>
      <c r="K674" s="139"/>
      <c r="L674" s="139"/>
      <c r="M674" s="139"/>
      <c r="N674" s="139"/>
      <c r="O674" s="65"/>
      <c r="P674" s="67"/>
    </row>
    <row r="675" ht="15.75" customHeight="1">
      <c r="A675" s="65"/>
      <c r="B675" s="65"/>
      <c r="C675" s="190"/>
      <c r="D675" s="191"/>
      <c r="E675" s="65"/>
      <c r="F675" s="65"/>
      <c r="G675" s="65"/>
      <c r="H675" s="65"/>
      <c r="I675" s="139"/>
      <c r="J675" s="139"/>
      <c r="K675" s="139"/>
      <c r="L675" s="139"/>
      <c r="M675" s="139"/>
      <c r="N675" s="139"/>
      <c r="O675" s="65"/>
      <c r="P675" s="67"/>
    </row>
    <row r="676" ht="15.75" customHeight="1">
      <c r="A676" s="65"/>
      <c r="B676" s="65"/>
      <c r="C676" s="190"/>
      <c r="D676" s="191"/>
      <c r="E676" s="65"/>
      <c r="F676" s="65"/>
      <c r="G676" s="65"/>
      <c r="H676" s="65"/>
      <c r="I676" s="139"/>
      <c r="J676" s="139"/>
      <c r="K676" s="139"/>
      <c r="L676" s="139"/>
      <c r="M676" s="139"/>
      <c r="N676" s="139"/>
      <c r="O676" s="65"/>
      <c r="P676" s="67"/>
    </row>
    <row r="677" ht="15.75" customHeight="1">
      <c r="A677" s="65"/>
      <c r="B677" s="65"/>
      <c r="C677" s="190"/>
      <c r="D677" s="191"/>
      <c r="E677" s="65"/>
      <c r="F677" s="65"/>
      <c r="G677" s="65"/>
      <c r="H677" s="65"/>
      <c r="I677" s="139"/>
      <c r="J677" s="139"/>
      <c r="K677" s="139"/>
      <c r="L677" s="139"/>
      <c r="M677" s="139"/>
      <c r="N677" s="139"/>
      <c r="O677" s="65"/>
      <c r="P677" s="67"/>
    </row>
    <row r="678" ht="15.75" customHeight="1">
      <c r="A678" s="65"/>
      <c r="B678" s="65"/>
      <c r="C678" s="190"/>
      <c r="D678" s="191"/>
      <c r="E678" s="65"/>
      <c r="F678" s="65"/>
      <c r="G678" s="65"/>
      <c r="H678" s="65"/>
      <c r="I678" s="139"/>
      <c r="J678" s="139"/>
      <c r="K678" s="139"/>
      <c r="L678" s="139"/>
      <c r="M678" s="139"/>
      <c r="N678" s="139"/>
      <c r="O678" s="65"/>
      <c r="P678" s="67"/>
    </row>
    <row r="679" ht="15.75" customHeight="1">
      <c r="A679" s="65"/>
      <c r="B679" s="65"/>
      <c r="C679" s="190"/>
      <c r="D679" s="191"/>
      <c r="E679" s="65"/>
      <c r="F679" s="65"/>
      <c r="G679" s="65"/>
      <c r="H679" s="65"/>
      <c r="I679" s="139"/>
      <c r="J679" s="139"/>
      <c r="K679" s="139"/>
      <c r="L679" s="139"/>
      <c r="M679" s="139"/>
      <c r="N679" s="139"/>
      <c r="O679" s="65"/>
      <c r="P679" s="67"/>
    </row>
    <row r="680" ht="15.75" customHeight="1">
      <c r="A680" s="65"/>
      <c r="B680" s="65"/>
      <c r="C680" s="190"/>
      <c r="D680" s="191"/>
      <c r="E680" s="65"/>
      <c r="F680" s="65"/>
      <c r="G680" s="65"/>
      <c r="H680" s="65"/>
      <c r="I680" s="139"/>
      <c r="J680" s="139"/>
      <c r="K680" s="139"/>
      <c r="L680" s="139"/>
      <c r="M680" s="139"/>
      <c r="N680" s="139"/>
      <c r="O680" s="65"/>
      <c r="P680" s="67"/>
    </row>
    <row r="681" ht="15.75" customHeight="1">
      <c r="A681" s="65"/>
      <c r="B681" s="65"/>
      <c r="C681" s="190"/>
      <c r="D681" s="191"/>
      <c r="E681" s="65"/>
      <c r="F681" s="65"/>
      <c r="G681" s="65"/>
      <c r="H681" s="65"/>
      <c r="I681" s="139"/>
      <c r="J681" s="139"/>
      <c r="K681" s="139"/>
      <c r="L681" s="139"/>
      <c r="M681" s="139"/>
      <c r="N681" s="139"/>
      <c r="O681" s="65"/>
      <c r="P681" s="67"/>
    </row>
    <row r="682" ht="15.75" customHeight="1">
      <c r="A682" s="65"/>
      <c r="B682" s="65"/>
      <c r="C682" s="190"/>
      <c r="D682" s="191"/>
      <c r="E682" s="65"/>
      <c r="F682" s="65"/>
      <c r="G682" s="65"/>
      <c r="H682" s="65"/>
      <c r="I682" s="139"/>
      <c r="J682" s="139"/>
      <c r="K682" s="139"/>
      <c r="L682" s="139"/>
      <c r="M682" s="139"/>
      <c r="N682" s="139"/>
      <c r="O682" s="65"/>
      <c r="P682" s="67"/>
    </row>
    <row r="683" ht="15.75" customHeight="1">
      <c r="A683" s="65"/>
      <c r="B683" s="65"/>
      <c r="C683" s="190"/>
      <c r="D683" s="191"/>
      <c r="E683" s="65"/>
      <c r="F683" s="65"/>
      <c r="G683" s="65"/>
      <c r="H683" s="65"/>
      <c r="I683" s="139"/>
      <c r="J683" s="139"/>
      <c r="K683" s="139"/>
      <c r="L683" s="139"/>
      <c r="M683" s="139"/>
      <c r="N683" s="139"/>
      <c r="O683" s="65"/>
      <c r="P683" s="67"/>
    </row>
    <row r="684" ht="15.75" customHeight="1">
      <c r="A684" s="65"/>
      <c r="B684" s="65"/>
      <c r="C684" s="190"/>
      <c r="D684" s="191"/>
      <c r="E684" s="65"/>
      <c r="F684" s="65"/>
      <c r="G684" s="65"/>
      <c r="H684" s="65"/>
      <c r="I684" s="139"/>
      <c r="J684" s="139"/>
      <c r="K684" s="139"/>
      <c r="L684" s="139"/>
      <c r="M684" s="139"/>
      <c r="N684" s="139"/>
      <c r="O684" s="65"/>
      <c r="P684" s="67"/>
    </row>
    <row r="685" ht="15.75" customHeight="1">
      <c r="A685" s="65"/>
      <c r="B685" s="65"/>
      <c r="C685" s="190"/>
      <c r="D685" s="191"/>
      <c r="E685" s="65"/>
      <c r="F685" s="65"/>
      <c r="G685" s="65"/>
      <c r="H685" s="65"/>
      <c r="I685" s="139"/>
      <c r="J685" s="139"/>
      <c r="K685" s="139"/>
      <c r="L685" s="139"/>
      <c r="M685" s="139"/>
      <c r="N685" s="139"/>
      <c r="O685" s="65"/>
      <c r="P685" s="67"/>
    </row>
    <row r="686" ht="15.75" customHeight="1">
      <c r="A686" s="65"/>
      <c r="B686" s="65"/>
      <c r="C686" s="190"/>
      <c r="D686" s="191"/>
      <c r="E686" s="65"/>
      <c r="F686" s="65"/>
      <c r="G686" s="65"/>
      <c r="H686" s="65"/>
      <c r="I686" s="139"/>
      <c r="J686" s="139"/>
      <c r="K686" s="139"/>
      <c r="L686" s="139"/>
      <c r="M686" s="139"/>
      <c r="N686" s="139"/>
      <c r="O686" s="65"/>
      <c r="P686" s="67"/>
    </row>
    <row r="687" ht="15.75" customHeight="1">
      <c r="A687" s="65"/>
      <c r="B687" s="65"/>
      <c r="C687" s="190"/>
      <c r="D687" s="191"/>
      <c r="E687" s="65"/>
      <c r="F687" s="65"/>
      <c r="G687" s="65"/>
      <c r="H687" s="65"/>
      <c r="I687" s="139"/>
      <c r="J687" s="139"/>
      <c r="K687" s="139"/>
      <c r="L687" s="139"/>
      <c r="M687" s="139"/>
      <c r="N687" s="139"/>
      <c r="O687" s="65"/>
      <c r="P687" s="67"/>
    </row>
    <row r="688" ht="15.75" customHeight="1">
      <c r="A688" s="65"/>
      <c r="B688" s="65"/>
      <c r="C688" s="190"/>
      <c r="D688" s="191"/>
      <c r="E688" s="65"/>
      <c r="F688" s="65"/>
      <c r="G688" s="65"/>
      <c r="H688" s="65"/>
      <c r="I688" s="139"/>
      <c r="J688" s="139"/>
      <c r="K688" s="139"/>
      <c r="L688" s="139"/>
      <c r="M688" s="139"/>
      <c r="N688" s="139"/>
      <c r="O688" s="65"/>
      <c r="P688" s="67"/>
    </row>
    <row r="689" ht="15.75" customHeight="1">
      <c r="A689" s="65"/>
      <c r="B689" s="65"/>
      <c r="C689" s="190"/>
      <c r="D689" s="191"/>
      <c r="E689" s="65"/>
      <c r="F689" s="65"/>
      <c r="G689" s="65"/>
      <c r="H689" s="65"/>
      <c r="I689" s="139"/>
      <c r="J689" s="139"/>
      <c r="K689" s="139"/>
      <c r="L689" s="139"/>
      <c r="M689" s="139"/>
      <c r="N689" s="139"/>
      <c r="O689" s="65"/>
      <c r="P689" s="67"/>
    </row>
    <row r="690" ht="15.75" customHeight="1">
      <c r="A690" s="65"/>
      <c r="B690" s="65"/>
      <c r="C690" s="190"/>
      <c r="D690" s="191"/>
      <c r="E690" s="65"/>
      <c r="F690" s="65"/>
      <c r="G690" s="65"/>
      <c r="H690" s="65"/>
      <c r="I690" s="139"/>
      <c r="J690" s="139"/>
      <c r="K690" s="139"/>
      <c r="L690" s="139"/>
      <c r="M690" s="139"/>
      <c r="N690" s="139"/>
      <c r="O690" s="65"/>
      <c r="P690" s="67"/>
    </row>
    <row r="691" ht="15.75" customHeight="1">
      <c r="A691" s="65"/>
      <c r="B691" s="65"/>
      <c r="C691" s="190"/>
      <c r="D691" s="191"/>
      <c r="E691" s="65"/>
      <c r="F691" s="65"/>
      <c r="G691" s="65"/>
      <c r="H691" s="65"/>
      <c r="I691" s="139"/>
      <c r="J691" s="139"/>
      <c r="K691" s="139"/>
      <c r="L691" s="139"/>
      <c r="M691" s="139"/>
      <c r="N691" s="139"/>
      <c r="O691" s="65"/>
      <c r="P691" s="67"/>
    </row>
    <row r="692" ht="15.75" customHeight="1">
      <c r="A692" s="65"/>
      <c r="B692" s="65"/>
      <c r="C692" s="190"/>
      <c r="D692" s="191"/>
      <c r="E692" s="65"/>
      <c r="F692" s="65"/>
      <c r="G692" s="65"/>
      <c r="H692" s="65"/>
      <c r="I692" s="139"/>
      <c r="J692" s="139"/>
      <c r="K692" s="139"/>
      <c r="L692" s="139"/>
      <c r="M692" s="139"/>
      <c r="N692" s="139"/>
      <c r="O692" s="65"/>
      <c r="P692" s="67"/>
    </row>
    <row r="693" ht="15.75" customHeight="1">
      <c r="A693" s="65"/>
      <c r="B693" s="65"/>
      <c r="C693" s="190"/>
      <c r="D693" s="191"/>
      <c r="E693" s="65"/>
      <c r="F693" s="65"/>
      <c r="G693" s="65"/>
      <c r="H693" s="65"/>
      <c r="I693" s="139"/>
      <c r="J693" s="139"/>
      <c r="K693" s="139"/>
      <c r="L693" s="139"/>
      <c r="M693" s="139"/>
      <c r="N693" s="139"/>
      <c r="O693" s="65"/>
      <c r="P693" s="67"/>
    </row>
    <row r="694" ht="15.75" customHeight="1">
      <c r="A694" s="65"/>
      <c r="B694" s="65"/>
      <c r="C694" s="190"/>
      <c r="D694" s="191"/>
      <c r="E694" s="65"/>
      <c r="F694" s="65"/>
      <c r="G694" s="65"/>
      <c r="H694" s="65"/>
      <c r="I694" s="139"/>
      <c r="J694" s="139"/>
      <c r="K694" s="139"/>
      <c r="L694" s="139"/>
      <c r="M694" s="139"/>
      <c r="N694" s="139"/>
      <c r="O694" s="65"/>
      <c r="P694" s="67"/>
    </row>
    <row r="695" ht="15.75" customHeight="1">
      <c r="A695" s="65"/>
      <c r="B695" s="65"/>
      <c r="C695" s="190"/>
      <c r="D695" s="191"/>
      <c r="E695" s="65"/>
      <c r="F695" s="65"/>
      <c r="G695" s="65"/>
      <c r="H695" s="65"/>
      <c r="I695" s="139"/>
      <c r="J695" s="139"/>
      <c r="K695" s="139"/>
      <c r="L695" s="139"/>
      <c r="M695" s="139"/>
      <c r="N695" s="139"/>
      <c r="O695" s="65"/>
      <c r="P695" s="67"/>
    </row>
    <row r="696" ht="15.75" customHeight="1">
      <c r="A696" s="65"/>
      <c r="B696" s="65"/>
      <c r="C696" s="190"/>
      <c r="D696" s="191"/>
      <c r="E696" s="65"/>
      <c r="F696" s="65"/>
      <c r="G696" s="65"/>
      <c r="H696" s="65"/>
      <c r="I696" s="139"/>
      <c r="J696" s="139"/>
      <c r="K696" s="139"/>
      <c r="L696" s="139"/>
      <c r="M696" s="139"/>
      <c r="N696" s="139"/>
      <c r="O696" s="65"/>
      <c r="P696" s="67"/>
    </row>
    <row r="697" ht="15.75" customHeight="1">
      <c r="A697" s="65"/>
      <c r="B697" s="65"/>
      <c r="C697" s="190"/>
      <c r="D697" s="191"/>
      <c r="E697" s="65"/>
      <c r="F697" s="65"/>
      <c r="G697" s="65"/>
      <c r="H697" s="65"/>
      <c r="I697" s="139"/>
      <c r="J697" s="139"/>
      <c r="K697" s="139"/>
      <c r="L697" s="139"/>
      <c r="M697" s="139"/>
      <c r="N697" s="139"/>
      <c r="O697" s="65"/>
      <c r="P697" s="67"/>
    </row>
    <row r="698" ht="15.75" customHeight="1">
      <c r="A698" s="65"/>
      <c r="B698" s="65"/>
      <c r="C698" s="190"/>
      <c r="D698" s="191"/>
      <c r="E698" s="65"/>
      <c r="F698" s="65"/>
      <c r="G698" s="65"/>
      <c r="H698" s="65"/>
      <c r="I698" s="139"/>
      <c r="J698" s="139"/>
      <c r="K698" s="139"/>
      <c r="L698" s="139"/>
      <c r="M698" s="139"/>
      <c r="N698" s="139"/>
      <c r="O698" s="65"/>
      <c r="P698" s="67"/>
    </row>
    <row r="699" ht="15.75" customHeight="1">
      <c r="A699" s="65"/>
      <c r="B699" s="65"/>
      <c r="C699" s="190"/>
      <c r="D699" s="191"/>
      <c r="E699" s="65"/>
      <c r="F699" s="65"/>
      <c r="G699" s="65"/>
      <c r="H699" s="65"/>
      <c r="I699" s="139"/>
      <c r="J699" s="139"/>
      <c r="K699" s="139"/>
      <c r="L699" s="139"/>
      <c r="M699" s="139"/>
      <c r="N699" s="139"/>
      <c r="O699" s="65"/>
      <c r="P699" s="67"/>
    </row>
    <row r="700" ht="15.75" customHeight="1">
      <c r="A700" s="65"/>
      <c r="B700" s="65"/>
      <c r="C700" s="190"/>
      <c r="D700" s="191"/>
      <c r="E700" s="65"/>
      <c r="F700" s="65"/>
      <c r="G700" s="65"/>
      <c r="H700" s="65"/>
      <c r="I700" s="139"/>
      <c r="J700" s="139"/>
      <c r="K700" s="139"/>
      <c r="L700" s="139"/>
      <c r="M700" s="139"/>
      <c r="N700" s="139"/>
      <c r="O700" s="65"/>
      <c r="P700" s="67"/>
    </row>
    <row r="701" ht="15.75" customHeight="1">
      <c r="A701" s="65"/>
      <c r="B701" s="65"/>
      <c r="C701" s="190"/>
      <c r="D701" s="191"/>
      <c r="E701" s="65"/>
      <c r="F701" s="65"/>
      <c r="G701" s="65"/>
      <c r="H701" s="65"/>
      <c r="I701" s="139"/>
      <c r="J701" s="139"/>
      <c r="K701" s="139"/>
      <c r="L701" s="139"/>
      <c r="M701" s="139"/>
      <c r="N701" s="139"/>
      <c r="O701" s="65"/>
      <c r="P701" s="67"/>
    </row>
    <row r="702" ht="15.75" customHeight="1">
      <c r="A702" s="65"/>
      <c r="B702" s="65"/>
      <c r="C702" s="190"/>
      <c r="D702" s="191"/>
      <c r="E702" s="65"/>
      <c r="F702" s="65"/>
      <c r="G702" s="65"/>
      <c r="H702" s="65"/>
      <c r="I702" s="139"/>
      <c r="J702" s="139"/>
      <c r="K702" s="139"/>
      <c r="L702" s="139"/>
      <c r="M702" s="139"/>
      <c r="N702" s="139"/>
      <c r="O702" s="65"/>
      <c r="P702" s="67"/>
    </row>
    <row r="703" ht="15.75" customHeight="1">
      <c r="A703" s="65"/>
      <c r="B703" s="65"/>
      <c r="C703" s="190"/>
      <c r="D703" s="191"/>
      <c r="E703" s="65"/>
      <c r="F703" s="65"/>
      <c r="G703" s="65"/>
      <c r="H703" s="65"/>
      <c r="I703" s="139"/>
      <c r="J703" s="139"/>
      <c r="K703" s="139"/>
      <c r="L703" s="139"/>
      <c r="M703" s="139"/>
      <c r="N703" s="139"/>
      <c r="O703" s="65"/>
      <c r="P703" s="67"/>
    </row>
    <row r="704" ht="15.75" customHeight="1">
      <c r="A704" s="65"/>
      <c r="B704" s="65"/>
      <c r="C704" s="190"/>
      <c r="D704" s="191"/>
      <c r="E704" s="65"/>
      <c r="F704" s="65"/>
      <c r="G704" s="65"/>
      <c r="H704" s="65"/>
      <c r="I704" s="139"/>
      <c r="J704" s="139"/>
      <c r="K704" s="139"/>
      <c r="L704" s="139"/>
      <c r="M704" s="139"/>
      <c r="N704" s="139"/>
      <c r="O704" s="65"/>
      <c r="P704" s="67"/>
    </row>
    <row r="705" ht="15.75" customHeight="1">
      <c r="A705" s="65"/>
      <c r="B705" s="65"/>
      <c r="C705" s="190"/>
      <c r="D705" s="191"/>
      <c r="E705" s="65"/>
      <c r="F705" s="65"/>
      <c r="G705" s="65"/>
      <c r="H705" s="65"/>
      <c r="I705" s="139"/>
      <c r="J705" s="139"/>
      <c r="K705" s="139"/>
      <c r="L705" s="139"/>
      <c r="M705" s="139"/>
      <c r="N705" s="139"/>
      <c r="O705" s="65"/>
      <c r="P705" s="67"/>
    </row>
    <row r="706" ht="15.75" customHeight="1">
      <c r="A706" s="65"/>
      <c r="B706" s="65"/>
      <c r="C706" s="190"/>
      <c r="D706" s="191"/>
      <c r="E706" s="65"/>
      <c r="F706" s="65"/>
      <c r="G706" s="65"/>
      <c r="H706" s="65"/>
      <c r="I706" s="139"/>
      <c r="J706" s="139"/>
      <c r="K706" s="139"/>
      <c r="L706" s="139"/>
      <c r="M706" s="139"/>
      <c r="N706" s="139"/>
      <c r="O706" s="65"/>
      <c r="P706" s="67"/>
    </row>
    <row r="707" ht="15.75" customHeight="1">
      <c r="A707" s="65"/>
      <c r="B707" s="65"/>
      <c r="C707" s="190"/>
      <c r="D707" s="191"/>
      <c r="E707" s="65"/>
      <c r="F707" s="65"/>
      <c r="G707" s="65"/>
      <c r="H707" s="65"/>
      <c r="I707" s="139"/>
      <c r="J707" s="139"/>
      <c r="K707" s="139"/>
      <c r="L707" s="139"/>
      <c r="M707" s="139"/>
      <c r="N707" s="139"/>
      <c r="O707" s="65"/>
      <c r="P707" s="67"/>
    </row>
    <row r="708" ht="15.75" customHeight="1">
      <c r="A708" s="65"/>
      <c r="B708" s="65"/>
      <c r="C708" s="190"/>
      <c r="D708" s="191"/>
      <c r="E708" s="65"/>
      <c r="F708" s="65"/>
      <c r="G708" s="65"/>
      <c r="H708" s="65"/>
      <c r="I708" s="139"/>
      <c r="J708" s="139"/>
      <c r="K708" s="139"/>
      <c r="L708" s="139"/>
      <c r="M708" s="139"/>
      <c r="N708" s="139"/>
      <c r="O708" s="65"/>
      <c r="P708" s="67"/>
    </row>
    <row r="709" ht="15.75" customHeight="1">
      <c r="A709" s="65"/>
      <c r="B709" s="65"/>
      <c r="C709" s="190"/>
      <c r="D709" s="191"/>
      <c r="E709" s="65"/>
      <c r="F709" s="65"/>
      <c r="G709" s="65"/>
      <c r="H709" s="65"/>
      <c r="I709" s="139"/>
      <c r="J709" s="139"/>
      <c r="K709" s="139"/>
      <c r="L709" s="139"/>
      <c r="M709" s="139"/>
      <c r="N709" s="139"/>
      <c r="O709" s="65"/>
      <c r="P709" s="67"/>
    </row>
    <row r="710" ht="15.75" customHeight="1">
      <c r="A710" s="65"/>
      <c r="B710" s="65"/>
      <c r="C710" s="190"/>
      <c r="D710" s="191"/>
      <c r="E710" s="65"/>
      <c r="F710" s="65"/>
      <c r="G710" s="65"/>
      <c r="H710" s="65"/>
      <c r="I710" s="139"/>
      <c r="J710" s="139"/>
      <c r="K710" s="139"/>
      <c r="L710" s="139"/>
      <c r="M710" s="139"/>
      <c r="N710" s="139"/>
      <c r="O710" s="65"/>
      <c r="P710" s="67"/>
    </row>
    <row r="711" ht="15.75" customHeight="1">
      <c r="A711" s="65"/>
      <c r="B711" s="65"/>
      <c r="C711" s="190"/>
      <c r="D711" s="191"/>
      <c r="E711" s="65"/>
      <c r="F711" s="65"/>
      <c r="G711" s="65"/>
      <c r="H711" s="65"/>
      <c r="I711" s="139"/>
      <c r="J711" s="139"/>
      <c r="K711" s="139"/>
      <c r="L711" s="139"/>
      <c r="M711" s="139"/>
      <c r="N711" s="139"/>
      <c r="O711" s="65"/>
      <c r="P711" s="67"/>
    </row>
    <row r="712" ht="15.75" customHeight="1">
      <c r="A712" s="65"/>
      <c r="B712" s="65"/>
      <c r="C712" s="190"/>
      <c r="D712" s="191"/>
      <c r="E712" s="65"/>
      <c r="F712" s="65"/>
      <c r="G712" s="65"/>
      <c r="H712" s="65"/>
      <c r="I712" s="139"/>
      <c r="J712" s="139"/>
      <c r="K712" s="139"/>
      <c r="L712" s="139"/>
      <c r="M712" s="139"/>
      <c r="N712" s="139"/>
      <c r="O712" s="65"/>
      <c r="P712" s="67"/>
    </row>
    <row r="713" ht="15.75" customHeight="1">
      <c r="A713" s="65"/>
      <c r="B713" s="65"/>
      <c r="C713" s="190"/>
      <c r="D713" s="191"/>
      <c r="E713" s="65"/>
      <c r="F713" s="65"/>
      <c r="G713" s="65"/>
      <c r="H713" s="65"/>
      <c r="I713" s="139"/>
      <c r="J713" s="139"/>
      <c r="K713" s="139"/>
      <c r="L713" s="139"/>
      <c r="M713" s="139"/>
      <c r="N713" s="139"/>
      <c r="O713" s="65"/>
      <c r="P713" s="67"/>
    </row>
    <row r="714" ht="15.75" customHeight="1">
      <c r="A714" s="65"/>
      <c r="B714" s="65"/>
      <c r="C714" s="190"/>
      <c r="D714" s="191"/>
      <c r="E714" s="65"/>
      <c r="F714" s="65"/>
      <c r="G714" s="65"/>
      <c r="H714" s="65"/>
      <c r="I714" s="139"/>
      <c r="J714" s="139"/>
      <c r="K714" s="139"/>
      <c r="L714" s="139"/>
      <c r="M714" s="139"/>
      <c r="N714" s="139"/>
      <c r="O714" s="65"/>
      <c r="P714" s="67"/>
    </row>
    <row r="715" ht="15.75" customHeight="1">
      <c r="A715" s="65"/>
      <c r="B715" s="65"/>
      <c r="C715" s="190"/>
      <c r="D715" s="191"/>
      <c r="E715" s="65"/>
      <c r="F715" s="65"/>
      <c r="G715" s="65"/>
      <c r="H715" s="65"/>
      <c r="I715" s="139"/>
      <c r="J715" s="139"/>
      <c r="K715" s="139"/>
      <c r="L715" s="139"/>
      <c r="M715" s="139"/>
      <c r="N715" s="139"/>
      <c r="O715" s="65"/>
      <c r="P715" s="67"/>
    </row>
    <row r="716" ht="15.75" customHeight="1">
      <c r="A716" s="65"/>
      <c r="B716" s="65"/>
      <c r="C716" s="190"/>
      <c r="D716" s="191"/>
      <c r="E716" s="65"/>
      <c r="F716" s="65"/>
      <c r="G716" s="65"/>
      <c r="H716" s="65"/>
      <c r="I716" s="139"/>
      <c r="J716" s="139"/>
      <c r="K716" s="139"/>
      <c r="L716" s="139"/>
      <c r="M716" s="139"/>
      <c r="N716" s="139"/>
      <c r="O716" s="65"/>
      <c r="P716" s="67"/>
    </row>
    <row r="717" ht="15.75" customHeight="1">
      <c r="A717" s="65"/>
      <c r="B717" s="65"/>
      <c r="C717" s="190"/>
      <c r="D717" s="191"/>
      <c r="E717" s="65"/>
      <c r="F717" s="65"/>
      <c r="G717" s="65"/>
      <c r="H717" s="65"/>
      <c r="I717" s="139"/>
      <c r="J717" s="139"/>
      <c r="K717" s="139"/>
      <c r="L717" s="139"/>
      <c r="M717" s="139"/>
      <c r="N717" s="139"/>
      <c r="O717" s="65"/>
      <c r="P717" s="67"/>
    </row>
    <row r="718" ht="15.75" customHeight="1">
      <c r="A718" s="65"/>
      <c r="B718" s="65"/>
      <c r="C718" s="190"/>
      <c r="D718" s="191"/>
      <c r="E718" s="65"/>
      <c r="F718" s="65"/>
      <c r="G718" s="65"/>
      <c r="H718" s="65"/>
      <c r="I718" s="139"/>
      <c r="J718" s="139"/>
      <c r="K718" s="139"/>
      <c r="L718" s="139"/>
      <c r="M718" s="139"/>
      <c r="N718" s="139"/>
      <c r="O718" s="65"/>
      <c r="P718" s="67"/>
    </row>
    <row r="719" ht="15.75" customHeight="1">
      <c r="A719" s="65"/>
      <c r="B719" s="65"/>
      <c r="C719" s="190"/>
      <c r="D719" s="191"/>
      <c r="E719" s="65"/>
      <c r="F719" s="65"/>
      <c r="G719" s="65"/>
      <c r="H719" s="65"/>
      <c r="I719" s="139"/>
      <c r="J719" s="139"/>
      <c r="K719" s="139"/>
      <c r="L719" s="139"/>
      <c r="M719" s="139"/>
      <c r="N719" s="139"/>
      <c r="O719" s="65"/>
      <c r="P719" s="67"/>
    </row>
    <row r="720" ht="15.75" customHeight="1">
      <c r="A720" s="65"/>
      <c r="B720" s="65"/>
      <c r="C720" s="190"/>
      <c r="D720" s="191"/>
      <c r="E720" s="65"/>
      <c r="F720" s="65"/>
      <c r="G720" s="65"/>
      <c r="H720" s="65"/>
      <c r="I720" s="139"/>
      <c r="J720" s="139"/>
      <c r="K720" s="139"/>
      <c r="L720" s="139"/>
      <c r="M720" s="139"/>
      <c r="N720" s="139"/>
      <c r="O720" s="65"/>
      <c r="P720" s="67"/>
    </row>
    <row r="721" ht="15.75" customHeight="1">
      <c r="A721" s="65"/>
      <c r="B721" s="65"/>
      <c r="C721" s="190"/>
      <c r="D721" s="191"/>
      <c r="E721" s="65"/>
      <c r="F721" s="65"/>
      <c r="G721" s="65"/>
      <c r="H721" s="65"/>
      <c r="I721" s="139"/>
      <c r="J721" s="139"/>
      <c r="K721" s="139"/>
      <c r="L721" s="139"/>
      <c r="M721" s="139"/>
      <c r="N721" s="139"/>
      <c r="O721" s="65"/>
      <c r="P721" s="67"/>
    </row>
    <row r="722" ht="15.75" customHeight="1">
      <c r="A722" s="65"/>
      <c r="B722" s="65"/>
      <c r="C722" s="190"/>
      <c r="D722" s="191"/>
      <c r="E722" s="65"/>
      <c r="F722" s="65"/>
      <c r="G722" s="65"/>
      <c r="H722" s="65"/>
      <c r="I722" s="139"/>
      <c r="J722" s="139"/>
      <c r="K722" s="139"/>
      <c r="L722" s="139"/>
      <c r="M722" s="139"/>
      <c r="N722" s="139"/>
      <c r="O722" s="65"/>
      <c r="P722" s="67"/>
    </row>
    <row r="723" ht="15.75" customHeight="1">
      <c r="A723" s="65"/>
      <c r="B723" s="65"/>
      <c r="C723" s="190"/>
      <c r="D723" s="191"/>
      <c r="E723" s="65"/>
      <c r="F723" s="65"/>
      <c r="G723" s="65"/>
      <c r="H723" s="65"/>
      <c r="I723" s="139"/>
      <c r="J723" s="139"/>
      <c r="K723" s="139"/>
      <c r="L723" s="139"/>
      <c r="M723" s="139"/>
      <c r="N723" s="139"/>
      <c r="O723" s="65"/>
      <c r="P723" s="67"/>
    </row>
    <row r="724" ht="15.75" customHeight="1">
      <c r="A724" s="65"/>
      <c r="B724" s="65"/>
      <c r="C724" s="190"/>
      <c r="D724" s="191"/>
      <c r="E724" s="65"/>
      <c r="F724" s="65"/>
      <c r="G724" s="65"/>
      <c r="H724" s="65"/>
      <c r="I724" s="139"/>
      <c r="J724" s="139"/>
      <c r="K724" s="139"/>
      <c r="L724" s="139"/>
      <c r="M724" s="139"/>
      <c r="N724" s="139"/>
      <c r="O724" s="65"/>
      <c r="P724" s="67"/>
    </row>
    <row r="725" ht="15.75" customHeight="1">
      <c r="A725" s="65"/>
      <c r="B725" s="65"/>
      <c r="C725" s="190"/>
      <c r="D725" s="191"/>
      <c r="E725" s="65"/>
      <c r="F725" s="65"/>
      <c r="G725" s="65"/>
      <c r="H725" s="65"/>
      <c r="I725" s="139"/>
      <c r="J725" s="139"/>
      <c r="K725" s="139"/>
      <c r="L725" s="139"/>
      <c r="M725" s="139"/>
      <c r="N725" s="139"/>
      <c r="O725" s="65"/>
      <c r="P725" s="67"/>
    </row>
    <row r="726" ht="15.75" customHeight="1">
      <c r="A726" s="65"/>
      <c r="B726" s="65"/>
      <c r="C726" s="190"/>
      <c r="D726" s="191"/>
      <c r="E726" s="65"/>
      <c r="F726" s="65"/>
      <c r="G726" s="65"/>
      <c r="H726" s="65"/>
      <c r="I726" s="139"/>
      <c r="J726" s="139"/>
      <c r="K726" s="139"/>
      <c r="L726" s="139"/>
      <c r="M726" s="139"/>
      <c r="N726" s="139"/>
      <c r="O726" s="65"/>
      <c r="P726" s="67"/>
    </row>
    <row r="727" ht="15.75" customHeight="1">
      <c r="A727" s="65"/>
      <c r="B727" s="65"/>
      <c r="C727" s="190"/>
      <c r="D727" s="191"/>
      <c r="E727" s="65"/>
      <c r="F727" s="65"/>
      <c r="G727" s="65"/>
      <c r="H727" s="65"/>
      <c r="I727" s="139"/>
      <c r="J727" s="139"/>
      <c r="K727" s="139"/>
      <c r="L727" s="139"/>
      <c r="M727" s="139"/>
      <c r="N727" s="139"/>
      <c r="O727" s="65"/>
      <c r="P727" s="67"/>
    </row>
    <row r="728" ht="15.75" customHeight="1">
      <c r="A728" s="65"/>
      <c r="B728" s="65"/>
      <c r="C728" s="190"/>
      <c r="D728" s="191"/>
      <c r="E728" s="65"/>
      <c r="F728" s="65"/>
      <c r="G728" s="65"/>
      <c r="H728" s="65"/>
      <c r="I728" s="139"/>
      <c r="J728" s="139"/>
      <c r="K728" s="139"/>
      <c r="L728" s="139"/>
      <c r="M728" s="139"/>
      <c r="N728" s="139"/>
      <c r="O728" s="65"/>
      <c r="P728" s="67"/>
    </row>
    <row r="729" ht="15.75" customHeight="1">
      <c r="A729" s="65"/>
      <c r="B729" s="65"/>
      <c r="C729" s="190"/>
      <c r="D729" s="191"/>
      <c r="E729" s="65"/>
      <c r="F729" s="65"/>
      <c r="G729" s="65"/>
      <c r="H729" s="65"/>
      <c r="I729" s="139"/>
      <c r="J729" s="139"/>
      <c r="K729" s="139"/>
      <c r="L729" s="139"/>
      <c r="M729" s="139"/>
      <c r="N729" s="139"/>
      <c r="O729" s="65"/>
      <c r="P729" s="67"/>
    </row>
    <row r="730" ht="15.75" customHeight="1">
      <c r="A730" s="65"/>
      <c r="B730" s="65"/>
      <c r="C730" s="190"/>
      <c r="D730" s="191"/>
      <c r="E730" s="65"/>
      <c r="F730" s="65"/>
      <c r="G730" s="65"/>
      <c r="H730" s="65"/>
      <c r="I730" s="139"/>
      <c r="J730" s="139"/>
      <c r="K730" s="139"/>
      <c r="L730" s="139"/>
      <c r="M730" s="139"/>
      <c r="N730" s="139"/>
      <c r="O730" s="65"/>
      <c r="P730" s="67"/>
    </row>
    <row r="731" ht="15.75" customHeight="1">
      <c r="A731" s="65"/>
      <c r="B731" s="65"/>
      <c r="C731" s="190"/>
      <c r="D731" s="191"/>
      <c r="E731" s="65"/>
      <c r="F731" s="65"/>
      <c r="G731" s="65"/>
      <c r="H731" s="65"/>
      <c r="I731" s="139"/>
      <c r="J731" s="139"/>
      <c r="K731" s="139"/>
      <c r="L731" s="139"/>
      <c r="M731" s="139"/>
      <c r="N731" s="139"/>
      <c r="O731" s="65"/>
      <c r="P731" s="67"/>
    </row>
    <row r="732" ht="15.75" customHeight="1">
      <c r="A732" s="65"/>
      <c r="B732" s="65"/>
      <c r="C732" s="190"/>
      <c r="D732" s="191"/>
      <c r="E732" s="65"/>
      <c r="F732" s="65"/>
      <c r="G732" s="65"/>
      <c r="H732" s="65"/>
      <c r="I732" s="139"/>
      <c r="J732" s="139"/>
      <c r="K732" s="139"/>
      <c r="L732" s="139"/>
      <c r="M732" s="139"/>
      <c r="N732" s="139"/>
      <c r="O732" s="65"/>
      <c r="P732" s="67"/>
    </row>
    <row r="733" ht="15.75" customHeight="1">
      <c r="A733" s="65"/>
      <c r="B733" s="65"/>
      <c r="C733" s="190"/>
      <c r="D733" s="191"/>
      <c r="E733" s="65"/>
      <c r="F733" s="65"/>
      <c r="G733" s="65"/>
      <c r="H733" s="65"/>
      <c r="I733" s="139"/>
      <c r="J733" s="139"/>
      <c r="K733" s="139"/>
      <c r="L733" s="139"/>
      <c r="M733" s="139"/>
      <c r="N733" s="139"/>
      <c r="O733" s="65"/>
      <c r="P733" s="67"/>
    </row>
    <row r="734" ht="15.75" customHeight="1">
      <c r="A734" s="65"/>
      <c r="B734" s="65"/>
      <c r="C734" s="190"/>
      <c r="D734" s="191"/>
      <c r="E734" s="65"/>
      <c r="F734" s="65"/>
      <c r="G734" s="65"/>
      <c r="H734" s="65"/>
      <c r="I734" s="139"/>
      <c r="J734" s="139"/>
      <c r="K734" s="139"/>
      <c r="L734" s="139"/>
      <c r="M734" s="139"/>
      <c r="N734" s="139"/>
      <c r="O734" s="65"/>
      <c r="P734" s="67"/>
    </row>
    <row r="735" ht="15.75" customHeight="1">
      <c r="A735" s="65"/>
      <c r="B735" s="65"/>
      <c r="C735" s="190"/>
      <c r="D735" s="191"/>
      <c r="E735" s="65"/>
      <c r="F735" s="65"/>
      <c r="G735" s="65"/>
      <c r="H735" s="65"/>
      <c r="I735" s="139"/>
      <c r="J735" s="139"/>
      <c r="K735" s="139"/>
      <c r="L735" s="139"/>
      <c r="M735" s="139"/>
      <c r="N735" s="139"/>
      <c r="O735" s="65"/>
      <c r="P735" s="67"/>
    </row>
    <row r="736" ht="15.75" customHeight="1">
      <c r="A736" s="65"/>
      <c r="B736" s="65"/>
      <c r="C736" s="190"/>
      <c r="D736" s="191"/>
      <c r="E736" s="65"/>
      <c r="F736" s="65"/>
      <c r="G736" s="65"/>
      <c r="H736" s="65"/>
      <c r="I736" s="139"/>
      <c r="J736" s="139"/>
      <c r="K736" s="139"/>
      <c r="L736" s="139"/>
      <c r="M736" s="139"/>
      <c r="N736" s="139"/>
      <c r="O736" s="65"/>
      <c r="P736" s="67"/>
    </row>
    <row r="737" ht="15.75" customHeight="1">
      <c r="A737" s="65"/>
      <c r="B737" s="65"/>
      <c r="C737" s="190"/>
      <c r="D737" s="191"/>
      <c r="E737" s="65"/>
      <c r="F737" s="65"/>
      <c r="G737" s="65"/>
      <c r="H737" s="65"/>
      <c r="I737" s="139"/>
      <c r="J737" s="139"/>
      <c r="K737" s="139"/>
      <c r="L737" s="139"/>
      <c r="M737" s="139"/>
      <c r="N737" s="139"/>
      <c r="O737" s="65"/>
      <c r="P737" s="67"/>
    </row>
    <row r="738" ht="15.75" customHeight="1">
      <c r="A738" s="65"/>
      <c r="B738" s="65"/>
      <c r="C738" s="190"/>
      <c r="D738" s="191"/>
      <c r="E738" s="65"/>
      <c r="F738" s="65"/>
      <c r="G738" s="65"/>
      <c r="H738" s="65"/>
      <c r="I738" s="139"/>
      <c r="J738" s="139"/>
      <c r="K738" s="139"/>
      <c r="L738" s="139"/>
      <c r="M738" s="139"/>
      <c r="N738" s="139"/>
      <c r="O738" s="65"/>
      <c r="P738" s="67"/>
    </row>
    <row r="739" ht="15.75" customHeight="1">
      <c r="A739" s="65"/>
      <c r="B739" s="65"/>
      <c r="C739" s="190"/>
      <c r="D739" s="191"/>
      <c r="E739" s="65"/>
      <c r="F739" s="65"/>
      <c r="G739" s="65"/>
      <c r="H739" s="65"/>
      <c r="I739" s="139"/>
      <c r="J739" s="139"/>
      <c r="K739" s="139"/>
      <c r="L739" s="139"/>
      <c r="M739" s="139"/>
      <c r="N739" s="139"/>
      <c r="O739" s="65"/>
      <c r="P739" s="67"/>
    </row>
    <row r="740" ht="15.75" customHeight="1">
      <c r="A740" s="65"/>
      <c r="B740" s="65"/>
      <c r="C740" s="190"/>
      <c r="D740" s="191"/>
      <c r="E740" s="65"/>
      <c r="F740" s="65"/>
      <c r="G740" s="65"/>
      <c r="H740" s="65"/>
      <c r="I740" s="139"/>
      <c r="J740" s="139"/>
      <c r="K740" s="139"/>
      <c r="L740" s="139"/>
      <c r="M740" s="139"/>
      <c r="N740" s="139"/>
      <c r="O740" s="65"/>
      <c r="P740" s="67"/>
    </row>
    <row r="741" ht="15.75" customHeight="1">
      <c r="A741" s="65"/>
      <c r="B741" s="65"/>
      <c r="C741" s="190"/>
      <c r="D741" s="191"/>
      <c r="E741" s="65"/>
      <c r="F741" s="65"/>
      <c r="G741" s="65"/>
      <c r="H741" s="65"/>
      <c r="I741" s="139"/>
      <c r="J741" s="139"/>
      <c r="K741" s="139"/>
      <c r="L741" s="139"/>
      <c r="M741" s="139"/>
      <c r="N741" s="139"/>
      <c r="O741" s="65"/>
      <c r="P741" s="67"/>
    </row>
    <row r="742" ht="15.75" customHeight="1">
      <c r="A742" s="65"/>
      <c r="B742" s="65"/>
      <c r="C742" s="190"/>
      <c r="D742" s="191"/>
      <c r="E742" s="65"/>
      <c r="F742" s="65"/>
      <c r="G742" s="65"/>
      <c r="H742" s="65"/>
      <c r="I742" s="139"/>
      <c r="J742" s="139"/>
      <c r="K742" s="139"/>
      <c r="L742" s="139"/>
      <c r="M742" s="139"/>
      <c r="N742" s="139"/>
      <c r="O742" s="65"/>
      <c r="P742" s="67"/>
    </row>
    <row r="743" ht="15.75" customHeight="1">
      <c r="A743" s="65"/>
      <c r="B743" s="65"/>
      <c r="C743" s="190"/>
      <c r="D743" s="191"/>
      <c r="E743" s="65"/>
      <c r="F743" s="65"/>
      <c r="G743" s="65"/>
      <c r="H743" s="65"/>
      <c r="I743" s="139"/>
      <c r="J743" s="139"/>
      <c r="K743" s="139"/>
      <c r="L743" s="139"/>
      <c r="M743" s="139"/>
      <c r="N743" s="139"/>
      <c r="O743" s="65"/>
      <c r="P743" s="67"/>
    </row>
    <row r="744" ht="15.75" customHeight="1">
      <c r="A744" s="65"/>
      <c r="B744" s="65"/>
      <c r="C744" s="190"/>
      <c r="D744" s="191"/>
      <c r="E744" s="65"/>
      <c r="F744" s="65"/>
      <c r="G744" s="65"/>
      <c r="H744" s="65"/>
      <c r="I744" s="139"/>
      <c r="J744" s="139"/>
      <c r="K744" s="139"/>
      <c r="L744" s="139"/>
      <c r="M744" s="139"/>
      <c r="N744" s="139"/>
      <c r="O744" s="65"/>
      <c r="P744" s="67"/>
    </row>
    <row r="745" ht="15.75" customHeight="1">
      <c r="A745" s="65"/>
      <c r="B745" s="65"/>
      <c r="C745" s="190"/>
      <c r="D745" s="191"/>
      <c r="E745" s="65"/>
      <c r="F745" s="65"/>
      <c r="G745" s="65"/>
      <c r="H745" s="65"/>
      <c r="I745" s="139"/>
      <c r="J745" s="139"/>
      <c r="K745" s="139"/>
      <c r="L745" s="139"/>
      <c r="M745" s="139"/>
      <c r="N745" s="139"/>
      <c r="O745" s="65"/>
      <c r="P745" s="67"/>
    </row>
    <row r="746" ht="15.75" customHeight="1">
      <c r="A746" s="65"/>
      <c r="B746" s="65"/>
      <c r="C746" s="190"/>
      <c r="D746" s="191"/>
      <c r="E746" s="65"/>
      <c r="F746" s="65"/>
      <c r="G746" s="65"/>
      <c r="H746" s="65"/>
      <c r="I746" s="139"/>
      <c r="J746" s="139"/>
      <c r="K746" s="139"/>
      <c r="L746" s="139"/>
      <c r="M746" s="139"/>
      <c r="N746" s="139"/>
      <c r="O746" s="65"/>
      <c r="P746" s="67"/>
    </row>
    <row r="747" ht="15.75" customHeight="1">
      <c r="A747" s="65"/>
      <c r="B747" s="65"/>
      <c r="C747" s="190"/>
      <c r="D747" s="191"/>
      <c r="E747" s="65"/>
      <c r="F747" s="65"/>
      <c r="G747" s="65"/>
      <c r="H747" s="65"/>
      <c r="I747" s="139"/>
      <c r="J747" s="139"/>
      <c r="K747" s="139"/>
      <c r="L747" s="139"/>
      <c r="M747" s="139"/>
      <c r="N747" s="139"/>
      <c r="O747" s="65"/>
      <c r="P747" s="67"/>
    </row>
    <row r="748" ht="15.75" customHeight="1">
      <c r="A748" s="65"/>
      <c r="B748" s="65"/>
      <c r="C748" s="190"/>
      <c r="D748" s="191"/>
      <c r="E748" s="65"/>
      <c r="F748" s="65"/>
      <c r="G748" s="65"/>
      <c r="H748" s="65"/>
      <c r="I748" s="139"/>
      <c r="J748" s="139"/>
      <c r="K748" s="139"/>
      <c r="L748" s="139"/>
      <c r="M748" s="139"/>
      <c r="N748" s="139"/>
      <c r="O748" s="65"/>
      <c r="P748" s="67"/>
    </row>
    <row r="749" ht="15.75" customHeight="1">
      <c r="A749" s="65"/>
      <c r="B749" s="65"/>
      <c r="C749" s="190"/>
      <c r="D749" s="191"/>
      <c r="E749" s="65"/>
      <c r="F749" s="65"/>
      <c r="G749" s="65"/>
      <c r="H749" s="65"/>
      <c r="I749" s="139"/>
      <c r="J749" s="139"/>
      <c r="K749" s="139"/>
      <c r="L749" s="139"/>
      <c r="M749" s="139"/>
      <c r="N749" s="139"/>
      <c r="O749" s="65"/>
      <c r="P749" s="67"/>
    </row>
    <row r="750" ht="15.75" customHeight="1">
      <c r="A750" s="65"/>
      <c r="B750" s="65"/>
      <c r="C750" s="190"/>
      <c r="D750" s="191"/>
      <c r="E750" s="65"/>
      <c r="F750" s="65"/>
      <c r="G750" s="65"/>
      <c r="H750" s="65"/>
      <c r="I750" s="139"/>
      <c r="J750" s="139"/>
      <c r="K750" s="139"/>
      <c r="L750" s="139"/>
      <c r="M750" s="139"/>
      <c r="N750" s="139"/>
      <c r="O750" s="65"/>
      <c r="P750" s="67"/>
    </row>
    <row r="751" ht="15.75" customHeight="1">
      <c r="A751" s="65"/>
      <c r="B751" s="65"/>
      <c r="C751" s="190"/>
      <c r="D751" s="191"/>
      <c r="E751" s="65"/>
      <c r="F751" s="65"/>
      <c r="G751" s="65"/>
      <c r="H751" s="65"/>
      <c r="I751" s="139"/>
      <c r="J751" s="139"/>
      <c r="K751" s="139"/>
      <c r="L751" s="139"/>
      <c r="M751" s="139"/>
      <c r="N751" s="139"/>
      <c r="O751" s="65"/>
      <c r="P751" s="67"/>
    </row>
    <row r="752" ht="15.75" customHeight="1">
      <c r="A752" s="65"/>
      <c r="B752" s="65"/>
      <c r="C752" s="190"/>
      <c r="D752" s="191"/>
      <c r="E752" s="65"/>
      <c r="F752" s="65"/>
      <c r="G752" s="65"/>
      <c r="H752" s="65"/>
      <c r="I752" s="139"/>
      <c r="J752" s="139"/>
      <c r="K752" s="139"/>
      <c r="L752" s="139"/>
      <c r="M752" s="139"/>
      <c r="N752" s="139"/>
      <c r="O752" s="65"/>
      <c r="P752" s="67"/>
    </row>
    <row r="753" ht="15.75" customHeight="1">
      <c r="A753" s="65"/>
      <c r="B753" s="65"/>
      <c r="C753" s="190"/>
      <c r="D753" s="191"/>
      <c r="E753" s="65"/>
      <c r="F753" s="65"/>
      <c r="G753" s="65"/>
      <c r="H753" s="65"/>
      <c r="I753" s="139"/>
      <c r="J753" s="139"/>
      <c r="K753" s="139"/>
      <c r="L753" s="139"/>
      <c r="M753" s="139"/>
      <c r="N753" s="139"/>
      <c r="O753" s="65"/>
      <c r="P753" s="67"/>
    </row>
    <row r="754" ht="15.75" customHeight="1">
      <c r="A754" s="65"/>
      <c r="B754" s="65"/>
      <c r="C754" s="190"/>
      <c r="D754" s="191"/>
      <c r="E754" s="65"/>
      <c r="F754" s="65"/>
      <c r="G754" s="65"/>
      <c r="H754" s="65"/>
      <c r="I754" s="139"/>
      <c r="J754" s="139"/>
      <c r="K754" s="139"/>
      <c r="L754" s="139"/>
      <c r="M754" s="139"/>
      <c r="N754" s="139"/>
      <c r="O754" s="65"/>
      <c r="P754" s="67"/>
    </row>
    <row r="755" ht="15.75" customHeight="1">
      <c r="A755" s="65"/>
      <c r="B755" s="65"/>
      <c r="C755" s="190"/>
      <c r="D755" s="191"/>
      <c r="E755" s="65"/>
      <c r="F755" s="65"/>
      <c r="G755" s="65"/>
      <c r="H755" s="65"/>
      <c r="I755" s="139"/>
      <c r="J755" s="139"/>
      <c r="K755" s="139"/>
      <c r="L755" s="139"/>
      <c r="M755" s="139"/>
      <c r="N755" s="139"/>
      <c r="O755" s="65"/>
      <c r="P755" s="67"/>
    </row>
    <row r="756" ht="15.75" customHeight="1">
      <c r="A756" s="65"/>
      <c r="B756" s="65"/>
      <c r="C756" s="190"/>
      <c r="D756" s="191"/>
      <c r="E756" s="65"/>
      <c r="F756" s="65"/>
      <c r="G756" s="65"/>
      <c r="H756" s="65"/>
      <c r="I756" s="139"/>
      <c r="J756" s="139"/>
      <c r="K756" s="139"/>
      <c r="L756" s="139"/>
      <c r="M756" s="139"/>
      <c r="N756" s="139"/>
      <c r="O756" s="65"/>
      <c r="P756" s="67"/>
    </row>
    <row r="757" ht="15.75" customHeight="1">
      <c r="A757" s="65"/>
      <c r="B757" s="65"/>
      <c r="C757" s="190"/>
      <c r="D757" s="191"/>
      <c r="E757" s="65"/>
      <c r="F757" s="65"/>
      <c r="G757" s="65"/>
      <c r="H757" s="65"/>
      <c r="I757" s="139"/>
      <c r="J757" s="139"/>
      <c r="K757" s="139"/>
      <c r="L757" s="139"/>
      <c r="M757" s="139"/>
      <c r="N757" s="139"/>
      <c r="O757" s="65"/>
      <c r="P757" s="67"/>
    </row>
    <row r="758" ht="15.75" customHeight="1">
      <c r="A758" s="65"/>
      <c r="B758" s="65"/>
      <c r="C758" s="190"/>
      <c r="D758" s="191"/>
      <c r="E758" s="65"/>
      <c r="F758" s="65"/>
      <c r="G758" s="65"/>
      <c r="H758" s="65"/>
      <c r="I758" s="139"/>
      <c r="J758" s="139"/>
      <c r="K758" s="139"/>
      <c r="L758" s="139"/>
      <c r="M758" s="139"/>
      <c r="N758" s="139"/>
      <c r="O758" s="65"/>
      <c r="P758" s="67"/>
    </row>
    <row r="759" ht="15.75" customHeight="1">
      <c r="A759" s="65"/>
      <c r="B759" s="65"/>
      <c r="C759" s="190"/>
      <c r="D759" s="191"/>
      <c r="E759" s="65"/>
      <c r="F759" s="65"/>
      <c r="G759" s="65"/>
      <c r="H759" s="65"/>
      <c r="I759" s="139"/>
      <c r="J759" s="139"/>
      <c r="K759" s="139"/>
      <c r="L759" s="139"/>
      <c r="M759" s="139"/>
      <c r="N759" s="139"/>
      <c r="O759" s="65"/>
      <c r="P759" s="67"/>
    </row>
    <row r="760" ht="15.75" customHeight="1">
      <c r="A760" s="65"/>
      <c r="B760" s="65"/>
      <c r="C760" s="190"/>
      <c r="D760" s="191"/>
      <c r="E760" s="65"/>
      <c r="F760" s="65"/>
      <c r="G760" s="65"/>
      <c r="H760" s="65"/>
      <c r="I760" s="139"/>
      <c r="J760" s="139"/>
      <c r="K760" s="139"/>
      <c r="L760" s="139"/>
      <c r="M760" s="139"/>
      <c r="N760" s="139"/>
      <c r="O760" s="65"/>
      <c r="P760" s="67"/>
    </row>
    <row r="761" ht="15.75" customHeight="1">
      <c r="A761" s="65"/>
      <c r="B761" s="65"/>
      <c r="C761" s="190"/>
      <c r="D761" s="191"/>
      <c r="E761" s="65"/>
      <c r="F761" s="65"/>
      <c r="G761" s="65"/>
      <c r="H761" s="65"/>
      <c r="I761" s="139"/>
      <c r="J761" s="139"/>
      <c r="K761" s="139"/>
      <c r="L761" s="139"/>
      <c r="M761" s="139"/>
      <c r="N761" s="139"/>
      <c r="O761" s="65"/>
      <c r="P761" s="67"/>
    </row>
    <row r="762" ht="15.75" customHeight="1">
      <c r="A762" s="65"/>
      <c r="B762" s="65"/>
      <c r="C762" s="190"/>
      <c r="D762" s="191"/>
      <c r="E762" s="65"/>
      <c r="F762" s="65"/>
      <c r="G762" s="65"/>
      <c r="H762" s="65"/>
      <c r="I762" s="139"/>
      <c r="J762" s="139"/>
      <c r="K762" s="139"/>
      <c r="L762" s="139"/>
      <c r="M762" s="139"/>
      <c r="N762" s="139"/>
      <c r="O762" s="65"/>
      <c r="P762" s="67"/>
    </row>
    <row r="763" ht="15.75" customHeight="1">
      <c r="A763" s="65"/>
      <c r="B763" s="65"/>
      <c r="C763" s="190"/>
      <c r="D763" s="191"/>
      <c r="E763" s="65"/>
      <c r="F763" s="65"/>
      <c r="G763" s="65"/>
      <c r="H763" s="65"/>
      <c r="I763" s="139"/>
      <c r="J763" s="139"/>
      <c r="K763" s="139"/>
      <c r="L763" s="139"/>
      <c r="M763" s="139"/>
      <c r="N763" s="139"/>
      <c r="O763" s="65"/>
      <c r="P763" s="67"/>
    </row>
    <row r="764" ht="15.75" customHeight="1">
      <c r="A764" s="65"/>
      <c r="B764" s="65"/>
      <c r="C764" s="190"/>
      <c r="D764" s="191"/>
      <c r="E764" s="65"/>
      <c r="F764" s="65"/>
      <c r="G764" s="65"/>
      <c r="H764" s="65"/>
      <c r="I764" s="139"/>
      <c r="J764" s="139"/>
      <c r="K764" s="139"/>
      <c r="L764" s="139"/>
      <c r="M764" s="139"/>
      <c r="N764" s="139"/>
      <c r="O764" s="65"/>
      <c r="P764" s="67"/>
    </row>
    <row r="765" ht="15.75" customHeight="1">
      <c r="A765" s="65"/>
      <c r="B765" s="65"/>
      <c r="C765" s="190"/>
      <c r="D765" s="191"/>
      <c r="E765" s="65"/>
      <c r="F765" s="65"/>
      <c r="G765" s="65"/>
      <c r="H765" s="65"/>
      <c r="I765" s="139"/>
      <c r="J765" s="139"/>
      <c r="K765" s="139"/>
      <c r="L765" s="139"/>
      <c r="M765" s="139"/>
      <c r="N765" s="139"/>
      <c r="O765" s="65"/>
      <c r="P765" s="67"/>
    </row>
    <row r="766" ht="15.75" customHeight="1">
      <c r="A766" s="65"/>
      <c r="B766" s="65"/>
      <c r="C766" s="190"/>
      <c r="D766" s="191"/>
      <c r="E766" s="65"/>
      <c r="F766" s="65"/>
      <c r="G766" s="65"/>
      <c r="H766" s="65"/>
      <c r="I766" s="139"/>
      <c r="J766" s="139"/>
      <c r="K766" s="139"/>
      <c r="L766" s="139"/>
      <c r="M766" s="139"/>
      <c r="N766" s="139"/>
      <c r="O766" s="65"/>
      <c r="P766" s="67"/>
    </row>
    <row r="767" ht="15.75" customHeight="1">
      <c r="A767" s="65"/>
      <c r="B767" s="65"/>
      <c r="C767" s="190"/>
      <c r="D767" s="191"/>
      <c r="E767" s="65"/>
      <c r="F767" s="65"/>
      <c r="G767" s="65"/>
      <c r="H767" s="65"/>
      <c r="I767" s="139"/>
      <c r="J767" s="139"/>
      <c r="K767" s="139"/>
      <c r="L767" s="139"/>
      <c r="M767" s="139"/>
      <c r="N767" s="139"/>
      <c r="O767" s="65"/>
      <c r="P767" s="67"/>
    </row>
    <row r="768" ht="15.75" customHeight="1">
      <c r="A768" s="65"/>
      <c r="B768" s="65"/>
      <c r="C768" s="190"/>
      <c r="D768" s="191"/>
      <c r="E768" s="65"/>
      <c r="F768" s="65"/>
      <c r="G768" s="65"/>
      <c r="H768" s="65"/>
      <c r="I768" s="139"/>
      <c r="J768" s="139"/>
      <c r="K768" s="139"/>
      <c r="L768" s="139"/>
      <c r="M768" s="139"/>
      <c r="N768" s="139"/>
      <c r="O768" s="65"/>
      <c r="P768" s="67"/>
    </row>
    <row r="769" ht="15.75" customHeight="1">
      <c r="A769" s="65"/>
      <c r="B769" s="65"/>
      <c r="C769" s="190"/>
      <c r="D769" s="191"/>
      <c r="E769" s="65"/>
      <c r="F769" s="65"/>
      <c r="G769" s="65"/>
      <c r="H769" s="65"/>
      <c r="I769" s="139"/>
      <c r="J769" s="139"/>
      <c r="K769" s="139"/>
      <c r="L769" s="139"/>
      <c r="M769" s="139"/>
      <c r="N769" s="139"/>
      <c r="O769" s="65"/>
      <c r="P769" s="67"/>
    </row>
    <row r="770" ht="15.75" customHeight="1">
      <c r="A770" s="65"/>
      <c r="B770" s="65"/>
      <c r="C770" s="190"/>
      <c r="D770" s="191"/>
      <c r="E770" s="65"/>
      <c r="F770" s="65"/>
      <c r="G770" s="65"/>
      <c r="H770" s="65"/>
      <c r="I770" s="139"/>
      <c r="J770" s="139"/>
      <c r="K770" s="139"/>
      <c r="L770" s="139"/>
      <c r="M770" s="139"/>
      <c r="N770" s="139"/>
      <c r="O770" s="65"/>
      <c r="P770" s="67"/>
    </row>
    <row r="771" ht="15.75" customHeight="1">
      <c r="A771" s="65"/>
      <c r="B771" s="65"/>
      <c r="C771" s="190"/>
      <c r="D771" s="191"/>
      <c r="E771" s="65"/>
      <c r="F771" s="65"/>
      <c r="G771" s="65"/>
      <c r="H771" s="65"/>
      <c r="I771" s="139"/>
      <c r="J771" s="139"/>
      <c r="K771" s="139"/>
      <c r="L771" s="139"/>
      <c r="M771" s="139"/>
      <c r="N771" s="139"/>
      <c r="O771" s="65"/>
      <c r="P771" s="67"/>
    </row>
    <row r="772" ht="15.75" customHeight="1">
      <c r="A772" s="65"/>
      <c r="B772" s="65"/>
      <c r="C772" s="190"/>
      <c r="D772" s="191"/>
      <c r="E772" s="65"/>
      <c r="F772" s="65"/>
      <c r="G772" s="65"/>
      <c r="H772" s="65"/>
      <c r="I772" s="139"/>
      <c r="J772" s="139"/>
      <c r="K772" s="139"/>
      <c r="L772" s="139"/>
      <c r="M772" s="139"/>
      <c r="N772" s="139"/>
      <c r="O772" s="65"/>
      <c r="P772" s="67"/>
    </row>
    <row r="773" ht="15.75" customHeight="1">
      <c r="A773" s="65"/>
      <c r="B773" s="65"/>
      <c r="C773" s="190"/>
      <c r="D773" s="191"/>
      <c r="E773" s="65"/>
      <c r="F773" s="65"/>
      <c r="G773" s="65"/>
      <c r="H773" s="65"/>
      <c r="I773" s="139"/>
      <c r="J773" s="139"/>
      <c r="K773" s="139"/>
      <c r="L773" s="139"/>
      <c r="M773" s="139"/>
      <c r="N773" s="139"/>
      <c r="O773" s="65"/>
      <c r="P773" s="67"/>
    </row>
    <row r="774" ht="15.75" customHeight="1">
      <c r="A774" s="65"/>
      <c r="B774" s="65"/>
      <c r="C774" s="190"/>
      <c r="D774" s="191"/>
      <c r="E774" s="65"/>
      <c r="F774" s="65"/>
      <c r="G774" s="65"/>
      <c r="H774" s="65"/>
      <c r="I774" s="139"/>
      <c r="J774" s="139"/>
      <c r="K774" s="139"/>
      <c r="L774" s="139"/>
      <c r="M774" s="139"/>
      <c r="N774" s="139"/>
      <c r="O774" s="65"/>
      <c r="P774" s="67"/>
    </row>
    <row r="775" ht="15.75" customHeight="1">
      <c r="A775" s="65"/>
      <c r="B775" s="65"/>
      <c r="C775" s="190"/>
      <c r="D775" s="191"/>
      <c r="E775" s="65"/>
      <c r="F775" s="65"/>
      <c r="G775" s="65"/>
      <c r="H775" s="65"/>
      <c r="I775" s="139"/>
      <c r="J775" s="139"/>
      <c r="K775" s="139"/>
      <c r="L775" s="139"/>
      <c r="M775" s="139"/>
      <c r="N775" s="139"/>
      <c r="O775" s="65"/>
      <c r="P775" s="67"/>
    </row>
    <row r="776" ht="15.75" customHeight="1">
      <c r="A776" s="65"/>
      <c r="B776" s="65"/>
      <c r="C776" s="190"/>
      <c r="D776" s="191"/>
      <c r="E776" s="65"/>
      <c r="F776" s="65"/>
      <c r="G776" s="65"/>
      <c r="H776" s="65"/>
      <c r="I776" s="139"/>
      <c r="J776" s="139"/>
      <c r="K776" s="139"/>
      <c r="L776" s="139"/>
      <c r="M776" s="139"/>
      <c r="N776" s="139"/>
      <c r="O776" s="65"/>
      <c r="P776" s="67"/>
    </row>
    <row r="777" ht="15.75" customHeight="1">
      <c r="A777" s="65"/>
      <c r="B777" s="65"/>
      <c r="C777" s="190"/>
      <c r="D777" s="191"/>
      <c r="E777" s="65"/>
      <c r="F777" s="65"/>
      <c r="G777" s="65"/>
      <c r="H777" s="65"/>
      <c r="I777" s="139"/>
      <c r="J777" s="139"/>
      <c r="K777" s="139"/>
      <c r="L777" s="139"/>
      <c r="M777" s="139"/>
      <c r="N777" s="139"/>
      <c r="O777" s="65"/>
      <c r="P777" s="67"/>
    </row>
    <row r="778" ht="15.75" customHeight="1">
      <c r="A778" s="65"/>
      <c r="B778" s="65"/>
      <c r="C778" s="190"/>
      <c r="D778" s="191"/>
      <c r="E778" s="65"/>
      <c r="F778" s="65"/>
      <c r="G778" s="65"/>
      <c r="H778" s="65"/>
      <c r="I778" s="139"/>
      <c r="J778" s="139"/>
      <c r="K778" s="139"/>
      <c r="L778" s="139"/>
      <c r="M778" s="139"/>
      <c r="N778" s="139"/>
      <c r="O778" s="65"/>
      <c r="P778" s="67"/>
    </row>
    <row r="779" ht="15.75" customHeight="1">
      <c r="A779" s="65"/>
      <c r="B779" s="65"/>
      <c r="C779" s="190"/>
      <c r="D779" s="191"/>
      <c r="E779" s="65"/>
      <c r="F779" s="65"/>
      <c r="G779" s="65"/>
      <c r="H779" s="65"/>
      <c r="I779" s="139"/>
      <c r="J779" s="139"/>
      <c r="K779" s="139"/>
      <c r="L779" s="139"/>
      <c r="M779" s="139"/>
      <c r="N779" s="139"/>
      <c r="O779" s="65"/>
      <c r="P779" s="67"/>
    </row>
    <row r="780" ht="15.75" customHeight="1">
      <c r="A780" s="65"/>
      <c r="B780" s="65"/>
      <c r="C780" s="190"/>
      <c r="D780" s="191"/>
      <c r="E780" s="65"/>
      <c r="F780" s="65"/>
      <c r="G780" s="65"/>
      <c r="H780" s="65"/>
      <c r="I780" s="139"/>
      <c r="J780" s="139"/>
      <c r="K780" s="139"/>
      <c r="L780" s="139"/>
      <c r="M780" s="139"/>
      <c r="N780" s="139"/>
      <c r="O780" s="65"/>
      <c r="P780" s="67"/>
    </row>
    <row r="781" ht="15.75" customHeight="1">
      <c r="A781" s="65"/>
      <c r="B781" s="65"/>
      <c r="C781" s="190"/>
      <c r="D781" s="191"/>
      <c r="E781" s="65"/>
      <c r="F781" s="65"/>
      <c r="G781" s="65"/>
      <c r="H781" s="65"/>
      <c r="I781" s="139"/>
      <c r="J781" s="139"/>
      <c r="K781" s="139"/>
      <c r="L781" s="139"/>
      <c r="M781" s="139"/>
      <c r="N781" s="139"/>
      <c r="O781" s="65"/>
      <c r="P781" s="67"/>
    </row>
    <row r="782" ht="15.75" customHeight="1">
      <c r="A782" s="65"/>
      <c r="B782" s="65"/>
      <c r="C782" s="190"/>
      <c r="D782" s="191"/>
      <c r="E782" s="65"/>
      <c r="F782" s="65"/>
      <c r="G782" s="65"/>
      <c r="H782" s="65"/>
      <c r="I782" s="139"/>
      <c r="J782" s="139"/>
      <c r="K782" s="139"/>
      <c r="L782" s="139"/>
      <c r="M782" s="139"/>
      <c r="N782" s="139"/>
      <c r="O782" s="65"/>
      <c r="P782" s="67"/>
    </row>
    <row r="783" ht="15.75" customHeight="1">
      <c r="A783" s="65"/>
      <c r="B783" s="65"/>
      <c r="C783" s="190"/>
      <c r="D783" s="191"/>
      <c r="E783" s="65"/>
      <c r="F783" s="65"/>
      <c r="G783" s="65"/>
      <c r="H783" s="65"/>
      <c r="I783" s="139"/>
      <c r="J783" s="139"/>
      <c r="K783" s="139"/>
      <c r="L783" s="139"/>
      <c r="M783" s="139"/>
      <c r="N783" s="139"/>
      <c r="O783" s="65"/>
      <c r="P783" s="67"/>
    </row>
    <row r="784" ht="15.75" customHeight="1">
      <c r="A784" s="65"/>
      <c r="B784" s="65"/>
      <c r="C784" s="190"/>
      <c r="D784" s="191"/>
      <c r="E784" s="65"/>
      <c r="F784" s="65"/>
      <c r="G784" s="65"/>
      <c r="H784" s="65"/>
      <c r="I784" s="139"/>
      <c r="J784" s="139"/>
      <c r="K784" s="139"/>
      <c r="L784" s="139"/>
      <c r="M784" s="139"/>
      <c r="N784" s="139"/>
      <c r="O784" s="65"/>
      <c r="P784" s="67"/>
    </row>
    <row r="785" ht="15.75" customHeight="1">
      <c r="A785" s="65"/>
      <c r="B785" s="65"/>
      <c r="C785" s="190"/>
      <c r="D785" s="191"/>
      <c r="E785" s="65"/>
      <c r="F785" s="65"/>
      <c r="G785" s="65"/>
      <c r="H785" s="65"/>
      <c r="I785" s="139"/>
      <c r="J785" s="139"/>
      <c r="K785" s="139"/>
      <c r="L785" s="139"/>
      <c r="M785" s="139"/>
      <c r="N785" s="139"/>
      <c r="O785" s="65"/>
      <c r="P785" s="67"/>
    </row>
    <row r="786" ht="15.75" customHeight="1">
      <c r="A786" s="65"/>
      <c r="B786" s="65"/>
      <c r="C786" s="190"/>
      <c r="D786" s="191"/>
      <c r="E786" s="65"/>
      <c r="F786" s="65"/>
      <c r="G786" s="65"/>
      <c r="H786" s="65"/>
      <c r="I786" s="139"/>
      <c r="J786" s="139"/>
      <c r="K786" s="139"/>
      <c r="L786" s="139"/>
      <c r="M786" s="139"/>
      <c r="N786" s="139"/>
      <c r="O786" s="65"/>
      <c r="P786" s="67"/>
    </row>
    <row r="787" ht="15.75" customHeight="1">
      <c r="A787" s="65"/>
      <c r="B787" s="65"/>
      <c r="C787" s="190"/>
      <c r="D787" s="191"/>
      <c r="E787" s="65"/>
      <c r="F787" s="65"/>
      <c r="G787" s="65"/>
      <c r="H787" s="65"/>
      <c r="I787" s="139"/>
      <c r="J787" s="139"/>
      <c r="K787" s="139"/>
      <c r="L787" s="139"/>
      <c r="M787" s="139"/>
      <c r="N787" s="139"/>
      <c r="O787" s="65"/>
      <c r="P787" s="67"/>
    </row>
    <row r="788" ht="15.75" customHeight="1">
      <c r="A788" s="65"/>
      <c r="B788" s="65"/>
      <c r="C788" s="190"/>
      <c r="D788" s="191"/>
      <c r="E788" s="65"/>
      <c r="F788" s="65"/>
      <c r="G788" s="65"/>
      <c r="H788" s="65"/>
      <c r="I788" s="139"/>
      <c r="J788" s="139"/>
      <c r="K788" s="139"/>
      <c r="L788" s="139"/>
      <c r="M788" s="139"/>
      <c r="N788" s="139"/>
      <c r="O788" s="65"/>
      <c r="P788" s="67"/>
    </row>
    <row r="789" ht="15.75" customHeight="1">
      <c r="A789" s="65"/>
      <c r="B789" s="65"/>
      <c r="C789" s="190"/>
      <c r="D789" s="191"/>
      <c r="E789" s="65"/>
      <c r="F789" s="65"/>
      <c r="G789" s="65"/>
      <c r="H789" s="65"/>
      <c r="I789" s="139"/>
      <c r="J789" s="139"/>
      <c r="K789" s="139"/>
      <c r="L789" s="139"/>
      <c r="M789" s="139"/>
      <c r="N789" s="139"/>
      <c r="O789" s="65"/>
      <c r="P789" s="67"/>
    </row>
    <row r="790" ht="15.75" customHeight="1">
      <c r="A790" s="65"/>
      <c r="B790" s="65"/>
      <c r="C790" s="190"/>
      <c r="D790" s="191"/>
      <c r="E790" s="65"/>
      <c r="F790" s="65"/>
      <c r="G790" s="65"/>
      <c r="H790" s="65"/>
      <c r="I790" s="139"/>
      <c r="J790" s="139"/>
      <c r="K790" s="139"/>
      <c r="L790" s="139"/>
      <c r="M790" s="139"/>
      <c r="N790" s="139"/>
      <c r="O790" s="65"/>
      <c r="P790" s="67"/>
    </row>
    <row r="791" ht="15.75" customHeight="1">
      <c r="A791" s="65"/>
      <c r="B791" s="65"/>
      <c r="C791" s="190"/>
      <c r="D791" s="191"/>
      <c r="E791" s="65"/>
      <c r="F791" s="65"/>
      <c r="G791" s="65"/>
      <c r="H791" s="65"/>
      <c r="I791" s="139"/>
      <c r="J791" s="139"/>
      <c r="K791" s="139"/>
      <c r="L791" s="139"/>
      <c r="M791" s="139"/>
      <c r="N791" s="139"/>
      <c r="O791" s="65"/>
      <c r="P791" s="67"/>
    </row>
    <row r="792" ht="15.75" customHeight="1">
      <c r="A792" s="65"/>
      <c r="B792" s="65"/>
      <c r="C792" s="190"/>
      <c r="D792" s="191"/>
      <c r="E792" s="65"/>
      <c r="F792" s="65"/>
      <c r="G792" s="65"/>
      <c r="H792" s="65"/>
      <c r="I792" s="139"/>
      <c r="J792" s="139"/>
      <c r="K792" s="139"/>
      <c r="L792" s="139"/>
      <c r="M792" s="139"/>
      <c r="N792" s="139"/>
      <c r="O792" s="65"/>
      <c r="P792" s="67"/>
    </row>
    <row r="793" ht="15.75" customHeight="1">
      <c r="A793" s="65"/>
      <c r="B793" s="65"/>
      <c r="C793" s="190"/>
      <c r="D793" s="191"/>
      <c r="E793" s="65"/>
      <c r="F793" s="65"/>
      <c r="G793" s="65"/>
      <c r="H793" s="65"/>
      <c r="I793" s="139"/>
      <c r="J793" s="139"/>
      <c r="K793" s="139"/>
      <c r="L793" s="139"/>
      <c r="M793" s="139"/>
      <c r="N793" s="139"/>
      <c r="O793" s="65"/>
      <c r="P793" s="67"/>
    </row>
    <row r="794" ht="15.75" customHeight="1">
      <c r="A794" s="65"/>
      <c r="B794" s="65"/>
      <c r="C794" s="190"/>
      <c r="D794" s="191"/>
      <c r="E794" s="65"/>
      <c r="F794" s="65"/>
      <c r="G794" s="65"/>
      <c r="H794" s="65"/>
      <c r="I794" s="139"/>
      <c r="J794" s="139"/>
      <c r="K794" s="139"/>
      <c r="L794" s="139"/>
      <c r="M794" s="139"/>
      <c r="N794" s="139"/>
      <c r="O794" s="65"/>
      <c r="P794" s="67"/>
    </row>
    <row r="795" ht="15.75" customHeight="1">
      <c r="A795" s="65"/>
      <c r="B795" s="65"/>
      <c r="C795" s="190"/>
      <c r="D795" s="191"/>
      <c r="E795" s="65"/>
      <c r="F795" s="65"/>
      <c r="G795" s="65"/>
      <c r="H795" s="65"/>
      <c r="I795" s="139"/>
      <c r="J795" s="139"/>
      <c r="K795" s="139"/>
      <c r="L795" s="139"/>
      <c r="M795" s="139"/>
      <c r="N795" s="139"/>
      <c r="O795" s="65"/>
      <c r="P795" s="67"/>
    </row>
    <row r="796" ht="15.75" customHeight="1">
      <c r="A796" s="65"/>
      <c r="B796" s="65"/>
      <c r="C796" s="190"/>
      <c r="D796" s="191"/>
      <c r="E796" s="65"/>
      <c r="F796" s="65"/>
      <c r="G796" s="65"/>
      <c r="H796" s="65"/>
      <c r="I796" s="139"/>
      <c r="J796" s="139"/>
      <c r="K796" s="139"/>
      <c r="L796" s="139"/>
      <c r="M796" s="139"/>
      <c r="N796" s="139"/>
      <c r="O796" s="65"/>
      <c r="P796" s="67"/>
    </row>
    <row r="797" ht="15.75" customHeight="1">
      <c r="A797" s="65"/>
      <c r="B797" s="65"/>
      <c r="C797" s="190"/>
      <c r="D797" s="191"/>
      <c r="E797" s="65"/>
      <c r="F797" s="65"/>
      <c r="G797" s="65"/>
      <c r="H797" s="65"/>
      <c r="I797" s="139"/>
      <c r="J797" s="139"/>
      <c r="K797" s="139"/>
      <c r="L797" s="139"/>
      <c r="M797" s="139"/>
      <c r="N797" s="139"/>
      <c r="O797" s="65"/>
      <c r="P797" s="67"/>
    </row>
    <row r="798" ht="15.75" customHeight="1">
      <c r="A798" s="65"/>
      <c r="B798" s="65"/>
      <c r="C798" s="190"/>
      <c r="D798" s="191"/>
      <c r="E798" s="65"/>
      <c r="F798" s="65"/>
      <c r="G798" s="65"/>
      <c r="H798" s="65"/>
      <c r="I798" s="139"/>
      <c r="J798" s="139"/>
      <c r="K798" s="139"/>
      <c r="L798" s="139"/>
      <c r="M798" s="139"/>
      <c r="N798" s="139"/>
      <c r="O798" s="65"/>
      <c r="P798" s="67"/>
    </row>
    <row r="799" ht="15.75" customHeight="1">
      <c r="A799" s="65"/>
      <c r="B799" s="65"/>
      <c r="C799" s="190"/>
      <c r="D799" s="191"/>
      <c r="E799" s="65"/>
      <c r="F799" s="65"/>
      <c r="G799" s="65"/>
      <c r="H799" s="65"/>
      <c r="I799" s="139"/>
      <c r="J799" s="139"/>
      <c r="K799" s="139"/>
      <c r="L799" s="139"/>
      <c r="M799" s="139"/>
      <c r="N799" s="139"/>
      <c r="O799" s="65"/>
      <c r="P799" s="67"/>
    </row>
    <row r="800" ht="15.75" customHeight="1">
      <c r="A800" s="65"/>
      <c r="B800" s="65"/>
      <c r="C800" s="190"/>
      <c r="D800" s="191"/>
      <c r="E800" s="65"/>
      <c r="F800" s="65"/>
      <c r="G800" s="65"/>
      <c r="H800" s="65"/>
      <c r="I800" s="139"/>
      <c r="J800" s="139"/>
      <c r="K800" s="139"/>
      <c r="L800" s="139"/>
      <c r="M800" s="139"/>
      <c r="N800" s="139"/>
      <c r="O800" s="65"/>
      <c r="P800" s="67"/>
    </row>
    <row r="801" ht="15.75" customHeight="1">
      <c r="A801" s="65"/>
      <c r="B801" s="65"/>
      <c r="C801" s="190"/>
      <c r="D801" s="191"/>
      <c r="E801" s="65"/>
      <c r="F801" s="65"/>
      <c r="G801" s="65"/>
      <c r="H801" s="65"/>
      <c r="I801" s="139"/>
      <c r="J801" s="139"/>
      <c r="K801" s="139"/>
      <c r="L801" s="139"/>
      <c r="M801" s="139"/>
      <c r="N801" s="139"/>
      <c r="O801" s="65"/>
      <c r="P801" s="67"/>
    </row>
    <row r="802" ht="15.75" customHeight="1">
      <c r="A802" s="65"/>
      <c r="B802" s="65"/>
      <c r="C802" s="190"/>
      <c r="D802" s="191"/>
      <c r="E802" s="65"/>
      <c r="F802" s="65"/>
      <c r="G802" s="65"/>
      <c r="H802" s="65"/>
      <c r="I802" s="139"/>
      <c r="J802" s="139"/>
      <c r="K802" s="139"/>
      <c r="L802" s="139"/>
      <c r="M802" s="139"/>
      <c r="N802" s="139"/>
      <c r="O802" s="65"/>
      <c r="P802" s="67"/>
    </row>
    <row r="803" ht="15.75" customHeight="1">
      <c r="A803" s="65"/>
      <c r="B803" s="65"/>
      <c r="C803" s="190"/>
      <c r="D803" s="191"/>
      <c r="E803" s="65"/>
      <c r="F803" s="65"/>
      <c r="G803" s="65"/>
      <c r="H803" s="65"/>
      <c r="I803" s="139"/>
      <c r="J803" s="139"/>
      <c r="K803" s="139"/>
      <c r="L803" s="139"/>
      <c r="M803" s="139"/>
      <c r="N803" s="139"/>
      <c r="O803" s="65"/>
      <c r="P803" s="67"/>
    </row>
    <row r="804" ht="15.75" customHeight="1">
      <c r="A804" s="65"/>
      <c r="B804" s="65"/>
      <c r="C804" s="190"/>
      <c r="D804" s="191"/>
      <c r="E804" s="65"/>
      <c r="F804" s="65"/>
      <c r="G804" s="65"/>
      <c r="H804" s="65"/>
      <c r="I804" s="139"/>
      <c r="J804" s="139"/>
      <c r="K804" s="139"/>
      <c r="L804" s="139"/>
      <c r="M804" s="139"/>
      <c r="N804" s="139"/>
      <c r="O804" s="65"/>
      <c r="P804" s="67"/>
    </row>
    <row r="805" ht="15.75" customHeight="1">
      <c r="A805" s="65"/>
      <c r="B805" s="65"/>
      <c r="C805" s="190"/>
      <c r="D805" s="191"/>
      <c r="E805" s="65"/>
      <c r="F805" s="65"/>
      <c r="G805" s="65"/>
      <c r="H805" s="65"/>
      <c r="I805" s="139"/>
      <c r="J805" s="139"/>
      <c r="K805" s="139"/>
      <c r="L805" s="139"/>
      <c r="M805" s="139"/>
      <c r="N805" s="139"/>
      <c r="O805" s="65"/>
      <c r="P805" s="67"/>
    </row>
    <row r="806" ht="15.75" customHeight="1">
      <c r="A806" s="65"/>
      <c r="B806" s="65"/>
      <c r="C806" s="190"/>
      <c r="D806" s="191"/>
      <c r="E806" s="65"/>
      <c r="F806" s="65"/>
      <c r="G806" s="65"/>
      <c r="H806" s="65"/>
      <c r="I806" s="139"/>
      <c r="J806" s="139"/>
      <c r="K806" s="139"/>
      <c r="L806" s="139"/>
      <c r="M806" s="139"/>
      <c r="N806" s="139"/>
      <c r="O806" s="65"/>
      <c r="P806" s="67"/>
    </row>
    <row r="807" ht="15.75" customHeight="1">
      <c r="A807" s="65"/>
      <c r="B807" s="65"/>
      <c r="C807" s="190"/>
      <c r="D807" s="191"/>
      <c r="E807" s="65"/>
      <c r="F807" s="65"/>
      <c r="G807" s="65"/>
      <c r="H807" s="65"/>
      <c r="I807" s="139"/>
      <c r="J807" s="139"/>
      <c r="K807" s="139"/>
      <c r="L807" s="139"/>
      <c r="M807" s="139"/>
      <c r="N807" s="139"/>
      <c r="O807" s="65"/>
      <c r="P807" s="67"/>
    </row>
    <row r="808" ht="15.75" customHeight="1">
      <c r="A808" s="65"/>
      <c r="B808" s="65"/>
      <c r="C808" s="190"/>
      <c r="D808" s="191"/>
      <c r="E808" s="65"/>
      <c r="F808" s="65"/>
      <c r="G808" s="65"/>
      <c r="H808" s="65"/>
      <c r="I808" s="139"/>
      <c r="J808" s="139"/>
      <c r="K808" s="139"/>
      <c r="L808" s="139"/>
      <c r="M808" s="139"/>
      <c r="N808" s="139"/>
      <c r="O808" s="65"/>
      <c r="P808" s="67"/>
    </row>
    <row r="809" ht="15.75" customHeight="1">
      <c r="A809" s="65"/>
      <c r="B809" s="65"/>
      <c r="C809" s="190"/>
      <c r="D809" s="191"/>
      <c r="E809" s="65"/>
      <c r="F809" s="65"/>
      <c r="G809" s="65"/>
      <c r="H809" s="65"/>
      <c r="I809" s="139"/>
      <c r="J809" s="139"/>
      <c r="K809" s="139"/>
      <c r="L809" s="139"/>
      <c r="M809" s="139"/>
      <c r="N809" s="139"/>
      <c r="O809" s="65"/>
      <c r="P809" s="67"/>
    </row>
    <row r="810" ht="15.75" customHeight="1">
      <c r="A810" s="65"/>
      <c r="B810" s="65"/>
      <c r="C810" s="190"/>
      <c r="D810" s="191"/>
      <c r="E810" s="65"/>
      <c r="F810" s="65"/>
      <c r="G810" s="65"/>
      <c r="H810" s="65"/>
      <c r="I810" s="139"/>
      <c r="J810" s="139"/>
      <c r="K810" s="139"/>
      <c r="L810" s="139"/>
      <c r="M810" s="139"/>
      <c r="N810" s="139"/>
      <c r="O810" s="65"/>
      <c r="P810" s="67"/>
    </row>
    <row r="811" ht="15.75" customHeight="1">
      <c r="A811" s="65"/>
      <c r="B811" s="65"/>
      <c r="C811" s="190"/>
      <c r="D811" s="191"/>
      <c r="E811" s="65"/>
      <c r="F811" s="65"/>
      <c r="G811" s="65"/>
      <c r="H811" s="65"/>
      <c r="I811" s="139"/>
      <c r="J811" s="139"/>
      <c r="K811" s="139"/>
      <c r="L811" s="139"/>
      <c r="M811" s="139"/>
      <c r="N811" s="139"/>
      <c r="O811" s="65"/>
      <c r="P811" s="67"/>
    </row>
    <row r="812" ht="15.75" customHeight="1">
      <c r="A812" s="65"/>
      <c r="B812" s="65"/>
      <c r="C812" s="190"/>
      <c r="D812" s="191"/>
      <c r="E812" s="65"/>
      <c r="F812" s="65"/>
      <c r="G812" s="65"/>
      <c r="H812" s="65"/>
      <c r="I812" s="139"/>
      <c r="J812" s="139"/>
      <c r="K812" s="139"/>
      <c r="L812" s="139"/>
      <c r="M812" s="139"/>
      <c r="N812" s="139"/>
      <c r="O812" s="65"/>
      <c r="P812" s="67"/>
    </row>
    <row r="813" ht="15.75" customHeight="1">
      <c r="A813" s="65"/>
      <c r="B813" s="65"/>
      <c r="C813" s="190"/>
      <c r="D813" s="191"/>
      <c r="E813" s="65"/>
      <c r="F813" s="65"/>
      <c r="G813" s="65"/>
      <c r="H813" s="65"/>
      <c r="I813" s="139"/>
      <c r="J813" s="139"/>
      <c r="K813" s="139"/>
      <c r="L813" s="139"/>
      <c r="M813" s="139"/>
      <c r="N813" s="139"/>
      <c r="O813" s="65"/>
      <c r="P813" s="67"/>
    </row>
    <row r="814" ht="15.75" customHeight="1">
      <c r="A814" s="65"/>
      <c r="B814" s="65"/>
      <c r="C814" s="190"/>
      <c r="D814" s="191"/>
      <c r="E814" s="65"/>
      <c r="F814" s="65"/>
      <c r="G814" s="65"/>
      <c r="H814" s="65"/>
      <c r="I814" s="139"/>
      <c r="J814" s="139"/>
      <c r="K814" s="139"/>
      <c r="L814" s="139"/>
      <c r="M814" s="139"/>
      <c r="N814" s="139"/>
      <c r="O814" s="65"/>
      <c r="P814" s="67"/>
    </row>
    <row r="815" ht="15.75" customHeight="1">
      <c r="A815" s="65"/>
      <c r="B815" s="65"/>
      <c r="C815" s="190"/>
      <c r="D815" s="191"/>
      <c r="E815" s="65"/>
      <c r="F815" s="65"/>
      <c r="G815" s="65"/>
      <c r="H815" s="65"/>
      <c r="I815" s="139"/>
      <c r="J815" s="139"/>
      <c r="K815" s="139"/>
      <c r="L815" s="139"/>
      <c r="M815" s="139"/>
      <c r="N815" s="139"/>
      <c r="O815" s="65"/>
      <c r="P815" s="67"/>
    </row>
    <row r="816" ht="15.75" customHeight="1">
      <c r="A816" s="65"/>
      <c r="B816" s="65"/>
      <c r="C816" s="190"/>
      <c r="D816" s="191"/>
      <c r="E816" s="65"/>
      <c r="F816" s="65"/>
      <c r="G816" s="65"/>
      <c r="H816" s="65"/>
      <c r="I816" s="139"/>
      <c r="J816" s="139"/>
      <c r="K816" s="139"/>
      <c r="L816" s="139"/>
      <c r="M816" s="139"/>
      <c r="N816" s="139"/>
      <c r="O816" s="65"/>
      <c r="P816" s="67"/>
    </row>
    <row r="817" ht="15.75" customHeight="1">
      <c r="A817" s="65"/>
      <c r="B817" s="65"/>
      <c r="C817" s="190"/>
      <c r="D817" s="191"/>
      <c r="E817" s="65"/>
      <c r="F817" s="65"/>
      <c r="G817" s="65"/>
      <c r="H817" s="65"/>
      <c r="I817" s="139"/>
      <c r="J817" s="139"/>
      <c r="K817" s="139"/>
      <c r="L817" s="139"/>
      <c r="M817" s="139"/>
      <c r="N817" s="139"/>
      <c r="O817" s="65"/>
      <c r="P817" s="67"/>
    </row>
    <row r="818" ht="15.75" customHeight="1">
      <c r="A818" s="65"/>
      <c r="B818" s="65"/>
      <c r="C818" s="190"/>
      <c r="D818" s="191"/>
      <c r="E818" s="65"/>
      <c r="F818" s="65"/>
      <c r="G818" s="65"/>
      <c r="H818" s="65"/>
      <c r="I818" s="139"/>
      <c r="J818" s="139"/>
      <c r="K818" s="139"/>
      <c r="L818" s="139"/>
      <c r="M818" s="139"/>
      <c r="N818" s="139"/>
      <c r="O818" s="65"/>
      <c r="P818" s="67"/>
    </row>
    <row r="819" ht="15.75" customHeight="1">
      <c r="A819" s="65"/>
      <c r="B819" s="65"/>
      <c r="C819" s="190"/>
      <c r="D819" s="191"/>
      <c r="E819" s="65"/>
      <c r="F819" s="65"/>
      <c r="G819" s="65"/>
      <c r="H819" s="65"/>
      <c r="I819" s="139"/>
      <c r="J819" s="139"/>
      <c r="K819" s="139"/>
      <c r="L819" s="139"/>
      <c r="M819" s="139"/>
      <c r="N819" s="139"/>
      <c r="O819" s="65"/>
      <c r="P819" s="67"/>
    </row>
    <row r="820" ht="15.75" customHeight="1">
      <c r="A820" s="65"/>
      <c r="B820" s="65"/>
      <c r="C820" s="190"/>
      <c r="D820" s="191"/>
      <c r="E820" s="65"/>
      <c r="F820" s="65"/>
      <c r="G820" s="65"/>
      <c r="H820" s="65"/>
      <c r="I820" s="139"/>
      <c r="J820" s="139"/>
      <c r="K820" s="139"/>
      <c r="L820" s="139"/>
      <c r="M820" s="139"/>
      <c r="N820" s="139"/>
      <c r="O820" s="65"/>
      <c r="P820" s="67"/>
    </row>
    <row r="821" ht="15.75" customHeight="1">
      <c r="A821" s="65"/>
      <c r="B821" s="65"/>
      <c r="C821" s="190"/>
      <c r="D821" s="191"/>
      <c r="E821" s="65"/>
      <c r="F821" s="65"/>
      <c r="G821" s="65"/>
      <c r="H821" s="65"/>
      <c r="I821" s="139"/>
      <c r="J821" s="139"/>
      <c r="K821" s="139"/>
      <c r="L821" s="139"/>
      <c r="M821" s="139"/>
      <c r="N821" s="139"/>
      <c r="O821" s="65"/>
      <c r="P821" s="67"/>
    </row>
    <row r="822" ht="15.75" customHeight="1">
      <c r="A822" s="65"/>
      <c r="B822" s="65"/>
      <c r="C822" s="190"/>
      <c r="D822" s="191"/>
      <c r="E822" s="65"/>
      <c r="F822" s="65"/>
      <c r="G822" s="65"/>
      <c r="H822" s="65"/>
      <c r="I822" s="139"/>
      <c r="J822" s="139"/>
      <c r="K822" s="139"/>
      <c r="L822" s="139"/>
      <c r="M822" s="139"/>
      <c r="N822" s="139"/>
      <c r="O822" s="65"/>
      <c r="P822" s="67"/>
    </row>
    <row r="823" ht="15.75" customHeight="1">
      <c r="A823" s="65"/>
      <c r="B823" s="65"/>
      <c r="C823" s="190"/>
      <c r="D823" s="191"/>
      <c r="E823" s="65"/>
      <c r="F823" s="65"/>
      <c r="G823" s="65"/>
      <c r="H823" s="65"/>
      <c r="I823" s="139"/>
      <c r="J823" s="139"/>
      <c r="K823" s="139"/>
      <c r="L823" s="139"/>
      <c r="M823" s="139"/>
      <c r="N823" s="139"/>
      <c r="O823" s="65"/>
      <c r="P823" s="67"/>
    </row>
    <row r="824" ht="15.75" customHeight="1">
      <c r="A824" s="65"/>
      <c r="B824" s="65"/>
      <c r="C824" s="190"/>
      <c r="D824" s="191"/>
      <c r="E824" s="65"/>
      <c r="F824" s="65"/>
      <c r="G824" s="65"/>
      <c r="H824" s="65"/>
      <c r="I824" s="139"/>
      <c r="J824" s="139"/>
      <c r="K824" s="139"/>
      <c r="L824" s="139"/>
      <c r="M824" s="139"/>
      <c r="N824" s="139"/>
      <c r="O824" s="65"/>
      <c r="P824" s="67"/>
    </row>
    <row r="825" ht="15.75" customHeight="1">
      <c r="A825" s="65"/>
      <c r="B825" s="65"/>
      <c r="C825" s="190"/>
      <c r="D825" s="191"/>
      <c r="E825" s="65"/>
      <c r="F825" s="65"/>
      <c r="G825" s="65"/>
      <c r="H825" s="65"/>
      <c r="I825" s="139"/>
      <c r="J825" s="139"/>
      <c r="K825" s="139"/>
      <c r="L825" s="139"/>
      <c r="M825" s="139"/>
      <c r="N825" s="139"/>
      <c r="O825" s="65"/>
      <c r="P825" s="67"/>
    </row>
    <row r="826" ht="15.75" customHeight="1">
      <c r="A826" s="65"/>
      <c r="B826" s="65"/>
      <c r="C826" s="190"/>
      <c r="D826" s="191"/>
      <c r="E826" s="65"/>
      <c r="F826" s="65"/>
      <c r="G826" s="65"/>
      <c r="H826" s="65"/>
      <c r="I826" s="139"/>
      <c r="J826" s="139"/>
      <c r="K826" s="139"/>
      <c r="L826" s="139"/>
      <c r="M826" s="139"/>
      <c r="N826" s="139"/>
      <c r="O826" s="65"/>
      <c r="P826" s="67"/>
    </row>
    <row r="827" ht="15.75" customHeight="1">
      <c r="A827" s="65"/>
      <c r="B827" s="65"/>
      <c r="C827" s="190"/>
      <c r="D827" s="191"/>
      <c r="E827" s="65"/>
      <c r="F827" s="65"/>
      <c r="G827" s="65"/>
      <c r="H827" s="65"/>
      <c r="I827" s="139"/>
      <c r="J827" s="139"/>
      <c r="K827" s="139"/>
      <c r="L827" s="139"/>
      <c r="M827" s="139"/>
      <c r="N827" s="139"/>
      <c r="O827" s="65"/>
      <c r="P827" s="67"/>
    </row>
    <row r="828" ht="15.75" customHeight="1">
      <c r="A828" s="65"/>
      <c r="B828" s="65"/>
      <c r="C828" s="190"/>
      <c r="D828" s="191"/>
      <c r="E828" s="65"/>
      <c r="F828" s="65"/>
      <c r="G828" s="65"/>
      <c r="H828" s="65"/>
      <c r="I828" s="139"/>
      <c r="J828" s="139"/>
      <c r="K828" s="139"/>
      <c r="L828" s="139"/>
      <c r="M828" s="139"/>
      <c r="N828" s="139"/>
      <c r="O828" s="65"/>
      <c r="P828" s="67"/>
    </row>
    <row r="829" ht="15.75" customHeight="1">
      <c r="A829" s="65"/>
      <c r="B829" s="65"/>
      <c r="C829" s="190"/>
      <c r="D829" s="191"/>
      <c r="E829" s="65"/>
      <c r="F829" s="65"/>
      <c r="G829" s="65"/>
      <c r="H829" s="65"/>
      <c r="I829" s="139"/>
      <c r="J829" s="139"/>
      <c r="K829" s="139"/>
      <c r="L829" s="139"/>
      <c r="M829" s="139"/>
      <c r="N829" s="139"/>
      <c r="O829" s="65"/>
      <c r="P829" s="67"/>
    </row>
    <row r="830" ht="15.75" customHeight="1">
      <c r="A830" s="65"/>
      <c r="B830" s="65"/>
      <c r="C830" s="190"/>
      <c r="D830" s="191"/>
      <c r="E830" s="65"/>
      <c r="F830" s="65"/>
      <c r="G830" s="65"/>
      <c r="H830" s="65"/>
      <c r="I830" s="139"/>
      <c r="J830" s="139"/>
      <c r="K830" s="139"/>
      <c r="L830" s="139"/>
      <c r="M830" s="139"/>
      <c r="N830" s="139"/>
      <c r="O830" s="65"/>
      <c r="P830" s="67"/>
    </row>
    <row r="831" ht="15.75" customHeight="1">
      <c r="A831" s="65"/>
      <c r="B831" s="65"/>
      <c r="C831" s="190"/>
      <c r="D831" s="191"/>
      <c r="E831" s="65"/>
      <c r="F831" s="65"/>
      <c r="G831" s="65"/>
      <c r="H831" s="65"/>
      <c r="I831" s="139"/>
      <c r="J831" s="139"/>
      <c r="K831" s="139"/>
      <c r="L831" s="139"/>
      <c r="M831" s="139"/>
      <c r="N831" s="139"/>
      <c r="O831" s="65"/>
      <c r="P831" s="67"/>
    </row>
    <row r="832" ht="15.75" customHeight="1">
      <c r="A832" s="65"/>
      <c r="B832" s="65"/>
      <c r="C832" s="190"/>
      <c r="D832" s="191"/>
      <c r="E832" s="65"/>
      <c r="F832" s="65"/>
      <c r="G832" s="65"/>
      <c r="H832" s="65"/>
      <c r="I832" s="139"/>
      <c r="J832" s="139"/>
      <c r="K832" s="139"/>
      <c r="L832" s="139"/>
      <c r="M832" s="139"/>
      <c r="N832" s="139"/>
      <c r="O832" s="65"/>
      <c r="P832" s="67"/>
    </row>
    <row r="833" ht="15.75" customHeight="1">
      <c r="A833" s="65"/>
      <c r="B833" s="65"/>
      <c r="C833" s="190"/>
      <c r="D833" s="191"/>
      <c r="E833" s="65"/>
      <c r="F833" s="65"/>
      <c r="G833" s="65"/>
      <c r="H833" s="65"/>
      <c r="I833" s="139"/>
      <c r="J833" s="139"/>
      <c r="K833" s="139"/>
      <c r="L833" s="139"/>
      <c r="M833" s="139"/>
      <c r="N833" s="139"/>
      <c r="O833" s="65"/>
      <c r="P833" s="67"/>
    </row>
    <row r="834" ht="15.75" customHeight="1">
      <c r="A834" s="65"/>
      <c r="B834" s="65"/>
      <c r="C834" s="190"/>
      <c r="D834" s="191"/>
      <c r="E834" s="65"/>
      <c r="F834" s="65"/>
      <c r="G834" s="65"/>
      <c r="H834" s="65"/>
      <c r="I834" s="139"/>
      <c r="J834" s="139"/>
      <c r="K834" s="139"/>
      <c r="L834" s="139"/>
      <c r="M834" s="139"/>
      <c r="N834" s="139"/>
      <c r="O834" s="65"/>
      <c r="P834" s="67"/>
    </row>
    <row r="835" ht="15.75" customHeight="1">
      <c r="A835" s="65"/>
      <c r="B835" s="65"/>
      <c r="C835" s="190"/>
      <c r="D835" s="191"/>
      <c r="E835" s="65"/>
      <c r="F835" s="65"/>
      <c r="G835" s="65"/>
      <c r="H835" s="65"/>
      <c r="I835" s="139"/>
      <c r="J835" s="139"/>
      <c r="K835" s="139"/>
      <c r="L835" s="139"/>
      <c r="M835" s="139"/>
      <c r="N835" s="139"/>
      <c r="O835" s="65"/>
      <c r="P835" s="67"/>
    </row>
    <row r="836" ht="15.75" customHeight="1">
      <c r="A836" s="65"/>
      <c r="B836" s="65"/>
      <c r="C836" s="190"/>
      <c r="D836" s="191"/>
      <c r="E836" s="65"/>
      <c r="F836" s="65"/>
      <c r="G836" s="65"/>
      <c r="H836" s="65"/>
      <c r="I836" s="139"/>
      <c r="J836" s="139"/>
      <c r="K836" s="139"/>
      <c r="L836" s="139"/>
      <c r="M836" s="139"/>
      <c r="N836" s="139"/>
      <c r="O836" s="65"/>
      <c r="P836" s="67"/>
    </row>
    <row r="837" ht="15.75" customHeight="1">
      <c r="A837" s="65"/>
      <c r="B837" s="65"/>
      <c r="C837" s="190"/>
      <c r="D837" s="191"/>
      <c r="E837" s="65"/>
      <c r="F837" s="65"/>
      <c r="G837" s="65"/>
      <c r="H837" s="65"/>
      <c r="I837" s="139"/>
      <c r="J837" s="139"/>
      <c r="K837" s="139"/>
      <c r="L837" s="139"/>
      <c r="M837" s="139"/>
      <c r="N837" s="139"/>
      <c r="O837" s="65"/>
      <c r="P837" s="67"/>
    </row>
    <row r="838" ht="15.75" customHeight="1">
      <c r="A838" s="65"/>
      <c r="B838" s="65"/>
      <c r="C838" s="190"/>
      <c r="D838" s="191"/>
      <c r="E838" s="65"/>
      <c r="F838" s="65"/>
      <c r="G838" s="65"/>
      <c r="H838" s="65"/>
      <c r="I838" s="139"/>
      <c r="J838" s="139"/>
      <c r="K838" s="139"/>
      <c r="L838" s="139"/>
      <c r="M838" s="139"/>
      <c r="N838" s="139"/>
      <c r="O838" s="65"/>
      <c r="P838" s="67"/>
    </row>
    <row r="839" ht="15.75" customHeight="1">
      <c r="A839" s="65"/>
      <c r="B839" s="65"/>
      <c r="C839" s="190"/>
      <c r="D839" s="191"/>
      <c r="E839" s="65"/>
      <c r="F839" s="65"/>
      <c r="G839" s="65"/>
      <c r="H839" s="65"/>
      <c r="I839" s="139"/>
      <c r="J839" s="139"/>
      <c r="K839" s="139"/>
      <c r="L839" s="139"/>
      <c r="M839" s="139"/>
      <c r="N839" s="139"/>
      <c r="O839" s="65"/>
      <c r="P839" s="67"/>
    </row>
    <row r="840" ht="15.75" customHeight="1">
      <c r="A840" s="65"/>
      <c r="B840" s="65"/>
      <c r="C840" s="190"/>
      <c r="D840" s="191"/>
      <c r="E840" s="65"/>
      <c r="F840" s="65"/>
      <c r="G840" s="65"/>
      <c r="H840" s="65"/>
      <c r="I840" s="139"/>
      <c r="J840" s="139"/>
      <c r="K840" s="139"/>
      <c r="L840" s="139"/>
      <c r="M840" s="139"/>
      <c r="N840" s="139"/>
      <c r="O840" s="65"/>
      <c r="P840" s="67"/>
    </row>
    <row r="841" ht="15.75" customHeight="1">
      <c r="A841" s="65"/>
      <c r="B841" s="65"/>
      <c r="C841" s="190"/>
      <c r="D841" s="191"/>
      <c r="E841" s="65"/>
      <c r="F841" s="65"/>
      <c r="G841" s="65"/>
      <c r="H841" s="65"/>
      <c r="I841" s="139"/>
      <c r="J841" s="139"/>
      <c r="K841" s="139"/>
      <c r="L841" s="139"/>
      <c r="M841" s="139"/>
      <c r="N841" s="139"/>
      <c r="O841" s="65"/>
      <c r="P841" s="67"/>
    </row>
    <row r="842" ht="15.75" customHeight="1">
      <c r="A842" s="65"/>
      <c r="B842" s="65"/>
      <c r="C842" s="190"/>
      <c r="D842" s="191"/>
      <c r="E842" s="65"/>
      <c r="F842" s="65"/>
      <c r="G842" s="65"/>
      <c r="H842" s="65"/>
      <c r="I842" s="139"/>
      <c r="J842" s="139"/>
      <c r="K842" s="139"/>
      <c r="L842" s="139"/>
      <c r="M842" s="139"/>
      <c r="N842" s="139"/>
      <c r="O842" s="65"/>
      <c r="P842" s="67"/>
    </row>
    <row r="843" ht="15.75" customHeight="1">
      <c r="A843" s="65"/>
      <c r="B843" s="65"/>
      <c r="C843" s="190"/>
      <c r="D843" s="191"/>
      <c r="E843" s="65"/>
      <c r="F843" s="65"/>
      <c r="G843" s="65"/>
      <c r="H843" s="65"/>
      <c r="I843" s="139"/>
      <c r="J843" s="139"/>
      <c r="K843" s="139"/>
      <c r="L843" s="139"/>
      <c r="M843" s="139"/>
      <c r="N843" s="139"/>
      <c r="O843" s="65"/>
      <c r="P843" s="67"/>
    </row>
    <row r="844" ht="15.75" customHeight="1">
      <c r="A844" s="65"/>
      <c r="B844" s="65"/>
      <c r="C844" s="190"/>
      <c r="D844" s="191"/>
      <c r="E844" s="65"/>
      <c r="F844" s="65"/>
      <c r="G844" s="65"/>
      <c r="H844" s="65"/>
      <c r="I844" s="139"/>
      <c r="J844" s="139"/>
      <c r="K844" s="139"/>
      <c r="L844" s="139"/>
      <c r="M844" s="139"/>
      <c r="N844" s="139"/>
      <c r="O844" s="65"/>
      <c r="P844" s="67"/>
    </row>
    <row r="845" ht="15.75" customHeight="1">
      <c r="A845" s="65"/>
      <c r="B845" s="65"/>
      <c r="C845" s="190"/>
      <c r="D845" s="191"/>
      <c r="E845" s="65"/>
      <c r="F845" s="65"/>
      <c r="G845" s="65"/>
      <c r="H845" s="65"/>
      <c r="I845" s="139"/>
      <c r="J845" s="139"/>
      <c r="K845" s="139"/>
      <c r="L845" s="139"/>
      <c r="M845" s="139"/>
      <c r="N845" s="139"/>
      <c r="O845" s="65"/>
      <c r="P845" s="67"/>
    </row>
    <row r="846" ht="15.75" customHeight="1">
      <c r="A846" s="65"/>
      <c r="B846" s="65"/>
      <c r="C846" s="190"/>
      <c r="D846" s="191"/>
      <c r="E846" s="65"/>
      <c r="F846" s="65"/>
      <c r="G846" s="65"/>
      <c r="H846" s="65"/>
      <c r="I846" s="139"/>
      <c r="J846" s="139"/>
      <c r="K846" s="139"/>
      <c r="L846" s="139"/>
      <c r="M846" s="139"/>
      <c r="N846" s="139"/>
      <c r="O846" s="65"/>
      <c r="P846" s="67"/>
    </row>
    <row r="847" ht="15.75" customHeight="1">
      <c r="A847" s="65"/>
      <c r="B847" s="65"/>
      <c r="C847" s="190"/>
      <c r="D847" s="191"/>
      <c r="E847" s="65"/>
      <c r="F847" s="65"/>
      <c r="G847" s="65"/>
      <c r="H847" s="65"/>
      <c r="I847" s="139"/>
      <c r="J847" s="139"/>
      <c r="K847" s="139"/>
      <c r="L847" s="139"/>
      <c r="M847" s="139"/>
      <c r="N847" s="139"/>
      <c r="O847" s="65"/>
      <c r="P847" s="67"/>
    </row>
    <row r="848" ht="15.75" customHeight="1">
      <c r="A848" s="65"/>
      <c r="B848" s="65"/>
      <c r="C848" s="190"/>
      <c r="D848" s="191"/>
      <c r="E848" s="65"/>
      <c r="F848" s="65"/>
      <c r="G848" s="65"/>
      <c r="H848" s="65"/>
      <c r="I848" s="139"/>
      <c r="J848" s="139"/>
      <c r="K848" s="139"/>
      <c r="L848" s="139"/>
      <c r="M848" s="139"/>
      <c r="N848" s="139"/>
      <c r="O848" s="65"/>
      <c r="P848" s="67"/>
    </row>
    <row r="849" ht="15.75" customHeight="1">
      <c r="A849" s="65"/>
      <c r="B849" s="65"/>
      <c r="C849" s="190"/>
      <c r="D849" s="191"/>
      <c r="E849" s="65"/>
      <c r="F849" s="65"/>
      <c r="G849" s="65"/>
      <c r="H849" s="65"/>
      <c r="I849" s="139"/>
      <c r="J849" s="139"/>
      <c r="K849" s="139"/>
      <c r="L849" s="139"/>
      <c r="M849" s="139"/>
      <c r="N849" s="139"/>
      <c r="O849" s="65"/>
      <c r="P849" s="67"/>
    </row>
    <row r="850" ht="15.75" customHeight="1">
      <c r="A850" s="65"/>
      <c r="B850" s="65"/>
      <c r="C850" s="190"/>
      <c r="D850" s="191"/>
      <c r="E850" s="65"/>
      <c r="F850" s="65"/>
      <c r="G850" s="65"/>
      <c r="H850" s="65"/>
      <c r="I850" s="139"/>
      <c r="J850" s="139"/>
      <c r="K850" s="139"/>
      <c r="L850" s="139"/>
      <c r="M850" s="139"/>
      <c r="N850" s="139"/>
      <c r="O850" s="65"/>
      <c r="P850" s="67"/>
    </row>
    <row r="851" ht="15.75" customHeight="1">
      <c r="A851" s="65"/>
      <c r="B851" s="65"/>
      <c r="C851" s="190"/>
      <c r="D851" s="191"/>
      <c r="E851" s="65"/>
      <c r="F851" s="65"/>
      <c r="G851" s="65"/>
      <c r="H851" s="65"/>
      <c r="I851" s="139"/>
      <c r="J851" s="139"/>
      <c r="K851" s="139"/>
      <c r="L851" s="139"/>
      <c r="M851" s="139"/>
      <c r="N851" s="139"/>
      <c r="O851" s="65"/>
      <c r="P851" s="67"/>
    </row>
    <row r="852" ht="15.75" customHeight="1">
      <c r="A852" s="65"/>
      <c r="B852" s="65"/>
      <c r="C852" s="190"/>
      <c r="D852" s="191"/>
      <c r="E852" s="65"/>
      <c r="F852" s="65"/>
      <c r="G852" s="65"/>
      <c r="H852" s="65"/>
      <c r="I852" s="139"/>
      <c r="J852" s="139"/>
      <c r="K852" s="139"/>
      <c r="L852" s="139"/>
      <c r="M852" s="139"/>
      <c r="N852" s="139"/>
      <c r="O852" s="65"/>
      <c r="P852" s="67"/>
    </row>
    <row r="853" ht="15.75" customHeight="1">
      <c r="A853" s="65"/>
      <c r="B853" s="65"/>
      <c r="C853" s="190"/>
      <c r="D853" s="191"/>
      <c r="E853" s="65"/>
      <c r="F853" s="65"/>
      <c r="G853" s="65"/>
      <c r="H853" s="65"/>
      <c r="I853" s="139"/>
      <c r="J853" s="139"/>
      <c r="K853" s="139"/>
      <c r="L853" s="139"/>
      <c r="M853" s="139"/>
      <c r="N853" s="139"/>
      <c r="O853" s="65"/>
      <c r="P853" s="67"/>
    </row>
    <row r="854" ht="15.75" customHeight="1">
      <c r="A854" s="65"/>
      <c r="B854" s="65"/>
      <c r="C854" s="190"/>
      <c r="D854" s="191"/>
      <c r="E854" s="65"/>
      <c r="F854" s="65"/>
      <c r="G854" s="65"/>
      <c r="H854" s="65"/>
      <c r="I854" s="139"/>
      <c r="J854" s="139"/>
      <c r="K854" s="139"/>
      <c r="L854" s="139"/>
      <c r="M854" s="139"/>
      <c r="N854" s="139"/>
      <c r="O854" s="65"/>
      <c r="P854" s="67"/>
    </row>
    <row r="855" ht="15.75" customHeight="1">
      <c r="A855" s="65"/>
      <c r="B855" s="65"/>
      <c r="C855" s="190"/>
      <c r="D855" s="191"/>
      <c r="E855" s="65"/>
      <c r="F855" s="65"/>
      <c r="G855" s="65"/>
      <c r="H855" s="65"/>
      <c r="I855" s="139"/>
      <c r="J855" s="139"/>
      <c r="K855" s="139"/>
      <c r="L855" s="139"/>
      <c r="M855" s="139"/>
      <c r="N855" s="139"/>
      <c r="O855" s="65"/>
      <c r="P855" s="67"/>
    </row>
    <row r="856" ht="15.75" customHeight="1">
      <c r="A856" s="65"/>
      <c r="B856" s="65"/>
      <c r="C856" s="190"/>
      <c r="D856" s="191"/>
      <c r="E856" s="65"/>
      <c r="F856" s="65"/>
      <c r="G856" s="65"/>
      <c r="H856" s="65"/>
      <c r="I856" s="139"/>
      <c r="J856" s="139"/>
      <c r="K856" s="139"/>
      <c r="L856" s="139"/>
      <c r="M856" s="139"/>
      <c r="N856" s="139"/>
      <c r="O856" s="65"/>
      <c r="P856" s="67"/>
    </row>
    <row r="857" ht="15.75" customHeight="1">
      <c r="A857" s="65"/>
      <c r="B857" s="65"/>
      <c r="C857" s="190"/>
      <c r="D857" s="191"/>
      <c r="E857" s="65"/>
      <c r="F857" s="65"/>
      <c r="G857" s="65"/>
      <c r="H857" s="65"/>
      <c r="I857" s="139"/>
      <c r="J857" s="139"/>
      <c r="K857" s="139"/>
      <c r="L857" s="139"/>
      <c r="M857" s="139"/>
      <c r="N857" s="139"/>
      <c r="O857" s="65"/>
      <c r="P857" s="67"/>
    </row>
    <row r="858" ht="15.75" customHeight="1">
      <c r="A858" s="65"/>
      <c r="B858" s="65"/>
      <c r="C858" s="190"/>
      <c r="D858" s="191"/>
      <c r="E858" s="65"/>
      <c r="F858" s="65"/>
      <c r="G858" s="65"/>
      <c r="H858" s="65"/>
      <c r="I858" s="139"/>
      <c r="J858" s="139"/>
      <c r="K858" s="139"/>
      <c r="L858" s="139"/>
      <c r="M858" s="139"/>
      <c r="N858" s="139"/>
      <c r="O858" s="65"/>
      <c r="P858" s="67"/>
    </row>
    <row r="859" ht="15.75" customHeight="1">
      <c r="A859" s="65"/>
      <c r="B859" s="65"/>
      <c r="C859" s="190"/>
      <c r="D859" s="191"/>
      <c r="E859" s="65"/>
      <c r="F859" s="65"/>
      <c r="G859" s="65"/>
      <c r="H859" s="65"/>
      <c r="I859" s="139"/>
      <c r="J859" s="139"/>
      <c r="K859" s="139"/>
      <c r="L859" s="139"/>
      <c r="M859" s="139"/>
      <c r="N859" s="139"/>
      <c r="O859" s="65"/>
      <c r="P859" s="67"/>
    </row>
    <row r="860" ht="15.75" customHeight="1">
      <c r="A860" s="65"/>
      <c r="B860" s="65"/>
      <c r="C860" s="190"/>
      <c r="D860" s="191"/>
      <c r="E860" s="65"/>
      <c r="F860" s="65"/>
      <c r="G860" s="65"/>
      <c r="H860" s="65"/>
      <c r="I860" s="139"/>
      <c r="J860" s="139"/>
      <c r="K860" s="139"/>
      <c r="L860" s="139"/>
      <c r="M860" s="139"/>
      <c r="N860" s="139"/>
      <c r="O860" s="65"/>
      <c r="P860" s="67"/>
    </row>
    <row r="861" ht="15.75" customHeight="1">
      <c r="A861" s="65"/>
      <c r="B861" s="65"/>
      <c r="C861" s="190"/>
      <c r="D861" s="191"/>
      <c r="E861" s="65"/>
      <c r="F861" s="65"/>
      <c r="G861" s="65"/>
      <c r="H861" s="65"/>
      <c r="I861" s="139"/>
      <c r="J861" s="139"/>
      <c r="K861" s="139"/>
      <c r="L861" s="139"/>
      <c r="M861" s="139"/>
      <c r="N861" s="139"/>
      <c r="O861" s="65"/>
      <c r="P861" s="67"/>
    </row>
    <row r="862" ht="15.75" customHeight="1">
      <c r="A862" s="65"/>
      <c r="B862" s="65"/>
      <c r="C862" s="190"/>
      <c r="D862" s="191"/>
      <c r="E862" s="65"/>
      <c r="F862" s="65"/>
      <c r="G862" s="65"/>
      <c r="H862" s="65"/>
      <c r="I862" s="139"/>
      <c r="J862" s="139"/>
      <c r="K862" s="139"/>
      <c r="L862" s="139"/>
      <c r="M862" s="139"/>
      <c r="N862" s="139"/>
      <c r="O862" s="65"/>
      <c r="P862" s="67"/>
    </row>
    <row r="863" ht="15.75" customHeight="1">
      <c r="A863" s="65"/>
      <c r="B863" s="65"/>
      <c r="C863" s="190"/>
      <c r="D863" s="191"/>
      <c r="E863" s="65"/>
      <c r="F863" s="65"/>
      <c r="G863" s="65"/>
      <c r="H863" s="65"/>
      <c r="I863" s="139"/>
      <c r="J863" s="139"/>
      <c r="K863" s="139"/>
      <c r="L863" s="139"/>
      <c r="M863" s="139"/>
      <c r="N863" s="139"/>
      <c r="O863" s="65"/>
      <c r="P863" s="67"/>
    </row>
    <row r="864" ht="15.75" customHeight="1">
      <c r="A864" s="65"/>
      <c r="B864" s="65"/>
      <c r="C864" s="190"/>
      <c r="D864" s="191"/>
      <c r="E864" s="65"/>
      <c r="F864" s="65"/>
      <c r="G864" s="65"/>
      <c r="H864" s="65"/>
      <c r="I864" s="139"/>
      <c r="J864" s="139"/>
      <c r="K864" s="139"/>
      <c r="L864" s="139"/>
      <c r="M864" s="139"/>
      <c r="N864" s="139"/>
      <c r="O864" s="65"/>
      <c r="P864" s="67"/>
    </row>
    <row r="865" ht="15.75" customHeight="1">
      <c r="A865" s="65"/>
      <c r="B865" s="65"/>
      <c r="C865" s="190"/>
      <c r="D865" s="191"/>
      <c r="E865" s="65"/>
      <c r="F865" s="65"/>
      <c r="G865" s="65"/>
      <c r="H865" s="65"/>
      <c r="I865" s="139"/>
      <c r="J865" s="139"/>
      <c r="K865" s="139"/>
      <c r="L865" s="139"/>
      <c r="M865" s="139"/>
      <c r="N865" s="139"/>
      <c r="O865" s="65"/>
      <c r="P865" s="67"/>
    </row>
    <row r="866" ht="15.75" customHeight="1">
      <c r="A866" s="65"/>
      <c r="B866" s="65"/>
      <c r="C866" s="190"/>
      <c r="D866" s="191"/>
      <c r="E866" s="65"/>
      <c r="F866" s="65"/>
      <c r="G866" s="65"/>
      <c r="H866" s="65"/>
      <c r="I866" s="139"/>
      <c r="J866" s="139"/>
      <c r="K866" s="139"/>
      <c r="L866" s="139"/>
      <c r="M866" s="139"/>
      <c r="N866" s="139"/>
      <c r="O866" s="65"/>
      <c r="P866" s="67"/>
    </row>
    <row r="867" ht="15.75" customHeight="1">
      <c r="A867" s="65"/>
      <c r="B867" s="65"/>
      <c r="C867" s="190"/>
      <c r="D867" s="191"/>
      <c r="E867" s="65"/>
      <c r="F867" s="65"/>
      <c r="G867" s="65"/>
      <c r="H867" s="65"/>
      <c r="I867" s="139"/>
      <c r="J867" s="139"/>
      <c r="K867" s="139"/>
      <c r="L867" s="139"/>
      <c r="M867" s="139"/>
      <c r="N867" s="139"/>
      <c r="O867" s="65"/>
      <c r="P867" s="67"/>
    </row>
    <row r="868" ht="15.75" customHeight="1">
      <c r="A868" s="65"/>
      <c r="B868" s="65"/>
      <c r="C868" s="190"/>
      <c r="D868" s="191"/>
      <c r="E868" s="65"/>
      <c r="F868" s="65"/>
      <c r="G868" s="65"/>
      <c r="H868" s="65"/>
      <c r="I868" s="139"/>
      <c r="J868" s="139"/>
      <c r="K868" s="139"/>
      <c r="L868" s="139"/>
      <c r="M868" s="139"/>
      <c r="N868" s="139"/>
      <c r="O868" s="65"/>
      <c r="P868" s="67"/>
    </row>
    <row r="869" ht="15.75" customHeight="1">
      <c r="A869" s="65"/>
      <c r="B869" s="65"/>
      <c r="C869" s="190"/>
      <c r="D869" s="191"/>
      <c r="E869" s="65"/>
      <c r="F869" s="65"/>
      <c r="G869" s="65"/>
      <c r="H869" s="65"/>
      <c r="I869" s="139"/>
      <c r="J869" s="139"/>
      <c r="K869" s="139"/>
      <c r="L869" s="139"/>
      <c r="M869" s="139"/>
      <c r="N869" s="139"/>
      <c r="O869" s="65"/>
      <c r="P869" s="67"/>
    </row>
    <row r="870" ht="15.75" customHeight="1">
      <c r="A870" s="65"/>
      <c r="B870" s="65"/>
      <c r="C870" s="190"/>
      <c r="D870" s="191"/>
      <c r="E870" s="65"/>
      <c r="F870" s="65"/>
      <c r="G870" s="65"/>
      <c r="H870" s="65"/>
      <c r="I870" s="139"/>
      <c r="J870" s="139"/>
      <c r="K870" s="139"/>
      <c r="L870" s="139"/>
      <c r="M870" s="139"/>
      <c r="N870" s="139"/>
      <c r="O870" s="65"/>
      <c r="P870" s="67"/>
    </row>
    <row r="871" ht="15.75" customHeight="1">
      <c r="A871" s="65"/>
      <c r="B871" s="65"/>
      <c r="C871" s="190"/>
      <c r="D871" s="191"/>
      <c r="E871" s="65"/>
      <c r="F871" s="65"/>
      <c r="G871" s="65"/>
      <c r="H871" s="65"/>
      <c r="I871" s="139"/>
      <c r="J871" s="139"/>
      <c r="K871" s="139"/>
      <c r="L871" s="139"/>
      <c r="M871" s="139"/>
      <c r="N871" s="139"/>
      <c r="O871" s="65"/>
      <c r="P871" s="67"/>
    </row>
    <row r="872" ht="15.75" customHeight="1">
      <c r="A872" s="65"/>
      <c r="B872" s="65"/>
      <c r="C872" s="190"/>
      <c r="D872" s="191"/>
      <c r="E872" s="65"/>
      <c r="F872" s="65"/>
      <c r="G872" s="65"/>
      <c r="H872" s="65"/>
      <c r="I872" s="139"/>
      <c r="J872" s="139"/>
      <c r="K872" s="139"/>
      <c r="L872" s="139"/>
      <c r="M872" s="139"/>
      <c r="N872" s="139"/>
      <c r="O872" s="65"/>
      <c r="P872" s="67"/>
    </row>
    <row r="873" ht="15.75" customHeight="1">
      <c r="A873" s="65"/>
      <c r="B873" s="65"/>
      <c r="C873" s="190"/>
      <c r="D873" s="191"/>
      <c r="E873" s="65"/>
      <c r="F873" s="65"/>
      <c r="G873" s="65"/>
      <c r="H873" s="65"/>
      <c r="I873" s="139"/>
      <c r="J873" s="139"/>
      <c r="K873" s="139"/>
      <c r="L873" s="139"/>
      <c r="M873" s="139"/>
      <c r="N873" s="139"/>
      <c r="O873" s="65"/>
      <c r="P873" s="67"/>
    </row>
    <row r="874" ht="15.75" customHeight="1">
      <c r="A874" s="65"/>
      <c r="B874" s="65"/>
      <c r="C874" s="190"/>
      <c r="D874" s="191"/>
      <c r="E874" s="65"/>
      <c r="F874" s="65"/>
      <c r="G874" s="65"/>
      <c r="H874" s="65"/>
      <c r="I874" s="139"/>
      <c r="J874" s="139"/>
      <c r="K874" s="139"/>
      <c r="L874" s="139"/>
      <c r="M874" s="139"/>
      <c r="N874" s="139"/>
      <c r="O874" s="65"/>
      <c r="P874" s="67"/>
    </row>
    <row r="875" ht="15.75" customHeight="1">
      <c r="A875" s="65"/>
      <c r="B875" s="65"/>
      <c r="C875" s="190"/>
      <c r="D875" s="191"/>
      <c r="E875" s="65"/>
      <c r="F875" s="65"/>
      <c r="G875" s="65"/>
      <c r="H875" s="65"/>
      <c r="I875" s="139"/>
      <c r="J875" s="139"/>
      <c r="K875" s="139"/>
      <c r="L875" s="139"/>
      <c r="M875" s="139"/>
      <c r="N875" s="139"/>
      <c r="O875" s="65"/>
      <c r="P875" s="67"/>
    </row>
    <row r="876" ht="15.75" customHeight="1">
      <c r="A876" s="65"/>
      <c r="B876" s="65"/>
      <c r="C876" s="190"/>
      <c r="D876" s="191"/>
      <c r="E876" s="65"/>
      <c r="F876" s="65"/>
      <c r="G876" s="65"/>
      <c r="H876" s="65"/>
      <c r="I876" s="139"/>
      <c r="J876" s="139"/>
      <c r="K876" s="139"/>
      <c r="L876" s="139"/>
      <c r="M876" s="139"/>
      <c r="N876" s="139"/>
      <c r="O876" s="65"/>
      <c r="P876" s="67"/>
    </row>
    <row r="877" ht="15.75" customHeight="1">
      <c r="A877" s="65"/>
      <c r="B877" s="65"/>
      <c r="C877" s="190"/>
      <c r="D877" s="191"/>
      <c r="E877" s="65"/>
      <c r="F877" s="65"/>
      <c r="G877" s="65"/>
      <c r="H877" s="65"/>
      <c r="I877" s="139"/>
      <c r="J877" s="139"/>
      <c r="K877" s="139"/>
      <c r="L877" s="139"/>
      <c r="M877" s="139"/>
      <c r="N877" s="139"/>
      <c r="O877" s="65"/>
      <c r="P877" s="67"/>
    </row>
    <row r="878" ht="15.75" customHeight="1">
      <c r="A878" s="65"/>
      <c r="B878" s="65"/>
      <c r="C878" s="190"/>
      <c r="D878" s="191"/>
      <c r="E878" s="65"/>
      <c r="F878" s="65"/>
      <c r="G878" s="65"/>
      <c r="H878" s="65"/>
      <c r="I878" s="139"/>
      <c r="J878" s="139"/>
      <c r="K878" s="139"/>
      <c r="L878" s="139"/>
      <c r="M878" s="139"/>
      <c r="N878" s="139"/>
      <c r="O878" s="65"/>
      <c r="P878" s="67"/>
    </row>
    <row r="879" ht="15.75" customHeight="1">
      <c r="A879" s="65"/>
      <c r="B879" s="65"/>
      <c r="C879" s="190"/>
      <c r="D879" s="191"/>
      <c r="E879" s="65"/>
      <c r="F879" s="65"/>
      <c r="G879" s="65"/>
      <c r="H879" s="65"/>
      <c r="I879" s="139"/>
      <c r="J879" s="139"/>
      <c r="K879" s="139"/>
      <c r="L879" s="139"/>
      <c r="M879" s="139"/>
      <c r="N879" s="139"/>
      <c r="O879" s="65"/>
      <c r="P879" s="67"/>
    </row>
    <row r="880" ht="15.75" customHeight="1">
      <c r="A880" s="65"/>
      <c r="B880" s="65"/>
      <c r="C880" s="190"/>
      <c r="D880" s="191"/>
      <c r="E880" s="65"/>
      <c r="F880" s="65"/>
      <c r="G880" s="65"/>
      <c r="H880" s="65"/>
      <c r="I880" s="139"/>
      <c r="J880" s="139"/>
      <c r="K880" s="139"/>
      <c r="L880" s="139"/>
      <c r="M880" s="139"/>
      <c r="N880" s="139"/>
      <c r="O880" s="65"/>
      <c r="P880" s="67"/>
    </row>
    <row r="881" ht="15.75" customHeight="1">
      <c r="A881" s="65"/>
      <c r="B881" s="65"/>
      <c r="C881" s="190"/>
      <c r="D881" s="191"/>
      <c r="E881" s="65"/>
      <c r="F881" s="65"/>
      <c r="G881" s="65"/>
      <c r="H881" s="65"/>
      <c r="I881" s="139"/>
      <c r="J881" s="139"/>
      <c r="K881" s="139"/>
      <c r="L881" s="139"/>
      <c r="M881" s="139"/>
      <c r="N881" s="139"/>
      <c r="O881" s="65"/>
      <c r="P881" s="67"/>
    </row>
    <row r="882" ht="15.75" customHeight="1">
      <c r="A882" s="65"/>
      <c r="B882" s="65"/>
      <c r="C882" s="190"/>
      <c r="D882" s="191"/>
      <c r="E882" s="65"/>
      <c r="F882" s="65"/>
      <c r="G882" s="65"/>
      <c r="H882" s="65"/>
      <c r="I882" s="139"/>
      <c r="J882" s="139"/>
      <c r="K882" s="139"/>
      <c r="L882" s="139"/>
      <c r="M882" s="139"/>
      <c r="N882" s="139"/>
      <c r="O882" s="65"/>
      <c r="P882" s="67"/>
    </row>
    <row r="883" ht="15.75" customHeight="1">
      <c r="A883" s="65"/>
      <c r="B883" s="65"/>
      <c r="C883" s="190"/>
      <c r="D883" s="191"/>
      <c r="E883" s="65"/>
      <c r="F883" s="65"/>
      <c r="G883" s="65"/>
      <c r="H883" s="65"/>
      <c r="I883" s="139"/>
      <c r="J883" s="139"/>
      <c r="K883" s="139"/>
      <c r="L883" s="139"/>
      <c r="M883" s="139"/>
      <c r="N883" s="139"/>
      <c r="O883" s="65"/>
      <c r="P883" s="67"/>
    </row>
    <row r="884" ht="15.75" customHeight="1">
      <c r="A884" s="65"/>
      <c r="B884" s="65"/>
      <c r="C884" s="190"/>
      <c r="D884" s="191"/>
      <c r="E884" s="65"/>
      <c r="F884" s="65"/>
      <c r="G884" s="65"/>
      <c r="H884" s="65"/>
      <c r="I884" s="139"/>
      <c r="J884" s="139"/>
      <c r="K884" s="139"/>
      <c r="L884" s="139"/>
      <c r="M884" s="139"/>
      <c r="N884" s="139"/>
      <c r="O884" s="65"/>
      <c r="P884" s="67"/>
    </row>
    <row r="885" ht="15.75" customHeight="1">
      <c r="A885" s="65"/>
      <c r="B885" s="65"/>
      <c r="C885" s="190"/>
      <c r="D885" s="191"/>
      <c r="E885" s="65"/>
      <c r="F885" s="65"/>
      <c r="G885" s="65"/>
      <c r="H885" s="65"/>
      <c r="I885" s="139"/>
      <c r="J885" s="139"/>
      <c r="K885" s="139"/>
      <c r="L885" s="139"/>
      <c r="M885" s="139"/>
      <c r="N885" s="139"/>
      <c r="O885" s="65"/>
      <c r="P885" s="67"/>
    </row>
    <row r="886" ht="15.75" customHeight="1">
      <c r="A886" s="65"/>
      <c r="B886" s="65"/>
      <c r="C886" s="190"/>
      <c r="D886" s="191"/>
      <c r="E886" s="65"/>
      <c r="F886" s="65"/>
      <c r="G886" s="65"/>
      <c r="H886" s="65"/>
      <c r="I886" s="139"/>
      <c r="J886" s="139"/>
      <c r="K886" s="139"/>
      <c r="L886" s="139"/>
      <c r="M886" s="139"/>
      <c r="N886" s="139"/>
      <c r="O886" s="65"/>
      <c r="P886" s="67"/>
    </row>
    <row r="887" ht="15.75" customHeight="1">
      <c r="A887" s="65"/>
      <c r="B887" s="65"/>
      <c r="C887" s="190"/>
      <c r="D887" s="191"/>
      <c r="E887" s="65"/>
      <c r="F887" s="65"/>
      <c r="G887" s="65"/>
      <c r="H887" s="65"/>
      <c r="I887" s="139"/>
      <c r="J887" s="139"/>
      <c r="K887" s="139"/>
      <c r="L887" s="139"/>
      <c r="M887" s="139"/>
      <c r="N887" s="139"/>
      <c r="O887" s="65"/>
      <c r="P887" s="67"/>
    </row>
    <row r="888" ht="15.75" customHeight="1">
      <c r="A888" s="65"/>
      <c r="B888" s="65"/>
      <c r="C888" s="190"/>
      <c r="D888" s="191"/>
      <c r="E888" s="65"/>
      <c r="F888" s="65"/>
      <c r="G888" s="65"/>
      <c r="H888" s="65"/>
      <c r="I888" s="139"/>
      <c r="J888" s="139"/>
      <c r="K888" s="139"/>
      <c r="L888" s="139"/>
      <c r="M888" s="139"/>
      <c r="N888" s="139"/>
      <c r="O888" s="65"/>
      <c r="P888" s="67"/>
    </row>
    <row r="889" ht="15.75" customHeight="1">
      <c r="A889" s="65"/>
      <c r="B889" s="65"/>
      <c r="C889" s="190"/>
      <c r="D889" s="191"/>
      <c r="E889" s="65"/>
      <c r="F889" s="65"/>
      <c r="G889" s="65"/>
      <c r="H889" s="65"/>
      <c r="I889" s="139"/>
      <c r="J889" s="139"/>
      <c r="K889" s="139"/>
      <c r="L889" s="139"/>
      <c r="M889" s="139"/>
      <c r="N889" s="139"/>
      <c r="O889" s="65"/>
      <c r="P889" s="67"/>
    </row>
    <row r="890" ht="15.75" customHeight="1">
      <c r="A890" s="65"/>
      <c r="B890" s="65"/>
      <c r="C890" s="190"/>
      <c r="D890" s="191"/>
      <c r="E890" s="65"/>
      <c r="F890" s="65"/>
      <c r="G890" s="65"/>
      <c r="H890" s="65"/>
      <c r="I890" s="139"/>
      <c r="J890" s="139"/>
      <c r="K890" s="139"/>
      <c r="L890" s="139"/>
      <c r="M890" s="139"/>
      <c r="N890" s="139"/>
      <c r="O890" s="65"/>
      <c r="P890" s="67"/>
    </row>
    <row r="891" ht="15.75" customHeight="1">
      <c r="A891" s="65"/>
      <c r="B891" s="65"/>
      <c r="C891" s="190"/>
      <c r="D891" s="191"/>
      <c r="E891" s="65"/>
      <c r="F891" s="65"/>
      <c r="G891" s="65"/>
      <c r="H891" s="65"/>
      <c r="I891" s="139"/>
      <c r="J891" s="139"/>
      <c r="K891" s="139"/>
      <c r="L891" s="139"/>
      <c r="M891" s="139"/>
      <c r="N891" s="139"/>
      <c r="O891" s="65"/>
      <c r="P891" s="67"/>
    </row>
    <row r="892" ht="15.75" customHeight="1">
      <c r="A892" s="65"/>
      <c r="B892" s="65"/>
      <c r="C892" s="190"/>
      <c r="D892" s="191"/>
      <c r="E892" s="65"/>
      <c r="F892" s="65"/>
      <c r="G892" s="65"/>
      <c r="H892" s="65"/>
      <c r="I892" s="139"/>
      <c r="J892" s="139"/>
      <c r="K892" s="139"/>
      <c r="L892" s="139"/>
      <c r="M892" s="139"/>
      <c r="N892" s="139"/>
      <c r="O892" s="65"/>
      <c r="P892" s="67"/>
    </row>
    <row r="893" ht="15.75" customHeight="1">
      <c r="A893" s="65"/>
      <c r="B893" s="65"/>
      <c r="C893" s="190"/>
      <c r="D893" s="191"/>
      <c r="E893" s="65"/>
      <c r="F893" s="65"/>
      <c r="G893" s="65"/>
      <c r="H893" s="65"/>
      <c r="I893" s="139"/>
      <c r="J893" s="139"/>
      <c r="K893" s="139"/>
      <c r="L893" s="139"/>
      <c r="M893" s="139"/>
      <c r="N893" s="139"/>
      <c r="O893" s="65"/>
      <c r="P893" s="67"/>
    </row>
    <row r="894" ht="15.75" customHeight="1">
      <c r="A894" s="65"/>
      <c r="B894" s="65"/>
      <c r="C894" s="190"/>
      <c r="D894" s="191"/>
      <c r="E894" s="65"/>
      <c r="F894" s="65"/>
      <c r="G894" s="65"/>
      <c r="H894" s="65"/>
      <c r="I894" s="139"/>
      <c r="J894" s="139"/>
      <c r="K894" s="139"/>
      <c r="L894" s="139"/>
      <c r="M894" s="139"/>
      <c r="N894" s="139"/>
      <c r="O894" s="65"/>
      <c r="P894" s="67"/>
    </row>
    <row r="895" ht="15.75" customHeight="1">
      <c r="A895" s="65"/>
      <c r="B895" s="65"/>
      <c r="C895" s="190"/>
      <c r="D895" s="191"/>
      <c r="E895" s="65"/>
      <c r="F895" s="65"/>
      <c r="G895" s="65"/>
      <c r="H895" s="65"/>
      <c r="I895" s="139"/>
      <c r="J895" s="139"/>
      <c r="K895" s="139"/>
      <c r="L895" s="139"/>
      <c r="M895" s="139"/>
      <c r="N895" s="139"/>
      <c r="O895" s="65"/>
      <c r="P895" s="67"/>
    </row>
    <row r="896" ht="15.75" customHeight="1">
      <c r="A896" s="65"/>
      <c r="B896" s="65"/>
      <c r="C896" s="190"/>
      <c r="D896" s="191"/>
      <c r="E896" s="65"/>
      <c r="F896" s="65"/>
      <c r="G896" s="65"/>
      <c r="H896" s="65"/>
      <c r="I896" s="139"/>
      <c r="J896" s="139"/>
      <c r="K896" s="139"/>
      <c r="L896" s="139"/>
      <c r="M896" s="139"/>
      <c r="N896" s="139"/>
      <c r="O896" s="65"/>
      <c r="P896" s="67"/>
    </row>
    <row r="897" ht="15.75" customHeight="1">
      <c r="A897" s="65"/>
      <c r="B897" s="65"/>
      <c r="C897" s="190"/>
      <c r="D897" s="191"/>
      <c r="E897" s="65"/>
      <c r="F897" s="65"/>
      <c r="G897" s="65"/>
      <c r="H897" s="65"/>
      <c r="I897" s="139"/>
      <c r="J897" s="139"/>
      <c r="K897" s="139"/>
      <c r="L897" s="139"/>
      <c r="M897" s="139"/>
      <c r="N897" s="139"/>
      <c r="O897" s="65"/>
      <c r="P897" s="67"/>
    </row>
    <row r="898" ht="15.75" customHeight="1">
      <c r="A898" s="65"/>
      <c r="B898" s="65"/>
      <c r="C898" s="190"/>
      <c r="D898" s="191"/>
      <c r="E898" s="65"/>
      <c r="F898" s="65"/>
      <c r="G898" s="65"/>
      <c r="H898" s="65"/>
      <c r="I898" s="139"/>
      <c r="J898" s="139"/>
      <c r="K898" s="139"/>
      <c r="L898" s="139"/>
      <c r="M898" s="139"/>
      <c r="N898" s="139"/>
      <c r="O898" s="65"/>
      <c r="P898" s="67"/>
    </row>
    <row r="899" ht="15.75" customHeight="1">
      <c r="A899" s="65"/>
      <c r="B899" s="65"/>
      <c r="C899" s="190"/>
      <c r="D899" s="191"/>
      <c r="E899" s="65"/>
      <c r="F899" s="65"/>
      <c r="G899" s="65"/>
      <c r="H899" s="65"/>
      <c r="I899" s="139"/>
      <c r="J899" s="139"/>
      <c r="K899" s="139"/>
      <c r="L899" s="139"/>
      <c r="M899" s="139"/>
      <c r="N899" s="139"/>
      <c r="O899" s="65"/>
      <c r="P899" s="67"/>
    </row>
    <row r="900" ht="15.75" customHeight="1">
      <c r="A900" s="65"/>
      <c r="B900" s="65"/>
      <c r="C900" s="190"/>
      <c r="D900" s="191"/>
      <c r="E900" s="65"/>
      <c r="F900" s="65"/>
      <c r="G900" s="65"/>
      <c r="H900" s="65"/>
      <c r="I900" s="139"/>
      <c r="J900" s="139"/>
      <c r="K900" s="139"/>
      <c r="L900" s="139"/>
      <c r="M900" s="139"/>
      <c r="N900" s="139"/>
      <c r="O900" s="65"/>
      <c r="P900" s="67"/>
    </row>
    <row r="901" ht="15.75" customHeight="1">
      <c r="A901" s="65"/>
      <c r="B901" s="65"/>
      <c r="C901" s="190"/>
      <c r="D901" s="191"/>
      <c r="E901" s="65"/>
      <c r="F901" s="65"/>
      <c r="G901" s="65"/>
      <c r="H901" s="65"/>
      <c r="I901" s="139"/>
      <c r="J901" s="139"/>
      <c r="K901" s="139"/>
      <c r="L901" s="139"/>
      <c r="M901" s="139"/>
      <c r="N901" s="139"/>
      <c r="O901" s="65"/>
      <c r="P901" s="67"/>
    </row>
    <row r="902" ht="15.75" customHeight="1">
      <c r="A902" s="65"/>
      <c r="B902" s="65"/>
      <c r="C902" s="190"/>
      <c r="D902" s="191"/>
      <c r="E902" s="65"/>
      <c r="F902" s="65"/>
      <c r="G902" s="65"/>
      <c r="H902" s="65"/>
      <c r="I902" s="139"/>
      <c r="J902" s="139"/>
      <c r="K902" s="139"/>
      <c r="L902" s="139"/>
      <c r="M902" s="139"/>
      <c r="N902" s="139"/>
      <c r="O902" s="65"/>
      <c r="P902" s="67"/>
    </row>
    <row r="903" ht="15.75" customHeight="1">
      <c r="A903" s="65"/>
      <c r="B903" s="65"/>
      <c r="C903" s="190"/>
      <c r="D903" s="191"/>
      <c r="E903" s="65"/>
      <c r="F903" s="65"/>
      <c r="G903" s="65"/>
      <c r="H903" s="65"/>
      <c r="I903" s="139"/>
      <c r="J903" s="139"/>
      <c r="K903" s="139"/>
      <c r="L903" s="139"/>
      <c r="M903" s="139"/>
      <c r="N903" s="139"/>
      <c r="O903" s="65"/>
      <c r="P903" s="67"/>
    </row>
    <row r="904" ht="15.75" customHeight="1">
      <c r="A904" s="65"/>
      <c r="B904" s="65"/>
      <c r="C904" s="190"/>
      <c r="D904" s="191"/>
      <c r="E904" s="65"/>
      <c r="F904" s="65"/>
      <c r="G904" s="65"/>
      <c r="H904" s="65"/>
      <c r="I904" s="139"/>
      <c r="J904" s="139"/>
      <c r="K904" s="139"/>
      <c r="L904" s="139"/>
      <c r="M904" s="139"/>
      <c r="N904" s="139"/>
      <c r="O904" s="65"/>
      <c r="P904" s="67"/>
    </row>
    <row r="905" ht="15.75" customHeight="1">
      <c r="A905" s="65"/>
      <c r="B905" s="65"/>
      <c r="C905" s="190"/>
      <c r="D905" s="191"/>
      <c r="E905" s="65"/>
      <c r="F905" s="65"/>
      <c r="G905" s="65"/>
      <c r="H905" s="65"/>
      <c r="I905" s="139"/>
      <c r="J905" s="139"/>
      <c r="K905" s="139"/>
      <c r="L905" s="139"/>
      <c r="M905" s="139"/>
      <c r="N905" s="139"/>
      <c r="O905" s="65"/>
      <c r="P905" s="67"/>
    </row>
    <row r="906" ht="15.75" customHeight="1">
      <c r="A906" s="65"/>
      <c r="B906" s="65"/>
      <c r="C906" s="190"/>
      <c r="D906" s="191"/>
      <c r="E906" s="65"/>
      <c r="F906" s="65"/>
      <c r="G906" s="65"/>
      <c r="H906" s="65"/>
      <c r="I906" s="139"/>
      <c r="J906" s="139"/>
      <c r="K906" s="139"/>
      <c r="L906" s="139"/>
      <c r="M906" s="139"/>
      <c r="N906" s="139"/>
      <c r="O906" s="65"/>
      <c r="P906" s="67"/>
    </row>
    <row r="907" ht="15.75" customHeight="1">
      <c r="A907" s="65"/>
      <c r="B907" s="65"/>
      <c r="C907" s="190"/>
      <c r="D907" s="191"/>
      <c r="E907" s="65"/>
      <c r="F907" s="65"/>
      <c r="G907" s="65"/>
      <c r="H907" s="65"/>
      <c r="I907" s="139"/>
      <c r="J907" s="139"/>
      <c r="K907" s="139"/>
      <c r="L907" s="139"/>
      <c r="M907" s="139"/>
      <c r="N907" s="139"/>
      <c r="O907" s="65"/>
      <c r="P907" s="67"/>
    </row>
    <row r="908" ht="15.75" customHeight="1">
      <c r="A908" s="65"/>
      <c r="B908" s="65"/>
      <c r="C908" s="190"/>
      <c r="D908" s="191"/>
      <c r="E908" s="65"/>
      <c r="F908" s="65"/>
      <c r="G908" s="65"/>
      <c r="H908" s="65"/>
      <c r="I908" s="139"/>
      <c r="J908" s="139"/>
      <c r="K908" s="139"/>
      <c r="L908" s="139"/>
      <c r="M908" s="139"/>
      <c r="N908" s="139"/>
      <c r="O908" s="65"/>
      <c r="P908" s="67"/>
    </row>
    <row r="909" ht="15.75" customHeight="1">
      <c r="A909" s="65"/>
      <c r="B909" s="65"/>
      <c r="C909" s="190"/>
      <c r="D909" s="191"/>
      <c r="E909" s="65"/>
      <c r="F909" s="65"/>
      <c r="G909" s="65"/>
      <c r="H909" s="65"/>
      <c r="I909" s="139"/>
      <c r="J909" s="139"/>
      <c r="K909" s="139"/>
      <c r="L909" s="139"/>
      <c r="M909" s="139"/>
      <c r="N909" s="139"/>
      <c r="O909" s="65"/>
      <c r="P909" s="67"/>
    </row>
    <row r="910" ht="15.75" customHeight="1">
      <c r="A910" s="65"/>
      <c r="B910" s="65"/>
      <c r="C910" s="190"/>
      <c r="D910" s="191"/>
      <c r="E910" s="65"/>
      <c r="F910" s="65"/>
      <c r="G910" s="65"/>
      <c r="H910" s="65"/>
      <c r="I910" s="139"/>
      <c r="J910" s="139"/>
      <c r="K910" s="139"/>
      <c r="L910" s="139"/>
      <c r="M910" s="139"/>
      <c r="N910" s="139"/>
      <c r="O910" s="65"/>
      <c r="P910" s="67"/>
    </row>
    <row r="911" ht="15.75" customHeight="1">
      <c r="A911" s="65"/>
      <c r="B911" s="65"/>
      <c r="C911" s="190"/>
      <c r="D911" s="191"/>
      <c r="E911" s="65"/>
      <c r="F911" s="65"/>
      <c r="G911" s="65"/>
      <c r="H911" s="65"/>
      <c r="I911" s="139"/>
      <c r="J911" s="139"/>
      <c r="K911" s="139"/>
      <c r="L911" s="139"/>
      <c r="M911" s="139"/>
      <c r="N911" s="139"/>
      <c r="O911" s="65"/>
      <c r="P911" s="67"/>
    </row>
    <row r="912" ht="15.75" customHeight="1">
      <c r="A912" s="65"/>
      <c r="B912" s="65"/>
      <c r="C912" s="190"/>
      <c r="D912" s="191"/>
      <c r="E912" s="65"/>
      <c r="F912" s="65"/>
      <c r="G912" s="65"/>
      <c r="H912" s="65"/>
      <c r="I912" s="139"/>
      <c r="J912" s="139"/>
      <c r="K912" s="139"/>
      <c r="L912" s="139"/>
      <c r="M912" s="139"/>
      <c r="N912" s="139"/>
      <c r="O912" s="65"/>
      <c r="P912" s="67"/>
    </row>
    <row r="913" ht="15.75" customHeight="1">
      <c r="A913" s="65"/>
      <c r="B913" s="65"/>
      <c r="C913" s="190"/>
      <c r="D913" s="191"/>
      <c r="E913" s="65"/>
      <c r="F913" s="65"/>
      <c r="G913" s="65"/>
      <c r="H913" s="65"/>
      <c r="I913" s="139"/>
      <c r="J913" s="139"/>
      <c r="K913" s="139"/>
      <c r="L913" s="139"/>
      <c r="M913" s="139"/>
      <c r="N913" s="139"/>
      <c r="O913" s="65"/>
      <c r="P913" s="67"/>
    </row>
    <row r="914" ht="15.75" customHeight="1">
      <c r="A914" s="65"/>
      <c r="B914" s="65"/>
      <c r="C914" s="190"/>
      <c r="D914" s="191"/>
      <c r="E914" s="65"/>
      <c r="F914" s="65"/>
      <c r="G914" s="65"/>
      <c r="H914" s="65"/>
      <c r="I914" s="139"/>
      <c r="J914" s="139"/>
      <c r="K914" s="139"/>
      <c r="L914" s="139"/>
      <c r="M914" s="139"/>
      <c r="N914" s="139"/>
      <c r="O914" s="65"/>
      <c r="P914" s="67"/>
    </row>
    <row r="915" ht="15.75" customHeight="1">
      <c r="A915" s="65"/>
      <c r="B915" s="65"/>
      <c r="C915" s="190"/>
      <c r="D915" s="191"/>
      <c r="E915" s="65"/>
      <c r="F915" s="65"/>
      <c r="G915" s="65"/>
      <c r="H915" s="65"/>
      <c r="I915" s="139"/>
      <c r="J915" s="139"/>
      <c r="K915" s="139"/>
      <c r="L915" s="139"/>
      <c r="M915" s="139"/>
      <c r="N915" s="139"/>
      <c r="O915" s="65"/>
      <c r="P915" s="67"/>
    </row>
    <row r="916" ht="15.75" customHeight="1">
      <c r="A916" s="65"/>
      <c r="B916" s="65"/>
      <c r="C916" s="190"/>
      <c r="D916" s="191"/>
      <c r="E916" s="65"/>
      <c r="F916" s="65"/>
      <c r="G916" s="65"/>
      <c r="H916" s="65"/>
      <c r="I916" s="139"/>
      <c r="J916" s="139"/>
      <c r="K916" s="139"/>
      <c r="L916" s="139"/>
      <c r="M916" s="139"/>
      <c r="N916" s="139"/>
      <c r="O916" s="65"/>
      <c r="P916" s="67"/>
    </row>
    <row r="917" ht="15.75" customHeight="1">
      <c r="A917" s="65"/>
      <c r="B917" s="65"/>
      <c r="C917" s="190"/>
      <c r="D917" s="191"/>
      <c r="E917" s="65"/>
      <c r="F917" s="65"/>
      <c r="G917" s="65"/>
      <c r="H917" s="65"/>
      <c r="I917" s="139"/>
      <c r="J917" s="139"/>
      <c r="K917" s="139"/>
      <c r="L917" s="139"/>
      <c r="M917" s="139"/>
      <c r="N917" s="139"/>
      <c r="O917" s="65"/>
      <c r="P917" s="67"/>
    </row>
    <row r="918" ht="15.75" customHeight="1">
      <c r="A918" s="65"/>
      <c r="B918" s="65"/>
      <c r="C918" s="190"/>
      <c r="D918" s="191"/>
      <c r="E918" s="65"/>
      <c r="F918" s="65"/>
      <c r="G918" s="65"/>
      <c r="H918" s="65"/>
      <c r="I918" s="139"/>
      <c r="J918" s="139"/>
      <c r="K918" s="139"/>
      <c r="L918" s="139"/>
      <c r="M918" s="139"/>
      <c r="N918" s="139"/>
      <c r="O918" s="65"/>
      <c r="P918" s="67"/>
    </row>
    <row r="919" ht="15.75" customHeight="1">
      <c r="A919" s="65"/>
      <c r="B919" s="65"/>
      <c r="C919" s="190"/>
      <c r="D919" s="191"/>
      <c r="E919" s="65"/>
      <c r="F919" s="65"/>
      <c r="G919" s="65"/>
      <c r="H919" s="65"/>
      <c r="I919" s="139"/>
      <c r="J919" s="139"/>
      <c r="K919" s="139"/>
      <c r="L919" s="139"/>
      <c r="M919" s="139"/>
      <c r="N919" s="139"/>
      <c r="O919" s="65"/>
      <c r="P919" s="67"/>
    </row>
    <row r="920" ht="15.75" customHeight="1">
      <c r="A920" s="65"/>
      <c r="B920" s="65"/>
      <c r="C920" s="190"/>
      <c r="D920" s="191"/>
      <c r="E920" s="65"/>
      <c r="F920" s="65"/>
      <c r="G920" s="65"/>
      <c r="H920" s="65"/>
      <c r="I920" s="139"/>
      <c r="J920" s="139"/>
      <c r="K920" s="139"/>
      <c r="L920" s="139"/>
      <c r="M920" s="139"/>
      <c r="N920" s="139"/>
      <c r="O920" s="65"/>
      <c r="P920" s="67"/>
    </row>
    <row r="921" ht="15.75" customHeight="1">
      <c r="A921" s="65"/>
      <c r="B921" s="65"/>
      <c r="C921" s="190"/>
      <c r="D921" s="191"/>
      <c r="E921" s="65"/>
      <c r="F921" s="65"/>
      <c r="G921" s="65"/>
      <c r="H921" s="65"/>
      <c r="I921" s="139"/>
      <c r="J921" s="139"/>
      <c r="K921" s="139"/>
      <c r="L921" s="139"/>
      <c r="M921" s="139"/>
      <c r="N921" s="139"/>
      <c r="O921" s="65"/>
      <c r="P921" s="67"/>
    </row>
    <row r="922" ht="15.75" customHeight="1">
      <c r="A922" s="65"/>
      <c r="B922" s="65"/>
      <c r="C922" s="190"/>
      <c r="D922" s="191"/>
      <c r="E922" s="65"/>
      <c r="F922" s="65"/>
      <c r="G922" s="65"/>
      <c r="H922" s="65"/>
      <c r="I922" s="139"/>
      <c r="J922" s="139"/>
      <c r="K922" s="139"/>
      <c r="L922" s="139"/>
      <c r="M922" s="139"/>
      <c r="N922" s="139"/>
      <c r="O922" s="65"/>
      <c r="P922" s="67"/>
    </row>
    <row r="923" ht="15.75" customHeight="1">
      <c r="A923" s="65"/>
      <c r="B923" s="65"/>
      <c r="C923" s="190"/>
      <c r="D923" s="191"/>
      <c r="E923" s="65"/>
      <c r="F923" s="65"/>
      <c r="G923" s="65"/>
      <c r="H923" s="65"/>
      <c r="I923" s="139"/>
      <c r="J923" s="139"/>
      <c r="K923" s="139"/>
      <c r="L923" s="139"/>
      <c r="M923" s="139"/>
      <c r="N923" s="139"/>
      <c r="O923" s="65"/>
      <c r="P923" s="67"/>
    </row>
    <row r="924" ht="15.75" customHeight="1">
      <c r="A924" s="65"/>
      <c r="B924" s="65"/>
      <c r="C924" s="190"/>
      <c r="D924" s="191"/>
      <c r="E924" s="65"/>
      <c r="F924" s="65"/>
      <c r="G924" s="65"/>
      <c r="H924" s="65"/>
      <c r="I924" s="139"/>
      <c r="J924" s="139"/>
      <c r="K924" s="139"/>
      <c r="L924" s="139"/>
      <c r="M924" s="139"/>
      <c r="N924" s="139"/>
      <c r="O924" s="65"/>
      <c r="P924" s="67"/>
    </row>
    <row r="925" ht="15.75" customHeight="1">
      <c r="A925" s="65"/>
      <c r="B925" s="65"/>
      <c r="C925" s="190"/>
      <c r="D925" s="191"/>
      <c r="E925" s="65"/>
      <c r="F925" s="65"/>
      <c r="G925" s="65"/>
      <c r="H925" s="65"/>
      <c r="I925" s="139"/>
      <c r="J925" s="139"/>
      <c r="K925" s="139"/>
      <c r="L925" s="139"/>
      <c r="M925" s="139"/>
      <c r="N925" s="139"/>
      <c r="O925" s="65"/>
      <c r="P925" s="67"/>
    </row>
    <row r="926" ht="15.75" customHeight="1">
      <c r="A926" s="65"/>
      <c r="B926" s="65"/>
      <c r="C926" s="190"/>
      <c r="D926" s="191"/>
      <c r="E926" s="65"/>
      <c r="F926" s="65"/>
      <c r="G926" s="65"/>
      <c r="H926" s="65"/>
      <c r="I926" s="139"/>
      <c r="J926" s="139"/>
      <c r="K926" s="139"/>
      <c r="L926" s="139"/>
      <c r="M926" s="139"/>
      <c r="N926" s="139"/>
      <c r="O926" s="65"/>
      <c r="P926" s="67"/>
    </row>
    <row r="927" ht="15.75" customHeight="1">
      <c r="A927" s="65"/>
      <c r="B927" s="65"/>
      <c r="C927" s="190"/>
      <c r="D927" s="191"/>
      <c r="E927" s="65"/>
      <c r="F927" s="65"/>
      <c r="G927" s="65"/>
      <c r="H927" s="65"/>
      <c r="I927" s="139"/>
      <c r="J927" s="139"/>
      <c r="K927" s="139"/>
      <c r="L927" s="139"/>
      <c r="M927" s="139"/>
      <c r="N927" s="139"/>
      <c r="O927" s="65"/>
      <c r="P927" s="67"/>
    </row>
    <row r="928" ht="15.75" customHeight="1">
      <c r="A928" s="65"/>
      <c r="B928" s="65"/>
      <c r="C928" s="190"/>
      <c r="D928" s="191"/>
      <c r="E928" s="65"/>
      <c r="F928" s="65"/>
      <c r="G928" s="65"/>
      <c r="H928" s="65"/>
      <c r="I928" s="139"/>
      <c r="J928" s="139"/>
      <c r="K928" s="139"/>
      <c r="L928" s="139"/>
      <c r="M928" s="139"/>
      <c r="N928" s="139"/>
      <c r="O928" s="65"/>
      <c r="P928" s="67"/>
    </row>
    <row r="929" ht="15.75" customHeight="1">
      <c r="A929" s="65"/>
      <c r="B929" s="65"/>
      <c r="C929" s="190"/>
      <c r="D929" s="191"/>
      <c r="E929" s="65"/>
      <c r="F929" s="65"/>
      <c r="G929" s="65"/>
      <c r="H929" s="65"/>
      <c r="I929" s="139"/>
      <c r="J929" s="139"/>
      <c r="K929" s="139"/>
      <c r="L929" s="139"/>
      <c r="M929" s="139"/>
      <c r="N929" s="139"/>
      <c r="O929" s="65"/>
      <c r="P929" s="67"/>
    </row>
    <row r="930" ht="15.75" customHeight="1">
      <c r="A930" s="65"/>
      <c r="B930" s="65"/>
      <c r="C930" s="190"/>
      <c r="D930" s="191"/>
      <c r="E930" s="65"/>
      <c r="F930" s="65"/>
      <c r="G930" s="65"/>
      <c r="H930" s="65"/>
      <c r="I930" s="139"/>
      <c r="J930" s="139"/>
      <c r="K930" s="139"/>
      <c r="L930" s="139"/>
      <c r="M930" s="139"/>
      <c r="N930" s="139"/>
      <c r="O930" s="65"/>
      <c r="P930" s="67"/>
    </row>
    <row r="931" ht="15.75" customHeight="1">
      <c r="A931" s="65"/>
      <c r="B931" s="65"/>
      <c r="C931" s="190"/>
      <c r="D931" s="191"/>
      <c r="E931" s="65"/>
      <c r="F931" s="65"/>
      <c r="G931" s="65"/>
      <c r="H931" s="65"/>
      <c r="I931" s="139"/>
      <c r="J931" s="139"/>
      <c r="K931" s="139"/>
      <c r="L931" s="139"/>
      <c r="M931" s="139"/>
      <c r="N931" s="139"/>
      <c r="O931" s="65"/>
      <c r="P931" s="67"/>
    </row>
    <row r="932" ht="15.75" customHeight="1">
      <c r="A932" s="65"/>
      <c r="B932" s="65"/>
      <c r="C932" s="190"/>
      <c r="D932" s="191"/>
      <c r="E932" s="65"/>
      <c r="F932" s="65"/>
      <c r="G932" s="65"/>
      <c r="H932" s="65"/>
      <c r="I932" s="139"/>
      <c r="J932" s="139"/>
      <c r="K932" s="139"/>
      <c r="L932" s="139"/>
      <c r="M932" s="139"/>
      <c r="N932" s="139"/>
      <c r="O932" s="65"/>
      <c r="P932" s="67"/>
    </row>
    <row r="933" ht="15.75" customHeight="1">
      <c r="A933" s="65"/>
      <c r="B933" s="65"/>
      <c r="C933" s="190"/>
      <c r="D933" s="191"/>
      <c r="E933" s="65"/>
      <c r="F933" s="65"/>
      <c r="G933" s="65"/>
      <c r="H933" s="65"/>
      <c r="I933" s="139"/>
      <c r="J933" s="139"/>
      <c r="K933" s="139"/>
      <c r="L933" s="139"/>
      <c r="M933" s="139"/>
      <c r="N933" s="139"/>
      <c r="O933" s="65"/>
      <c r="P933" s="67"/>
    </row>
    <row r="934" ht="15.75" customHeight="1">
      <c r="A934" s="65"/>
      <c r="B934" s="65"/>
      <c r="C934" s="190"/>
      <c r="D934" s="191"/>
      <c r="E934" s="65"/>
      <c r="F934" s="65"/>
      <c r="G934" s="65"/>
      <c r="H934" s="65"/>
      <c r="I934" s="139"/>
      <c r="J934" s="139"/>
      <c r="K934" s="139"/>
      <c r="L934" s="139"/>
      <c r="M934" s="139"/>
      <c r="N934" s="139"/>
      <c r="O934" s="65"/>
      <c r="P934" s="67"/>
    </row>
    <row r="935" ht="15.75" customHeight="1">
      <c r="A935" s="65"/>
      <c r="B935" s="65"/>
      <c r="C935" s="190"/>
      <c r="D935" s="191"/>
      <c r="E935" s="65"/>
      <c r="F935" s="65"/>
      <c r="G935" s="65"/>
      <c r="H935" s="65"/>
      <c r="I935" s="139"/>
      <c r="J935" s="139"/>
      <c r="K935" s="139"/>
      <c r="L935" s="139"/>
      <c r="M935" s="139"/>
      <c r="N935" s="139"/>
      <c r="O935" s="65"/>
      <c r="P935" s="67"/>
    </row>
    <row r="936" ht="15.75" customHeight="1">
      <c r="A936" s="65"/>
      <c r="B936" s="65"/>
      <c r="C936" s="190"/>
      <c r="D936" s="191"/>
      <c r="E936" s="65"/>
      <c r="F936" s="65"/>
      <c r="G936" s="65"/>
      <c r="H936" s="65"/>
      <c r="I936" s="139"/>
      <c r="J936" s="139"/>
      <c r="K936" s="139"/>
      <c r="L936" s="139"/>
      <c r="M936" s="139"/>
      <c r="N936" s="139"/>
      <c r="O936" s="65"/>
      <c r="P936" s="67"/>
    </row>
    <row r="937" ht="15.75" customHeight="1">
      <c r="A937" s="65"/>
      <c r="B937" s="65"/>
      <c r="C937" s="190"/>
      <c r="D937" s="191"/>
      <c r="E937" s="65"/>
      <c r="F937" s="65"/>
      <c r="G937" s="65"/>
      <c r="H937" s="65"/>
      <c r="I937" s="139"/>
      <c r="J937" s="139"/>
      <c r="K937" s="139"/>
      <c r="L937" s="139"/>
      <c r="M937" s="139"/>
      <c r="N937" s="139"/>
      <c r="O937" s="65"/>
      <c r="P937" s="67"/>
    </row>
    <row r="938" ht="15.75" customHeight="1">
      <c r="A938" s="65"/>
      <c r="B938" s="65"/>
      <c r="C938" s="190"/>
      <c r="D938" s="191"/>
      <c r="E938" s="65"/>
      <c r="F938" s="65"/>
      <c r="G938" s="65"/>
      <c r="H938" s="65"/>
      <c r="I938" s="139"/>
      <c r="J938" s="139"/>
      <c r="K938" s="139"/>
      <c r="L938" s="139"/>
      <c r="M938" s="139"/>
      <c r="N938" s="139"/>
      <c r="O938" s="65"/>
      <c r="P938" s="67"/>
    </row>
    <row r="939" ht="15.75" customHeight="1">
      <c r="A939" s="65"/>
      <c r="B939" s="65"/>
      <c r="C939" s="190"/>
      <c r="D939" s="191"/>
      <c r="E939" s="65"/>
      <c r="F939" s="65"/>
      <c r="G939" s="65"/>
      <c r="H939" s="65"/>
      <c r="I939" s="139"/>
      <c r="J939" s="139"/>
      <c r="K939" s="139"/>
      <c r="L939" s="139"/>
      <c r="M939" s="139"/>
      <c r="N939" s="139"/>
      <c r="O939" s="65"/>
      <c r="P939" s="67"/>
    </row>
    <row r="940" ht="15.75" customHeight="1">
      <c r="A940" s="65"/>
      <c r="B940" s="65"/>
      <c r="C940" s="190"/>
      <c r="D940" s="191"/>
      <c r="E940" s="65"/>
      <c r="F940" s="65"/>
      <c r="G940" s="65"/>
      <c r="H940" s="65"/>
      <c r="I940" s="139"/>
      <c r="J940" s="139"/>
      <c r="K940" s="139"/>
      <c r="L940" s="139"/>
      <c r="M940" s="139"/>
      <c r="N940" s="139"/>
      <c r="O940" s="65"/>
      <c r="P940" s="67"/>
    </row>
    <row r="941" ht="15.75" customHeight="1">
      <c r="A941" s="65"/>
      <c r="B941" s="65"/>
      <c r="C941" s="190"/>
      <c r="D941" s="191"/>
      <c r="E941" s="65"/>
      <c r="F941" s="65"/>
      <c r="G941" s="65"/>
      <c r="H941" s="65"/>
      <c r="I941" s="139"/>
      <c r="J941" s="139"/>
      <c r="K941" s="139"/>
      <c r="L941" s="139"/>
      <c r="M941" s="139"/>
      <c r="N941" s="139"/>
      <c r="O941" s="65"/>
      <c r="P941" s="67"/>
    </row>
    <row r="942" ht="15.75" customHeight="1">
      <c r="A942" s="65"/>
      <c r="B942" s="65"/>
      <c r="C942" s="190"/>
      <c r="D942" s="191"/>
      <c r="E942" s="65"/>
      <c r="F942" s="65"/>
      <c r="G942" s="65"/>
      <c r="H942" s="65"/>
      <c r="I942" s="139"/>
      <c r="J942" s="139"/>
      <c r="K942" s="139"/>
      <c r="L942" s="139"/>
      <c r="M942" s="139"/>
      <c r="N942" s="139"/>
      <c r="O942" s="65"/>
      <c r="P942" s="67"/>
    </row>
    <row r="943" ht="15.75" customHeight="1">
      <c r="A943" s="65"/>
      <c r="B943" s="65"/>
      <c r="C943" s="190"/>
      <c r="D943" s="191"/>
      <c r="E943" s="65"/>
      <c r="F943" s="65"/>
      <c r="G943" s="65"/>
      <c r="H943" s="65"/>
      <c r="I943" s="139"/>
      <c r="J943" s="139"/>
      <c r="K943" s="139"/>
      <c r="L943" s="139"/>
      <c r="M943" s="139"/>
      <c r="N943" s="139"/>
      <c r="O943" s="65"/>
      <c r="P943" s="67"/>
    </row>
    <row r="944" ht="15.75" customHeight="1">
      <c r="A944" s="65"/>
      <c r="B944" s="65"/>
      <c r="C944" s="190"/>
      <c r="D944" s="191"/>
      <c r="E944" s="65"/>
      <c r="F944" s="65"/>
      <c r="G944" s="65"/>
      <c r="H944" s="65"/>
      <c r="I944" s="139"/>
      <c r="J944" s="139"/>
      <c r="K944" s="139"/>
      <c r="L944" s="139"/>
      <c r="M944" s="139"/>
      <c r="N944" s="139"/>
      <c r="O944" s="65"/>
      <c r="P944" s="67"/>
    </row>
    <row r="945" ht="15.75" customHeight="1">
      <c r="A945" s="65"/>
      <c r="B945" s="65"/>
      <c r="C945" s="190"/>
      <c r="D945" s="191"/>
      <c r="E945" s="65"/>
      <c r="F945" s="65"/>
      <c r="G945" s="65"/>
      <c r="H945" s="65"/>
      <c r="I945" s="139"/>
      <c r="J945" s="139"/>
      <c r="K945" s="139"/>
      <c r="L945" s="139"/>
      <c r="M945" s="139"/>
      <c r="N945" s="139"/>
      <c r="O945" s="65"/>
      <c r="P945" s="67"/>
    </row>
    <row r="946" ht="15.75" customHeight="1">
      <c r="A946" s="65"/>
      <c r="B946" s="65"/>
      <c r="C946" s="190"/>
      <c r="D946" s="191"/>
      <c r="E946" s="65"/>
      <c r="F946" s="65"/>
      <c r="G946" s="65"/>
      <c r="H946" s="65"/>
      <c r="I946" s="139"/>
      <c r="J946" s="139"/>
      <c r="K946" s="139"/>
      <c r="L946" s="139"/>
      <c r="M946" s="139"/>
      <c r="N946" s="139"/>
      <c r="O946" s="65"/>
      <c r="P946" s="67"/>
    </row>
    <row r="947" ht="15.75" customHeight="1">
      <c r="A947" s="65"/>
      <c r="B947" s="65"/>
      <c r="C947" s="190"/>
      <c r="D947" s="191"/>
      <c r="E947" s="65"/>
      <c r="F947" s="65"/>
      <c r="G947" s="65"/>
      <c r="H947" s="65"/>
      <c r="I947" s="139"/>
      <c r="J947" s="139"/>
      <c r="K947" s="139"/>
      <c r="L947" s="139"/>
      <c r="M947" s="139"/>
      <c r="N947" s="139"/>
      <c r="O947" s="65"/>
      <c r="P947" s="67"/>
    </row>
    <row r="948" ht="15.75" customHeight="1">
      <c r="A948" s="65"/>
      <c r="B948" s="65"/>
      <c r="C948" s="190"/>
      <c r="D948" s="191"/>
      <c r="E948" s="65"/>
      <c r="F948" s="65"/>
      <c r="G948" s="65"/>
      <c r="H948" s="65"/>
      <c r="I948" s="139"/>
      <c r="J948" s="139"/>
      <c r="K948" s="139"/>
      <c r="L948" s="139"/>
      <c r="M948" s="139"/>
      <c r="N948" s="139"/>
      <c r="O948" s="65"/>
      <c r="P948" s="67"/>
    </row>
    <row r="949" ht="15.75" customHeight="1">
      <c r="A949" s="65"/>
      <c r="B949" s="65"/>
      <c r="C949" s="190"/>
      <c r="D949" s="191"/>
      <c r="E949" s="65"/>
      <c r="F949" s="65"/>
      <c r="G949" s="65"/>
      <c r="H949" s="65"/>
      <c r="I949" s="139"/>
      <c r="J949" s="139"/>
      <c r="K949" s="139"/>
      <c r="L949" s="139"/>
      <c r="M949" s="139"/>
      <c r="N949" s="139"/>
      <c r="O949" s="65"/>
      <c r="P949" s="67"/>
    </row>
    <row r="950" ht="15.75" customHeight="1">
      <c r="A950" s="65"/>
      <c r="B950" s="65"/>
      <c r="C950" s="190"/>
      <c r="D950" s="191"/>
      <c r="E950" s="65"/>
      <c r="F950" s="65"/>
      <c r="G950" s="65"/>
      <c r="H950" s="65"/>
      <c r="I950" s="139"/>
      <c r="J950" s="139"/>
      <c r="K950" s="139"/>
      <c r="L950" s="139"/>
      <c r="M950" s="139"/>
      <c r="N950" s="139"/>
      <c r="O950" s="65"/>
      <c r="P950" s="67"/>
    </row>
    <row r="951" ht="15.75" customHeight="1">
      <c r="A951" s="65"/>
      <c r="B951" s="65"/>
      <c r="C951" s="190"/>
      <c r="D951" s="191"/>
      <c r="E951" s="65"/>
      <c r="F951" s="65"/>
      <c r="G951" s="65"/>
      <c r="H951" s="65"/>
      <c r="I951" s="139"/>
      <c r="J951" s="139"/>
      <c r="K951" s="139"/>
      <c r="L951" s="139"/>
      <c r="M951" s="139"/>
      <c r="N951" s="139"/>
      <c r="O951" s="65"/>
      <c r="P951" s="67"/>
    </row>
    <row r="952" ht="15.75" customHeight="1">
      <c r="A952" s="65"/>
      <c r="B952" s="65"/>
      <c r="C952" s="190"/>
      <c r="D952" s="191"/>
      <c r="E952" s="65"/>
      <c r="F952" s="65"/>
      <c r="G952" s="65"/>
      <c r="H952" s="65"/>
      <c r="I952" s="139"/>
      <c r="J952" s="139"/>
      <c r="K952" s="139"/>
      <c r="L952" s="139"/>
      <c r="M952" s="139"/>
      <c r="N952" s="139"/>
      <c r="O952" s="65"/>
      <c r="P952" s="67"/>
    </row>
    <row r="953" ht="15.75" customHeight="1">
      <c r="A953" s="65"/>
      <c r="B953" s="65"/>
      <c r="C953" s="190"/>
      <c r="D953" s="191"/>
      <c r="E953" s="65"/>
      <c r="F953" s="65"/>
      <c r="G953" s="65"/>
      <c r="H953" s="65"/>
      <c r="I953" s="139"/>
      <c r="J953" s="139"/>
      <c r="K953" s="139"/>
      <c r="L953" s="139"/>
      <c r="M953" s="139"/>
      <c r="N953" s="139"/>
      <c r="O953" s="65"/>
      <c r="P953" s="67"/>
    </row>
    <row r="954" ht="15.75" customHeight="1">
      <c r="A954" s="65"/>
      <c r="B954" s="65"/>
      <c r="C954" s="190"/>
      <c r="D954" s="191"/>
      <c r="E954" s="65"/>
      <c r="F954" s="65"/>
      <c r="G954" s="65"/>
      <c r="H954" s="65"/>
      <c r="I954" s="139"/>
      <c r="J954" s="139"/>
      <c r="K954" s="139"/>
      <c r="L954" s="139"/>
      <c r="M954" s="139"/>
      <c r="N954" s="139"/>
      <c r="O954" s="65"/>
      <c r="P954" s="67"/>
    </row>
    <row r="955" ht="15.75" customHeight="1">
      <c r="A955" s="65"/>
      <c r="B955" s="65"/>
      <c r="C955" s="190"/>
      <c r="D955" s="191"/>
      <c r="E955" s="65"/>
      <c r="F955" s="65"/>
      <c r="G955" s="65"/>
      <c r="H955" s="65"/>
      <c r="I955" s="139"/>
      <c r="J955" s="139"/>
      <c r="K955" s="139"/>
      <c r="L955" s="139"/>
      <c r="M955" s="139"/>
      <c r="N955" s="139"/>
      <c r="O955" s="65"/>
      <c r="P955" s="67"/>
    </row>
    <row r="956" ht="15.75" customHeight="1">
      <c r="A956" s="65"/>
      <c r="B956" s="65"/>
      <c r="C956" s="190"/>
      <c r="D956" s="191"/>
      <c r="E956" s="65"/>
      <c r="F956" s="65"/>
      <c r="G956" s="65"/>
      <c r="H956" s="65"/>
      <c r="I956" s="139"/>
      <c r="J956" s="139"/>
      <c r="K956" s="139"/>
      <c r="L956" s="139"/>
      <c r="M956" s="139"/>
      <c r="N956" s="139"/>
      <c r="O956" s="65"/>
      <c r="P956" s="67"/>
    </row>
    <row r="957" ht="15.75" customHeight="1">
      <c r="A957" s="65"/>
      <c r="B957" s="65"/>
      <c r="C957" s="190"/>
      <c r="D957" s="191"/>
      <c r="E957" s="65"/>
      <c r="F957" s="65"/>
      <c r="G957" s="65"/>
      <c r="H957" s="65"/>
      <c r="I957" s="139"/>
      <c r="J957" s="139"/>
      <c r="K957" s="139"/>
      <c r="L957" s="139"/>
      <c r="M957" s="139"/>
      <c r="N957" s="139"/>
      <c r="O957" s="65"/>
      <c r="P957" s="67"/>
    </row>
    <row r="958" ht="15.75" customHeight="1">
      <c r="A958" s="65"/>
      <c r="B958" s="65"/>
      <c r="C958" s="190"/>
      <c r="D958" s="191"/>
      <c r="E958" s="65"/>
      <c r="F958" s="65"/>
      <c r="G958" s="65"/>
      <c r="H958" s="65"/>
      <c r="I958" s="139"/>
      <c r="J958" s="139"/>
      <c r="K958" s="139"/>
      <c r="L958" s="139"/>
      <c r="M958" s="139"/>
      <c r="N958" s="139"/>
      <c r="O958" s="65"/>
      <c r="P958" s="67"/>
    </row>
    <row r="959" ht="15.75" customHeight="1">
      <c r="A959" s="65"/>
      <c r="B959" s="65"/>
      <c r="C959" s="190"/>
      <c r="D959" s="191"/>
      <c r="E959" s="65"/>
      <c r="F959" s="65"/>
      <c r="G959" s="65"/>
      <c r="H959" s="65"/>
      <c r="I959" s="139"/>
      <c r="J959" s="139"/>
      <c r="K959" s="139"/>
      <c r="L959" s="139"/>
      <c r="M959" s="139"/>
      <c r="N959" s="139"/>
      <c r="O959" s="65"/>
      <c r="P959" s="67"/>
    </row>
    <row r="960" ht="15.75" customHeight="1">
      <c r="A960" s="65"/>
      <c r="B960" s="65"/>
      <c r="C960" s="190"/>
      <c r="D960" s="191"/>
      <c r="E960" s="65"/>
      <c r="F960" s="65"/>
      <c r="G960" s="65"/>
      <c r="H960" s="65"/>
      <c r="I960" s="139"/>
      <c r="J960" s="139"/>
      <c r="K960" s="139"/>
      <c r="L960" s="139"/>
      <c r="M960" s="139"/>
      <c r="N960" s="139"/>
      <c r="O960" s="65"/>
      <c r="P960" s="67"/>
    </row>
    <row r="961" ht="15.75" customHeight="1">
      <c r="A961" s="65"/>
      <c r="B961" s="65"/>
      <c r="C961" s="190"/>
      <c r="D961" s="191"/>
      <c r="E961" s="65"/>
      <c r="F961" s="65"/>
      <c r="G961" s="65"/>
      <c r="H961" s="65"/>
      <c r="I961" s="139"/>
      <c r="J961" s="139"/>
      <c r="K961" s="139"/>
      <c r="L961" s="139"/>
      <c r="M961" s="139"/>
      <c r="N961" s="139"/>
      <c r="O961" s="65"/>
      <c r="P961" s="67"/>
    </row>
    <row r="962" ht="15.75" customHeight="1">
      <c r="A962" s="65"/>
      <c r="B962" s="65"/>
      <c r="C962" s="190"/>
      <c r="D962" s="191"/>
      <c r="E962" s="65"/>
      <c r="F962" s="65"/>
      <c r="G962" s="65"/>
      <c r="H962" s="65"/>
      <c r="I962" s="139"/>
      <c r="J962" s="139"/>
      <c r="K962" s="139"/>
      <c r="L962" s="139"/>
      <c r="M962" s="139"/>
      <c r="N962" s="139"/>
      <c r="O962" s="65"/>
      <c r="P962" s="67"/>
    </row>
    <row r="963" ht="15.75" customHeight="1">
      <c r="A963" s="65"/>
      <c r="B963" s="65"/>
      <c r="C963" s="190"/>
      <c r="D963" s="191"/>
      <c r="E963" s="65"/>
      <c r="F963" s="65"/>
      <c r="G963" s="65"/>
      <c r="H963" s="65"/>
      <c r="I963" s="139"/>
      <c r="J963" s="139"/>
      <c r="K963" s="139"/>
      <c r="L963" s="139"/>
      <c r="M963" s="139"/>
      <c r="N963" s="139"/>
      <c r="O963" s="65"/>
      <c r="P963" s="67"/>
    </row>
    <row r="964" ht="15.75" customHeight="1">
      <c r="A964" s="65"/>
      <c r="B964" s="65"/>
      <c r="C964" s="190"/>
      <c r="D964" s="191"/>
      <c r="E964" s="65"/>
      <c r="F964" s="65"/>
      <c r="G964" s="65"/>
      <c r="H964" s="65"/>
      <c r="I964" s="139"/>
      <c r="J964" s="139"/>
      <c r="K964" s="139"/>
      <c r="L964" s="139"/>
      <c r="M964" s="139"/>
      <c r="N964" s="139"/>
      <c r="O964" s="65"/>
      <c r="P964" s="67"/>
    </row>
    <row r="965" ht="15.75" customHeight="1">
      <c r="A965" s="65"/>
      <c r="B965" s="65"/>
      <c r="C965" s="190"/>
      <c r="D965" s="191"/>
      <c r="E965" s="65"/>
      <c r="F965" s="65"/>
      <c r="G965" s="65"/>
      <c r="H965" s="65"/>
      <c r="I965" s="139"/>
      <c r="J965" s="139"/>
      <c r="K965" s="139"/>
      <c r="L965" s="139"/>
      <c r="M965" s="139"/>
      <c r="N965" s="139"/>
      <c r="O965" s="65"/>
      <c r="P965" s="67"/>
    </row>
    <row r="966" ht="15.75" customHeight="1">
      <c r="A966" s="65"/>
      <c r="B966" s="65"/>
      <c r="C966" s="190"/>
      <c r="D966" s="191"/>
      <c r="E966" s="65"/>
      <c r="F966" s="65"/>
      <c r="G966" s="65"/>
      <c r="H966" s="65"/>
      <c r="I966" s="139"/>
      <c r="J966" s="139"/>
      <c r="K966" s="139"/>
      <c r="L966" s="139"/>
      <c r="M966" s="139"/>
      <c r="N966" s="139"/>
      <c r="O966" s="65"/>
      <c r="P966" s="67"/>
    </row>
    <row r="967" ht="15.75" customHeight="1">
      <c r="A967" s="65"/>
      <c r="B967" s="65"/>
      <c r="C967" s="190"/>
      <c r="D967" s="191"/>
      <c r="E967" s="65"/>
      <c r="F967" s="65"/>
      <c r="G967" s="65"/>
      <c r="H967" s="65"/>
      <c r="I967" s="139"/>
      <c r="J967" s="139"/>
      <c r="K967" s="139"/>
      <c r="L967" s="139"/>
      <c r="M967" s="139"/>
      <c r="N967" s="139"/>
      <c r="O967" s="65"/>
      <c r="P967" s="67"/>
    </row>
    <row r="968" ht="15.75" customHeight="1">
      <c r="A968" s="65"/>
      <c r="B968" s="65"/>
      <c r="C968" s="190"/>
      <c r="D968" s="191"/>
      <c r="E968" s="65"/>
      <c r="F968" s="65"/>
      <c r="G968" s="65"/>
      <c r="H968" s="65"/>
      <c r="I968" s="139"/>
      <c r="J968" s="139"/>
      <c r="K968" s="139"/>
      <c r="L968" s="139"/>
      <c r="M968" s="139"/>
      <c r="N968" s="139"/>
      <c r="O968" s="65"/>
      <c r="P968" s="67"/>
    </row>
    <row r="969" ht="15.75" customHeight="1">
      <c r="A969" s="65"/>
      <c r="B969" s="65"/>
      <c r="C969" s="190"/>
      <c r="D969" s="191"/>
      <c r="E969" s="65"/>
      <c r="F969" s="65"/>
      <c r="G969" s="65"/>
      <c r="H969" s="65"/>
      <c r="I969" s="139"/>
      <c r="J969" s="139"/>
      <c r="K969" s="139"/>
      <c r="L969" s="139"/>
      <c r="M969" s="139"/>
      <c r="N969" s="139"/>
      <c r="O969" s="65"/>
      <c r="P969" s="67"/>
    </row>
    <row r="970" ht="15.75" customHeight="1">
      <c r="A970" s="65"/>
      <c r="B970" s="65"/>
      <c r="C970" s="190"/>
      <c r="D970" s="191"/>
      <c r="E970" s="65"/>
      <c r="F970" s="65"/>
      <c r="G970" s="65"/>
      <c r="H970" s="65"/>
      <c r="I970" s="139"/>
      <c r="J970" s="139"/>
      <c r="K970" s="139"/>
      <c r="L970" s="139"/>
      <c r="M970" s="139"/>
      <c r="N970" s="139"/>
      <c r="O970" s="65"/>
      <c r="P970" s="67"/>
    </row>
    <row r="971" ht="15.75" customHeight="1">
      <c r="A971" s="65"/>
      <c r="B971" s="65"/>
      <c r="C971" s="190"/>
      <c r="D971" s="191"/>
      <c r="E971" s="65"/>
      <c r="F971" s="65"/>
      <c r="G971" s="65"/>
      <c r="H971" s="65"/>
      <c r="I971" s="139"/>
      <c r="J971" s="139"/>
      <c r="K971" s="139"/>
      <c r="L971" s="139"/>
      <c r="M971" s="139"/>
      <c r="N971" s="139"/>
      <c r="O971" s="65"/>
      <c r="P971" s="67"/>
    </row>
    <row r="972" ht="15.75" customHeight="1">
      <c r="A972" s="65"/>
      <c r="B972" s="65"/>
      <c r="C972" s="190"/>
      <c r="D972" s="191"/>
      <c r="E972" s="65"/>
      <c r="F972" s="65"/>
      <c r="G972" s="65"/>
      <c r="H972" s="65"/>
      <c r="I972" s="139"/>
      <c r="J972" s="139"/>
      <c r="K972" s="139"/>
      <c r="L972" s="139"/>
      <c r="M972" s="139"/>
      <c r="N972" s="139"/>
      <c r="O972" s="65"/>
      <c r="P972" s="67"/>
    </row>
    <row r="973" ht="15.75" customHeight="1">
      <c r="A973" s="65"/>
      <c r="B973" s="65"/>
      <c r="C973" s="190"/>
      <c r="D973" s="191"/>
      <c r="E973" s="65"/>
      <c r="F973" s="65"/>
      <c r="G973" s="65"/>
      <c r="H973" s="65"/>
      <c r="I973" s="139"/>
      <c r="J973" s="139"/>
      <c r="K973" s="139"/>
      <c r="L973" s="139"/>
      <c r="M973" s="139"/>
      <c r="N973" s="139"/>
      <c r="O973" s="65"/>
      <c r="P973" s="67"/>
    </row>
    <row r="974" ht="15.75" customHeight="1">
      <c r="A974" s="65"/>
      <c r="B974" s="65"/>
      <c r="C974" s="190"/>
      <c r="D974" s="191"/>
      <c r="E974" s="65"/>
      <c r="F974" s="65"/>
      <c r="G974" s="65"/>
      <c r="H974" s="65"/>
      <c r="I974" s="139"/>
      <c r="J974" s="139"/>
      <c r="K974" s="139"/>
      <c r="L974" s="139"/>
      <c r="M974" s="139"/>
      <c r="N974" s="139"/>
      <c r="O974" s="65"/>
      <c r="P974" s="67"/>
    </row>
    <row r="975" ht="15.75" customHeight="1">
      <c r="A975" s="65"/>
      <c r="B975" s="65"/>
      <c r="C975" s="190"/>
      <c r="D975" s="191"/>
      <c r="E975" s="65"/>
      <c r="F975" s="65"/>
      <c r="G975" s="65"/>
      <c r="H975" s="65"/>
      <c r="I975" s="139"/>
      <c r="J975" s="139"/>
      <c r="K975" s="139"/>
      <c r="L975" s="139"/>
      <c r="M975" s="139"/>
      <c r="N975" s="139"/>
      <c r="O975" s="65"/>
      <c r="P975" s="67"/>
    </row>
    <row r="976" ht="15.75" customHeight="1">
      <c r="A976" s="65"/>
      <c r="B976" s="65"/>
      <c r="C976" s="190"/>
      <c r="D976" s="191"/>
      <c r="E976" s="65"/>
      <c r="F976" s="65"/>
      <c r="G976" s="65"/>
      <c r="H976" s="65"/>
      <c r="I976" s="139"/>
      <c r="J976" s="139"/>
      <c r="K976" s="139"/>
      <c r="L976" s="139"/>
      <c r="M976" s="139"/>
      <c r="N976" s="139"/>
      <c r="O976" s="65"/>
      <c r="P976" s="67"/>
    </row>
    <row r="977" ht="15.75" customHeight="1">
      <c r="A977" s="65"/>
      <c r="B977" s="65"/>
      <c r="C977" s="190"/>
      <c r="D977" s="191"/>
      <c r="E977" s="65"/>
      <c r="F977" s="65"/>
      <c r="G977" s="65"/>
      <c r="H977" s="65"/>
      <c r="I977" s="139"/>
      <c r="J977" s="139"/>
      <c r="K977" s="139"/>
      <c r="L977" s="139"/>
      <c r="M977" s="139"/>
      <c r="N977" s="139"/>
      <c r="O977" s="65"/>
      <c r="P977" s="67"/>
    </row>
  </sheetData>
  <dataValidations>
    <dataValidation type="list" allowBlank="1" showErrorMessage="1" sqref="H2:H60 H71">
      <formula1>"Employment,Internship "</formula1>
    </dataValidation>
    <dataValidation type="list" allowBlank="1" showErrorMessage="1" sqref="G2:G60 G71">
      <formula1>"Data Science,Programming"</formula1>
    </dataValidation>
    <dataValidation type="list" allowBlank="1" showErrorMessage="1" sqref="P2:P64 P66:P73 P77 P79 P81:P82 P84:P115 P117:P121 P123 P125:P128 P131:P132 P136 P138 P140 P142 P144:P147 P149:P151 P153:P154 P157:P160 P162:P164 P168 P170:P172 P175 P180">
      <formula1>"No,Yes"</formula1>
    </dataValidation>
  </dataValidations>
  <hyperlinks>
    <hyperlink r:id="rId2" ref="I2"/>
    <hyperlink r:id="rId3" ref="J2"/>
    <hyperlink r:id="rId4" ref="I3"/>
    <hyperlink r:id="rId5" ref="J3"/>
    <hyperlink r:id="rId6" ref="I4"/>
    <hyperlink r:id="rId7" ref="J4"/>
    <hyperlink r:id="rId8" ref="I5"/>
    <hyperlink r:id="rId9" ref="J5"/>
    <hyperlink r:id="rId10" ref="I6"/>
    <hyperlink r:id="rId11" ref="J6"/>
    <hyperlink r:id="rId12" ref="I7"/>
    <hyperlink r:id="rId13" ref="J7"/>
    <hyperlink r:id="rId14" ref="I8"/>
    <hyperlink r:id="rId15" ref="J8"/>
    <hyperlink r:id="rId16" ref="I9"/>
    <hyperlink r:id="rId17" ref="J9"/>
    <hyperlink r:id="rId18" ref="I10"/>
    <hyperlink r:id="rId19" ref="J10"/>
    <hyperlink r:id="rId20" ref="I11"/>
    <hyperlink r:id="rId21" ref="J11"/>
    <hyperlink r:id="rId22" ref="I12"/>
    <hyperlink r:id="rId23" ref="J12"/>
    <hyperlink r:id="rId24" ref="I13"/>
    <hyperlink r:id="rId25" ref="J13"/>
    <hyperlink r:id="rId26" ref="I14"/>
    <hyperlink r:id="rId27" ref="J14"/>
    <hyperlink r:id="rId28" ref="I15"/>
    <hyperlink r:id="rId29" ref="J15"/>
    <hyperlink r:id="rId30" ref="I16"/>
    <hyperlink r:id="rId31" ref="J16"/>
    <hyperlink r:id="rId32" ref="I17"/>
    <hyperlink r:id="rId33" ref="J17"/>
    <hyperlink r:id="rId34" ref="I18"/>
    <hyperlink r:id="rId35" ref="J18"/>
    <hyperlink r:id="rId36" ref="I19"/>
    <hyperlink r:id="rId37" ref="J19"/>
    <hyperlink r:id="rId38" ref="I20"/>
    <hyperlink r:id="rId39" ref="J20"/>
    <hyperlink r:id="rId40" ref="I21"/>
    <hyperlink r:id="rId41" ref="J21"/>
    <hyperlink r:id="rId42" ref="I22"/>
    <hyperlink r:id="rId43" ref="J22"/>
    <hyperlink r:id="rId44" ref="I23"/>
    <hyperlink r:id="rId45" ref="J23"/>
    <hyperlink r:id="rId46" ref="I24"/>
    <hyperlink r:id="rId47" ref="J24"/>
    <hyperlink r:id="rId48" ref="I25"/>
    <hyperlink r:id="rId49" ref="J25"/>
    <hyperlink r:id="rId50" ref="I26"/>
    <hyperlink r:id="rId51" ref="J26"/>
    <hyperlink r:id="rId52" ref="I27"/>
    <hyperlink r:id="rId53" ref="J27"/>
    <hyperlink r:id="rId54" ref="I28"/>
    <hyperlink r:id="rId55" ref="J28"/>
    <hyperlink r:id="rId56" ref="I29"/>
    <hyperlink r:id="rId57" ref="J29"/>
    <hyperlink r:id="rId58" ref="I30"/>
    <hyperlink r:id="rId59" ref="J30"/>
    <hyperlink r:id="rId60" ref="I31"/>
    <hyperlink r:id="rId61" ref="J31"/>
    <hyperlink r:id="rId62" ref="I32"/>
    <hyperlink r:id="rId63" ref="J32"/>
    <hyperlink r:id="rId64" ref="I33"/>
    <hyperlink r:id="rId65" ref="J33"/>
    <hyperlink r:id="rId66" ref="I34"/>
    <hyperlink r:id="rId67" ref="J34"/>
    <hyperlink r:id="rId68" ref="I35"/>
    <hyperlink r:id="rId69" ref="J35"/>
    <hyperlink r:id="rId70" ref="I36"/>
    <hyperlink r:id="rId71" ref="J36"/>
    <hyperlink r:id="rId72" ref="I37"/>
    <hyperlink r:id="rId73" ref="J37"/>
    <hyperlink r:id="rId74" ref="I38"/>
    <hyperlink r:id="rId75" ref="J38"/>
    <hyperlink r:id="rId76" ref="I39"/>
    <hyperlink r:id="rId77" ref="J39"/>
    <hyperlink r:id="rId78" ref="I40"/>
    <hyperlink r:id="rId79" ref="J40"/>
    <hyperlink r:id="rId80" ref="I41"/>
    <hyperlink r:id="rId81" ref="J41"/>
    <hyperlink r:id="rId82" ref="I42"/>
    <hyperlink r:id="rId83" ref="J42"/>
    <hyperlink r:id="rId84" ref="I43"/>
    <hyperlink r:id="rId85" ref="J43"/>
    <hyperlink r:id="rId86" ref="I44"/>
    <hyperlink r:id="rId87" ref="J44"/>
    <hyperlink r:id="rId88" ref="I45"/>
    <hyperlink r:id="rId89" ref="J45"/>
    <hyperlink r:id="rId90" ref="I46"/>
    <hyperlink r:id="rId91" ref="J46"/>
    <hyperlink r:id="rId92" ref="I47"/>
    <hyperlink r:id="rId93" ref="J47"/>
    <hyperlink r:id="rId94" ref="I48"/>
    <hyperlink r:id="rId95" ref="J48"/>
    <hyperlink r:id="rId96" ref="I49"/>
    <hyperlink r:id="rId97" ref="J49"/>
    <hyperlink r:id="rId98" ref="I50"/>
    <hyperlink r:id="rId99" ref="J50"/>
    <hyperlink r:id="rId100" ref="I51"/>
    <hyperlink r:id="rId101" ref="J51"/>
    <hyperlink r:id="rId102" ref="I52"/>
    <hyperlink r:id="rId103" ref="J52"/>
    <hyperlink r:id="rId104" ref="I53"/>
    <hyperlink r:id="rId105" ref="J53"/>
    <hyperlink r:id="rId106" ref="I54"/>
    <hyperlink r:id="rId107" ref="J54"/>
    <hyperlink r:id="rId108" ref="I55"/>
    <hyperlink r:id="rId109" ref="J55"/>
    <hyperlink r:id="rId110" ref="I56"/>
    <hyperlink r:id="rId111" ref="J56"/>
    <hyperlink r:id="rId112" ref="I57"/>
    <hyperlink r:id="rId113" ref="J57"/>
    <hyperlink r:id="rId114" ref="I58"/>
    <hyperlink r:id="rId115" ref="J58"/>
    <hyperlink r:id="rId116" ref="I59"/>
    <hyperlink r:id="rId117" ref="J59"/>
    <hyperlink r:id="rId118" ref="I60"/>
    <hyperlink r:id="rId119" ref="J60"/>
    <hyperlink r:id="rId120" ref="I61"/>
    <hyperlink r:id="rId121" ref="J61"/>
    <hyperlink r:id="rId122" ref="I62"/>
    <hyperlink r:id="rId123" ref="J62"/>
    <hyperlink r:id="rId124" ref="I63"/>
    <hyperlink r:id="rId125" ref="J63"/>
    <hyperlink r:id="rId126" ref="I64"/>
    <hyperlink r:id="rId127" ref="J64"/>
    <hyperlink r:id="rId128" ref="I65"/>
    <hyperlink r:id="rId129" ref="J65"/>
    <hyperlink r:id="rId130" ref="I66"/>
    <hyperlink r:id="rId131" ref="J66"/>
    <hyperlink r:id="rId132" ref="I67"/>
    <hyperlink r:id="rId133" ref="J67"/>
    <hyperlink r:id="rId134" ref="I68"/>
    <hyperlink r:id="rId135" ref="J68"/>
    <hyperlink r:id="rId136" ref="I69"/>
    <hyperlink r:id="rId137" ref="J69"/>
    <hyperlink r:id="rId138" ref="I70"/>
    <hyperlink r:id="rId139" ref="J70"/>
    <hyperlink r:id="rId140" ref="I71"/>
    <hyperlink r:id="rId141" ref="J71"/>
    <hyperlink r:id="rId142" ref="I72"/>
    <hyperlink r:id="rId143" ref="J72"/>
    <hyperlink r:id="rId144" ref="I73"/>
    <hyperlink r:id="rId145" ref="J73"/>
    <hyperlink r:id="rId146" ref="I74"/>
    <hyperlink r:id="rId147" ref="J74"/>
    <hyperlink r:id="rId148" ref="I75"/>
    <hyperlink r:id="rId149" ref="J75"/>
    <hyperlink r:id="rId150" ref="I76"/>
    <hyperlink r:id="rId151" ref="J76"/>
    <hyperlink r:id="rId152" ref="I77"/>
    <hyperlink r:id="rId153" ref="J77"/>
    <hyperlink r:id="rId154" ref="I78"/>
    <hyperlink r:id="rId155" ref="J78"/>
    <hyperlink r:id="rId156" ref="I79"/>
    <hyperlink r:id="rId157" ref="J79"/>
    <hyperlink r:id="rId158" ref="I80"/>
    <hyperlink r:id="rId159" ref="J80"/>
    <hyperlink r:id="rId160" ref="I81"/>
    <hyperlink r:id="rId161" ref="J81"/>
    <hyperlink r:id="rId162" ref="I82"/>
    <hyperlink r:id="rId163" ref="J82"/>
    <hyperlink r:id="rId164" ref="I83"/>
    <hyperlink r:id="rId165" ref="J83"/>
    <hyperlink r:id="rId166" ref="I84"/>
    <hyperlink r:id="rId167" ref="J84"/>
    <hyperlink r:id="rId168" ref="I85"/>
    <hyperlink r:id="rId169" ref="J85"/>
    <hyperlink r:id="rId170" ref="I86"/>
    <hyperlink r:id="rId171" ref="J86"/>
    <hyperlink r:id="rId172" ref="I87"/>
    <hyperlink r:id="rId173" ref="J87"/>
    <hyperlink r:id="rId174" ref="I88"/>
    <hyperlink r:id="rId175" ref="J88"/>
    <hyperlink r:id="rId176" ref="I89"/>
    <hyperlink r:id="rId177" ref="J89"/>
    <hyperlink r:id="rId178" ref="I91"/>
    <hyperlink r:id="rId179" ref="J91"/>
    <hyperlink r:id="rId180" ref="I92"/>
    <hyperlink r:id="rId181" ref="J92"/>
    <hyperlink r:id="rId182" ref="I93"/>
    <hyperlink r:id="rId183" ref="J93"/>
    <hyperlink r:id="rId184" ref="I94"/>
    <hyperlink r:id="rId185" ref="J94"/>
    <hyperlink r:id="rId186" ref="I95"/>
    <hyperlink r:id="rId187" ref="J95"/>
    <hyperlink r:id="rId188" ref="I96"/>
    <hyperlink r:id="rId189" ref="J96"/>
    <hyperlink r:id="rId190" ref="I97"/>
    <hyperlink r:id="rId191" ref="J97"/>
    <hyperlink r:id="rId192" ref="I98"/>
    <hyperlink r:id="rId193" ref="J98"/>
    <hyperlink r:id="rId194" ref="I99"/>
    <hyperlink r:id="rId195" ref="J99"/>
    <hyperlink r:id="rId196" ref="I100"/>
    <hyperlink r:id="rId197" ref="J100"/>
    <hyperlink r:id="rId198" ref="I101"/>
    <hyperlink r:id="rId199" ref="J101"/>
    <hyperlink r:id="rId200" ref="I102"/>
    <hyperlink r:id="rId201" ref="J102"/>
    <hyperlink r:id="rId202" ref="I103"/>
    <hyperlink r:id="rId203" ref="J103"/>
    <hyperlink r:id="rId204" ref="I104"/>
    <hyperlink r:id="rId205" ref="J104"/>
    <hyperlink r:id="rId206" ref="I105"/>
    <hyperlink r:id="rId207" ref="J105"/>
    <hyperlink r:id="rId208" ref="I106"/>
    <hyperlink r:id="rId209" ref="J106"/>
    <hyperlink r:id="rId210" ref="I107"/>
    <hyperlink r:id="rId211" ref="J107"/>
    <hyperlink r:id="rId212" ref="I108"/>
    <hyperlink r:id="rId213" ref="J108"/>
    <hyperlink r:id="rId214" ref="I109"/>
    <hyperlink r:id="rId215" ref="J109"/>
    <hyperlink r:id="rId216" ref="I110"/>
    <hyperlink r:id="rId217" ref="J110"/>
    <hyperlink r:id="rId218" ref="I111"/>
    <hyperlink r:id="rId219" ref="J111"/>
    <hyperlink r:id="rId220" ref="I112"/>
    <hyperlink r:id="rId221" ref="J112"/>
    <hyperlink r:id="rId222" ref="I113"/>
    <hyperlink r:id="rId223" ref="J113"/>
    <hyperlink r:id="rId224" ref="I114"/>
    <hyperlink r:id="rId225" ref="J114"/>
    <hyperlink r:id="rId226" ref="I115"/>
    <hyperlink r:id="rId227" ref="J115"/>
    <hyperlink r:id="rId228" ref="I116"/>
    <hyperlink r:id="rId229" ref="J116"/>
    <hyperlink r:id="rId230" ref="I117"/>
    <hyperlink r:id="rId231" ref="J117"/>
    <hyperlink r:id="rId232" ref="I118"/>
    <hyperlink r:id="rId233" ref="J118"/>
    <hyperlink r:id="rId234" ref="I119"/>
    <hyperlink r:id="rId235" ref="J119"/>
    <hyperlink r:id="rId236" ref="I120"/>
    <hyperlink r:id="rId237" ref="J120"/>
    <hyperlink r:id="rId238" ref="I121"/>
    <hyperlink r:id="rId239" ref="J121"/>
    <hyperlink r:id="rId240" ref="I122"/>
    <hyperlink r:id="rId241" ref="J122"/>
    <hyperlink r:id="rId242" ref="I123"/>
    <hyperlink r:id="rId243" ref="J123"/>
    <hyperlink r:id="rId244" ref="I124"/>
    <hyperlink r:id="rId245" ref="J124"/>
    <hyperlink r:id="rId246" ref="I125"/>
    <hyperlink r:id="rId247" ref="J125"/>
    <hyperlink r:id="rId248" ref="I126"/>
    <hyperlink r:id="rId249" ref="J126"/>
    <hyperlink r:id="rId250" ref="I127"/>
    <hyperlink r:id="rId251" ref="J127"/>
    <hyperlink r:id="rId252" ref="I128"/>
    <hyperlink r:id="rId253" ref="J128"/>
    <hyperlink r:id="rId254" ref="I129"/>
    <hyperlink r:id="rId255" ref="J129"/>
    <hyperlink r:id="rId256" ref="I130"/>
    <hyperlink r:id="rId257" ref="J130"/>
    <hyperlink r:id="rId258" ref="I131"/>
    <hyperlink r:id="rId259" ref="J131"/>
    <hyperlink r:id="rId260" ref="I132"/>
    <hyperlink r:id="rId261" ref="J132"/>
    <hyperlink r:id="rId262" ref="I133"/>
    <hyperlink r:id="rId263" ref="J133"/>
    <hyperlink r:id="rId264" ref="I134"/>
    <hyperlink r:id="rId265" ref="J134"/>
    <hyperlink r:id="rId266" ref="I135"/>
    <hyperlink r:id="rId267" ref="J135"/>
    <hyperlink r:id="rId268" ref="I136"/>
    <hyperlink r:id="rId269" ref="J136"/>
    <hyperlink r:id="rId270" ref="I137"/>
    <hyperlink r:id="rId271" ref="J137"/>
    <hyperlink r:id="rId272" ref="I138"/>
    <hyperlink r:id="rId273" ref="J138"/>
    <hyperlink r:id="rId274" ref="I139"/>
    <hyperlink r:id="rId275" ref="J139"/>
    <hyperlink r:id="rId276" ref="I140"/>
    <hyperlink r:id="rId277" ref="J140"/>
    <hyperlink r:id="rId278" ref="I141"/>
    <hyperlink r:id="rId279" ref="J141"/>
    <hyperlink r:id="rId280" ref="I142"/>
    <hyperlink r:id="rId281" ref="J142"/>
    <hyperlink r:id="rId282" ref="I147"/>
    <hyperlink r:id="rId283" ref="J147"/>
    <hyperlink r:id="rId284" ref="I148"/>
    <hyperlink r:id="rId285" ref="J148"/>
    <hyperlink r:id="rId286" ref="I149"/>
    <hyperlink r:id="rId287" ref="J149"/>
    <hyperlink r:id="rId288" ref="I150"/>
    <hyperlink r:id="rId289" ref="J150"/>
    <hyperlink r:id="rId290" ref="I151"/>
    <hyperlink r:id="rId291" ref="J151"/>
    <hyperlink r:id="rId292" ref="I152"/>
    <hyperlink r:id="rId293" ref="J152"/>
    <hyperlink r:id="rId294" ref="I153"/>
    <hyperlink r:id="rId295" ref="J153"/>
    <hyperlink r:id="rId296" ref="I154"/>
    <hyperlink r:id="rId297" ref="J154"/>
    <hyperlink r:id="rId298" ref="I155"/>
    <hyperlink r:id="rId299" ref="J155"/>
    <hyperlink r:id="rId300" ref="I156"/>
    <hyperlink r:id="rId301" ref="J156"/>
    <hyperlink r:id="rId302" ref="I157"/>
    <hyperlink r:id="rId303" ref="J157"/>
    <hyperlink r:id="rId304" ref="I158"/>
    <hyperlink r:id="rId305" ref="J158"/>
    <hyperlink r:id="rId306" ref="I159"/>
    <hyperlink r:id="rId307" ref="J159"/>
    <hyperlink r:id="rId308" ref="I160"/>
    <hyperlink r:id="rId309" ref="J160"/>
    <hyperlink r:id="rId310" ref="I161"/>
    <hyperlink r:id="rId311" ref="J161"/>
    <hyperlink r:id="rId312" ref="I162"/>
    <hyperlink r:id="rId313" ref="J162"/>
    <hyperlink r:id="rId314" ref="I163"/>
    <hyperlink r:id="rId315" ref="J163"/>
    <hyperlink r:id="rId316" ref="I164"/>
    <hyperlink r:id="rId317" ref="J164"/>
    <hyperlink r:id="rId318" ref="I165"/>
    <hyperlink r:id="rId319" ref="J165"/>
    <hyperlink r:id="rId320" ref="I166"/>
    <hyperlink r:id="rId321" ref="J166"/>
    <hyperlink r:id="rId322" ref="I167"/>
    <hyperlink r:id="rId323" ref="J167"/>
    <hyperlink r:id="rId324" ref="I168"/>
    <hyperlink r:id="rId325" ref="J168"/>
    <hyperlink r:id="rId326" ref="I169"/>
    <hyperlink r:id="rId327" ref="J169"/>
    <hyperlink r:id="rId328" ref="I170"/>
    <hyperlink r:id="rId329" ref="J170"/>
    <hyperlink r:id="rId330" ref="I171"/>
    <hyperlink r:id="rId331" ref="J171"/>
    <hyperlink r:id="rId332" ref="I172"/>
    <hyperlink r:id="rId333" ref="J172"/>
    <hyperlink r:id="rId334" ref="I173"/>
    <hyperlink r:id="rId335" ref="J173"/>
    <hyperlink r:id="rId336" ref="I174"/>
    <hyperlink r:id="rId337" ref="J174"/>
    <hyperlink r:id="rId338" ref="I175"/>
    <hyperlink r:id="rId339" ref="J175"/>
    <hyperlink r:id="rId340" ref="I176"/>
    <hyperlink r:id="rId341" ref="J176"/>
    <hyperlink r:id="rId342" ref="I177"/>
    <hyperlink r:id="rId343" ref="J177"/>
    <hyperlink r:id="rId344" ref="I178"/>
    <hyperlink r:id="rId345" ref="J178"/>
    <hyperlink r:id="rId346" ref="I179"/>
    <hyperlink r:id="rId347" ref="J179"/>
    <hyperlink r:id="rId348" ref="I180"/>
    <hyperlink r:id="rId349" ref="J180"/>
    <hyperlink r:id="rId350" ref="I181"/>
    <hyperlink r:id="rId351" ref="J181"/>
    <hyperlink r:id="rId352" ref="I182"/>
    <hyperlink r:id="rId353" ref="J182"/>
    <hyperlink r:id="rId354" ref="I183"/>
    <hyperlink r:id="rId355" ref="J183"/>
    <hyperlink r:id="rId356" ref="I184"/>
    <hyperlink r:id="rId357" ref="J184"/>
    <hyperlink r:id="rId358" ref="I185"/>
    <hyperlink r:id="rId359" ref="J185"/>
    <hyperlink r:id="rId360" ref="I186"/>
    <hyperlink r:id="rId361" ref="J186"/>
    <hyperlink r:id="rId362" ref="I187"/>
    <hyperlink r:id="rId363" ref="J187"/>
    <hyperlink r:id="rId364" ref="I209"/>
    <hyperlink r:id="rId365" ref="J209"/>
    <hyperlink r:id="rId366" ref="I210"/>
    <hyperlink r:id="rId367" ref="J210"/>
    <hyperlink r:id="rId368" ref="I211"/>
    <hyperlink r:id="rId369" ref="J211"/>
    <hyperlink r:id="rId370" ref="I212"/>
    <hyperlink r:id="rId371" ref="J212"/>
    <hyperlink r:id="rId372" ref="I213"/>
    <hyperlink r:id="rId373" ref="J213"/>
    <hyperlink r:id="rId374" ref="I214"/>
    <hyperlink r:id="rId375" ref="J214"/>
    <hyperlink r:id="rId376" ref="I215"/>
    <hyperlink r:id="rId377" ref="J215"/>
    <hyperlink r:id="rId378" ref="I216"/>
    <hyperlink r:id="rId379" ref="J216"/>
    <hyperlink r:id="rId380" ref="I217"/>
    <hyperlink r:id="rId381" ref="J217"/>
    <hyperlink r:id="rId382" ref="I218"/>
    <hyperlink r:id="rId383" ref="J218"/>
    <hyperlink r:id="rId384" ref="I219"/>
    <hyperlink r:id="rId385" ref="J219"/>
    <hyperlink r:id="rId386" ref="I220"/>
    <hyperlink r:id="rId387" ref="J220"/>
    <hyperlink r:id="rId388" ref="I221"/>
    <hyperlink r:id="rId389" ref="J221"/>
    <hyperlink r:id="rId390" ref="I222"/>
    <hyperlink r:id="rId391" ref="J222"/>
    <hyperlink r:id="rId392" ref="I223"/>
    <hyperlink r:id="rId393" ref="J223"/>
    <hyperlink r:id="rId394" ref="I224"/>
    <hyperlink r:id="rId395" ref="J224"/>
    <hyperlink r:id="rId396" ref="I225"/>
    <hyperlink r:id="rId397" ref="J225"/>
    <hyperlink r:id="rId398" ref="I226"/>
    <hyperlink r:id="rId399" ref="J226"/>
    <hyperlink r:id="rId400" ref="I227"/>
    <hyperlink r:id="rId401" ref="J227"/>
    <hyperlink r:id="rId402" ref="I228"/>
    <hyperlink r:id="rId403" ref="J228"/>
    <hyperlink r:id="rId404" ref="I229"/>
    <hyperlink r:id="rId405" ref="J229"/>
    <hyperlink r:id="rId406" ref="B230"/>
    <hyperlink r:id="rId407" ref="I230"/>
    <hyperlink r:id="rId408" ref="J230"/>
    <hyperlink r:id="rId409" ref="I231"/>
    <hyperlink r:id="rId410" ref="J231"/>
    <hyperlink r:id="rId411" ref="I232"/>
    <hyperlink r:id="rId412" ref="J232"/>
    <hyperlink r:id="rId413" ref="I233"/>
    <hyperlink r:id="rId414" ref="J233"/>
    <hyperlink r:id="rId415" ref="I234"/>
    <hyperlink r:id="rId416" ref="J234"/>
    <hyperlink r:id="rId417" ref="I235"/>
    <hyperlink r:id="rId418" ref="J235"/>
    <hyperlink r:id="rId419" ref="I236"/>
    <hyperlink r:id="rId420" ref="J236"/>
    <hyperlink r:id="rId421" ref="I237"/>
    <hyperlink r:id="rId422" ref="J237"/>
    <hyperlink r:id="rId423" ref="I238"/>
    <hyperlink r:id="rId424" ref="J238"/>
    <hyperlink r:id="rId425" ref="I239"/>
    <hyperlink r:id="rId426" ref="J239"/>
  </hyperlinks>
  <drawing r:id="rId427"/>
  <legacyDrawing r:id="rId428"/>
  <tableParts count="11">
    <tablePart r:id="rId440"/>
    <tablePart r:id="rId441"/>
    <tablePart r:id="rId442"/>
    <tablePart r:id="rId443"/>
    <tablePart r:id="rId444"/>
    <tablePart r:id="rId445"/>
    <tablePart r:id="rId446"/>
    <tablePart r:id="rId447"/>
    <tablePart r:id="rId448"/>
    <tablePart r:id="rId449"/>
    <tablePart r:id="rId450"/>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26.5"/>
    <col customWidth="1" min="5" max="5" width="14.38"/>
    <col customWidth="1" min="6" max="6" width="26.5"/>
  </cols>
  <sheetData>
    <row r="1">
      <c r="A1" s="37" t="s">
        <v>1</v>
      </c>
      <c r="B1" s="37" t="s">
        <v>2393</v>
      </c>
    </row>
    <row r="2">
      <c r="A2" s="94" t="s">
        <v>1140</v>
      </c>
      <c r="B2" s="93" t="str">
        <f>IFERROR(__xludf.DUMMYFUNCTION("LET(
  decisions,
  FILTER(
    INDEX(
      'FS - Jan26'!A:J,,10
    ),
    INDEX(
      'FS - Jan26'!A:J,,1
    ) = A2
  ),
  priority, {""Yes"",""No"", ""NA"",""""},
  IF(
    COUNTA(decisions)=0,
    NA(),
    INDEX(
      SORT(
        decisions,
 "&amp;"       MATCH(decisions, priority, 0),
        TRUE
      ),
      1
    )
  )
)"),"Yes")</f>
        <v>Yes</v>
      </c>
    </row>
    <row r="3">
      <c r="A3" s="94" t="s">
        <v>1083</v>
      </c>
      <c r="B3" s="93" t="str">
        <f>IFERROR(__xludf.DUMMYFUNCTION("LET(
  decisions,
  FILTER(
    INDEX(
      'FS - Jan26'!A:J,,10
    ),
    INDEX(
      'FS - Jan26'!A:J,,1
    ) = A3
  ),
  priority, {""Yes"",""No"", ""NA"",""""},
  IF(
    COUNTA(decisions)=0,
    NA(),
    INDEX(
      SORT(
        decisions,
 "&amp;"       MATCH(decisions, priority, 0),
        TRUE
      ),
      1
    )
  )
)"),"Yes")</f>
        <v>Yes</v>
      </c>
    </row>
    <row r="4">
      <c r="A4" s="62" t="s">
        <v>246</v>
      </c>
      <c r="B4" s="93" t="str">
        <f>IFERROR(__xludf.DUMMYFUNCTION("LET(
  decisions,
  FILTER(
    INDEX(
      'FS - Jan26'!A:J,,10
    ),
    INDEX(
      'FS - Jan26'!A:J,,1
    ) = A4
  ),
  priority, {""Yes"",""No"", ""NA"",""""},
  IF(
    COUNTA(decisions)=0,
    NA(),
    INDEX(
      SORT(
        decisions,
 "&amp;"       MATCH(decisions, priority, 0),
        TRUE
      ),
      1
    )
  )
)"),"No")</f>
        <v>No</v>
      </c>
    </row>
    <row r="5">
      <c r="A5" s="62" t="s">
        <v>373</v>
      </c>
      <c r="B5" s="93" t="str">
        <f>IFERROR(__xludf.DUMMYFUNCTION("LET(
  decisions,
  FILTER(
    INDEX(
      'FS - Jan26'!A:J,,10
    ),
    INDEX(
      'FS - Jan26'!A:J,,1
    ) = A5
  ),
  priority, {""Yes"",""No"", ""NA"",""""},
  IF(
    COUNTA(decisions)=0,
    NA(),
    INDEX(
      SORT(
        decisions,
 "&amp;"       MATCH(decisions, priority, 0),
        TRUE
      ),
      1
    )
  )
)"),"Yes")</f>
        <v>Yes</v>
      </c>
    </row>
    <row r="6">
      <c r="A6" s="93" t="s">
        <v>1825</v>
      </c>
      <c r="B6" s="93" t="str">
        <f>IFERROR(__xludf.DUMMYFUNCTION("LET(
  decisions,
  FILTER(
    INDEX(
      'FS - Jan26'!A:J,,10
    ),
    INDEX(
      'FS - Jan26'!A:J,,1
    ) = A6
  ),
  priority, {""Yes"",""No"", ""NA"",""""},
  IF(
    COUNTA(decisions)=0,
    NA(),
    INDEX(
      SORT(
        decisions,
 "&amp;"       MATCH(decisions, priority, 0),
        TRUE
      ),
      1
    )
  )
)"),"Yes")</f>
        <v>Yes</v>
      </c>
    </row>
    <row r="7">
      <c r="A7" s="62" t="s">
        <v>774</v>
      </c>
      <c r="B7" s="93" t="str">
        <f>IFERROR(__xludf.DUMMYFUNCTION("LET(
  decisions,
  FILTER(
    INDEX(
      'FS - Jan26'!A:J,,10
    ),
    INDEX(
      'FS - Jan26'!A:J,,1
    ) = A7
  ),
  priority, {""Yes"",""No"", ""NA"",""""},
  IF(
    COUNTA(decisions)=0,
    NA(),
    INDEX(
      SORT(
        decisions,
 "&amp;"       MATCH(decisions, priority, 0),
        TRUE
      ),
      1
    )
  )
)"),"Yes")</f>
        <v>Yes</v>
      </c>
    </row>
    <row r="8">
      <c r="A8" s="62" t="s">
        <v>156</v>
      </c>
      <c r="B8" s="93" t="str">
        <f>IFERROR(__xludf.DUMMYFUNCTION("LET(
  decisions,
  FILTER(
    INDEX(
      'FS - Jan26'!A:J,,10
    ),
    INDEX(
      'FS - Jan26'!A:J,,1
    ) = A8
  ),
  priority, {""Yes"",""No"", ""NA"",""""},
  IF(
    COUNTA(decisions)=0,
    NA(),
    INDEX(
      SORT(
        decisions,
 "&amp;"       MATCH(decisions, priority, 0),
        TRUE
      ),
      1
    )
  )
)"),"Yes")</f>
        <v>Yes</v>
      </c>
    </row>
    <row r="9">
      <c r="A9" s="62" t="s">
        <v>425</v>
      </c>
      <c r="B9" s="93" t="str">
        <f>IFERROR(__xludf.DUMMYFUNCTION("LET(
  decisions,
  FILTER(
    INDEX(
      'FS - Jan26'!A:J,,10
    ),
    INDEX(
      'FS - Jan26'!A:J,,1
    ) = A9
  ),
  priority, {""Yes"",""No"", ""NA"",""""},
  IF(
    COUNTA(decisions)=0,
    NA(),
    INDEX(
      SORT(
        decisions,
 "&amp;"       MATCH(decisions, priority, 0),
        TRUE
      ),
      1
    )
  )
)"),"Yes")</f>
        <v>Yes</v>
      </c>
    </row>
    <row r="10">
      <c r="A10" s="62" t="s">
        <v>893</v>
      </c>
      <c r="B10" s="93" t="str">
        <f>IFERROR(__xludf.DUMMYFUNCTION("LET(
  decisions,
  FILTER(
    INDEX(
      'FS - Jan26'!A:J,,10
    ),
    INDEX(
      'FS - Jan26'!A:J,,1
    ) = A10
  ),
  priority, {""Yes"",""No"", ""NA"",""""},
  IF(
    COUNTA(decisions)=0,
    NA(),
    INDEX(
      SORT(
        decisions,
"&amp;"        MATCH(decisions, priority, 0),
        TRUE
      ),
      1
    )
  )
)"),"Yes")</f>
        <v>Yes</v>
      </c>
    </row>
    <row r="11">
      <c r="A11" s="62" t="s">
        <v>276</v>
      </c>
      <c r="B11" s="93" t="str">
        <f>IFERROR(__xludf.DUMMYFUNCTION("LET(
  decisions,
  FILTER(
    INDEX(
      'FS - Jan26'!A:J,,10
    ),
    INDEX(
      'FS - Jan26'!A:J,,1
    ) = A11
  ),
  priority, {""Yes"",""No"", ""NA"",""""},
  IF(
    COUNTA(decisions)=0,
    NA(),
    INDEX(
      SORT(
        decisions,
"&amp;"        MATCH(decisions, priority, 0),
        TRUE
      ),
      1
    )
  )
)"),"Yes")</f>
        <v>Yes</v>
      </c>
    </row>
    <row r="12">
      <c r="A12" s="62" t="s">
        <v>1181</v>
      </c>
      <c r="B12" s="93" t="str">
        <f>IFERROR(__xludf.DUMMYFUNCTION("LET(
  decisions,
  FILTER(
    INDEX(
      'FS - Jan26'!A:J,,10
    ),
    INDEX(
      'FS - Jan26'!A:J,,1
    ) = A12
  ),
  priority, {""Yes"",""No"", ""NA"",""""},
  IF(
    COUNTA(decisions)=0,
    NA(),
    INDEX(
      SORT(
        decisions,
"&amp;"        MATCH(decisions, priority, 0),
        TRUE
      ),
      1
    )
  )
)"),"Yes")</f>
        <v>Yes</v>
      </c>
    </row>
    <row r="13">
      <c r="A13" s="93" t="s">
        <v>66</v>
      </c>
      <c r="B13" s="93" t="str">
        <f>IFERROR(__xludf.DUMMYFUNCTION("LET(
  decisions,
  FILTER(
    INDEX(
      'FS - Jan26'!A:J,,10
    ),
    INDEX(
      'FS - Jan26'!A:J,,1
    ) = A13
  ),
  priority, {""Yes"",""No"", ""NA"",""""},
  IF(
    COUNTA(decisions)=0,
    NA(),
    INDEX(
      SORT(
        decisions,
"&amp;"        MATCH(decisions, priority, 0),
        TRUE
      ),
      1
    )
  )
)"),"Yes")</f>
        <v>Yes</v>
      </c>
    </row>
    <row r="14">
      <c r="A14" s="62" t="s">
        <v>289</v>
      </c>
      <c r="B14" s="93" t="str">
        <f>IFERROR(__xludf.DUMMYFUNCTION("LET(
  decisions,
  FILTER(
    INDEX(
      'FS - Jan26'!A:J,,10
    ),
    INDEX(
      'FS - Jan26'!A:J,,1
    ) = A14
  ),
  priority, {""Yes"",""No"", ""NA"",""""},
  IF(
    COUNTA(decisions)=0,
    NA(),
    INDEX(
      SORT(
        decisions,
"&amp;"        MATCH(decisions, priority, 0),
        TRUE
      ),
      1
    )
  )
)"),"No")</f>
        <v>No</v>
      </c>
    </row>
    <row r="15">
      <c r="A15" s="94" t="s">
        <v>975</v>
      </c>
      <c r="B15" s="93" t="str">
        <f>IFERROR(__xludf.DUMMYFUNCTION("LET(
  decisions,
  FILTER(
    INDEX(
      'FS - Jan26'!A:J,,10
    ),
    INDEX(
      'FS - Jan26'!A:J,,1
    ) = A15
  ),
  priority, {""Yes"",""No"", ""NA"",""""},
  IF(
    COUNTA(decisions)=0,
    NA(),
    INDEX(
      SORT(
        decisions,
"&amp;"        MATCH(decisions, priority, 0),
        TRUE
      ),
      1
    )
  )
)"),"Yes")</f>
        <v>Yes</v>
      </c>
    </row>
    <row r="16">
      <c r="A16" s="94" t="s">
        <v>1170</v>
      </c>
      <c r="B16" s="93" t="str">
        <f>IFERROR(__xludf.DUMMYFUNCTION("LET(
  decisions,
  FILTER(
    INDEX(
      'FS - Jan26'!A:J,,10
    ),
    INDEX(
      'FS - Jan26'!A:J,,1
    ) = A16
  ),
  priority, {""Yes"",""No"", ""NA"",""""},
  IF(
    COUNTA(decisions)=0,
    NA(),
    INDEX(
      SORT(
        decisions,
"&amp;"        MATCH(decisions, priority, 0),
        TRUE
      ),
      1
    )
  )
)"),"Yes")</f>
        <v>Yes</v>
      </c>
    </row>
    <row r="17">
      <c r="A17" s="62" t="s">
        <v>212</v>
      </c>
      <c r="B17" s="93" t="str">
        <f>IFERROR(__xludf.DUMMYFUNCTION("LET(
  decisions,
  FILTER(
    INDEX(
      'FS - Jan26'!A:J,,10
    ),
    INDEX(
      'FS - Jan26'!A:J,,1
    ) = A17
  ),
  priority, {""Yes"",""No"", ""NA"",""""},
  IF(
    COUNTA(decisions)=0,
    NA(),
    INDEX(
      SORT(
        decisions,
"&amp;"        MATCH(decisions, priority, 0),
        TRUE
      ),
      1
    )
  )
)"),"Yes")</f>
        <v>Yes</v>
      </c>
    </row>
    <row r="18">
      <c r="A18" s="62" t="s">
        <v>721</v>
      </c>
      <c r="B18" s="93" t="str">
        <f>IFERROR(__xludf.DUMMYFUNCTION("LET(
  decisions,
  FILTER(
    INDEX(
      'FS - Jan26'!A:J,,10
    ),
    INDEX(
      'FS - Jan26'!A:J,,1
    ) = A18
  ),
  priority, {""Yes"",""No"", ""NA"",""""},
  IF(
    COUNTA(decisions)=0,
    NA(),
    INDEX(
      SORT(
        decisions,
"&amp;"        MATCH(decisions, priority, 0),
        TRUE
      ),
      1
    )
  )
)"),"Yes")</f>
        <v>Yes</v>
      </c>
    </row>
    <row r="19">
      <c r="A19" s="62" t="s">
        <v>1266</v>
      </c>
      <c r="B19" s="93" t="str">
        <f>IFERROR(__xludf.DUMMYFUNCTION("LET(
  decisions,
  FILTER(
    INDEX(
      'FS - Jan26'!A:J,,10
    ),
    INDEX(
      'FS - Jan26'!A:J,,1
    ) = A19
  ),
  priority, {""Yes"",""No"", ""NA"",""""},
  IF(
    COUNTA(decisions)=0,
    NA(),
    INDEX(
      SORT(
        decisions,
"&amp;"        MATCH(decisions, priority, 0),
        TRUE
      ),
      1
    )
  )
)"),"Yes")</f>
        <v>Yes</v>
      </c>
    </row>
    <row r="20">
      <c r="A20" s="94" t="s">
        <v>1107</v>
      </c>
      <c r="B20" s="93" t="str">
        <f>IFERROR(__xludf.DUMMYFUNCTION("LET(
  decisions,
  FILTER(
    INDEX(
      'FS - Jan26'!A:J,,10
    ),
    INDEX(
      'FS - Jan26'!A:J,,1
    ) = A20
  ),
  priority, {""Yes"",""No"", ""NA"",""""},
  IF(
    COUNTA(decisions)=0,
    NA(),
    INDEX(
      SORT(
        decisions,
"&amp;"        MATCH(decisions, priority, 0),
        TRUE
      ),
      1
    )
  )
)"),"Yes")</f>
        <v>Yes</v>
      </c>
    </row>
    <row r="21">
      <c r="A21" s="62" t="s">
        <v>337</v>
      </c>
      <c r="B21" s="93" t="str">
        <f>IFERROR(__xludf.DUMMYFUNCTION("LET(
  decisions,
  FILTER(
    INDEX(
      'FS - Jan26'!A:J,,10
    ),
    INDEX(
      'FS - Jan26'!A:J,,1
    ) = A21
  ),
  priority, {""Yes"",""No"", ""NA"",""""},
  IF(
    COUNTA(decisions)=0,
    NA(),
    INDEX(
      SORT(
        decisions,
"&amp;"        MATCH(decisions, priority, 0),
        TRUE
      ),
      1
    )
  )
)"),"No")</f>
        <v>No</v>
      </c>
    </row>
    <row r="22">
      <c r="A22" s="37" t="s">
        <v>338</v>
      </c>
      <c r="B22" s="93" t="str">
        <f>IFERROR(__xludf.DUMMYFUNCTION("LET(
  decisions,
  FILTER(
    INDEX(
      'FS - Jan26'!A:J,,10
    ),
    INDEX(
      'FS - Jan26'!A:J,,1
    ) = A22
  ),
  priority, {""Yes"",""No"", ""NA"",""""},
  IF(
    COUNTA(decisions)=0,
    NA(),
    INDEX(
      SORT(
        decisions,
"&amp;"        MATCH(decisions, priority, 0),
        TRUE
      ),
      1
    )
  )
)"),"Yes")</f>
        <v>Yes</v>
      </c>
    </row>
    <row r="23">
      <c r="A23" s="93" t="s">
        <v>1166</v>
      </c>
      <c r="B23" s="93" t="str">
        <f>IFERROR(__xludf.DUMMYFUNCTION("LET(
  decisions,
  FILTER(
    INDEX(
      'FS - Jan26'!A:J,,10
    ),
    INDEX(
      'FS - Jan26'!A:J,,1
    ) = A23
  ),
  priority, {""Yes"",""No"", ""NA"",""""},
  IF(
    COUNTA(decisions)=0,
    NA(),
    INDEX(
      SORT(
        decisions,
"&amp;"        MATCH(decisions, priority, 0),
        TRUE
      ),
      1
    )
  )
)"),"Yes")</f>
        <v>Yes</v>
      </c>
    </row>
    <row r="24">
      <c r="A24" s="93" t="s">
        <v>1016</v>
      </c>
      <c r="B24" s="93" t="str">
        <f>IFERROR(__xludf.DUMMYFUNCTION("LET(
  decisions,
  FILTER(
    INDEX(
      'FS - Jan26'!A:J,,10
    ),
    INDEX(
      'FS - Jan26'!A:J,,1
    ) = A24
  ),
  priority, {""Yes"",""No"", ""NA"",""""},
  IF(
    COUNTA(decisions)=0,
    NA(),
    INDEX(
      SORT(
        decisions,
"&amp;"        MATCH(decisions, priority, 0),
        TRUE
      ),
      1
    )
  )
)"),"Yes")</f>
        <v>Yes</v>
      </c>
    </row>
    <row r="25">
      <c r="A25" s="105" t="s">
        <v>1164</v>
      </c>
      <c r="B25" s="93" t="str">
        <f>IFERROR(__xludf.DUMMYFUNCTION("LET(
  decisions,
  FILTER(
    INDEX(
      'FS - Jan26'!A:J,,10
    ),
    INDEX(
      'FS - Jan26'!A:J,,1
    ) = A25
  ),
  priority, {""Yes"",""No"", ""NA"",""""},
  IF(
    COUNTA(decisions)=0,
    NA(),
    INDEX(
      SORT(
        decisions,
"&amp;"        MATCH(decisions, priority, 0),
        TRUE
      ),
      1
    )
  )
)"),"Yes")</f>
        <v>Yes</v>
      </c>
    </row>
    <row r="26">
      <c r="A26" s="37" t="s">
        <v>907</v>
      </c>
      <c r="B26" s="93" t="str">
        <f>IFERROR(__xludf.DUMMYFUNCTION("LET(
  decisions,
  FILTER(
    INDEX(
      'FS - Jan26'!A:J,,10
    ),
    INDEX(
      'FS - Jan26'!A:J,,1
    ) = A26
  ),
  priority, {""Yes"",""No"", ""NA"",""""},
  IF(
    COUNTA(decisions)=0,
    NA(),
    INDEX(
      SORT(
        decisions,
"&amp;"        MATCH(decisions, priority, 0),
        TRUE
      ),
      1
    )
  )
)"),"Yes")</f>
        <v>Yes</v>
      </c>
    </row>
    <row r="27">
      <c r="A27" s="37" t="s">
        <v>87</v>
      </c>
      <c r="B27" s="93" t="str">
        <f>IFERROR(__xludf.DUMMYFUNCTION("LET(
  decisions,
  FILTER(
    INDEX(
      'FS - Jan26'!A:J,,10
    ),
    INDEX(
      'FS - Jan26'!A:J,,1
    ) = A27
  ),
  priority, {""Yes"",""No"", ""NA"",""""},
  IF(
    COUNTA(decisions)=0,
    NA(),
    INDEX(
      SORT(
        decisions,
"&amp;"        MATCH(decisions, priority, 0),
        TRUE
      ),
      1
    )
  )
)"),"Yes")</f>
        <v>Yes</v>
      </c>
    </row>
    <row r="28">
      <c r="A28" s="106" t="s">
        <v>889</v>
      </c>
      <c r="B28" s="93" t="str">
        <f>IFERROR(__xludf.DUMMYFUNCTION("LET(
  decisions,
  FILTER(
    INDEX(
      'FS - Jan26'!A:J,,10
    ),
    INDEX(
      'FS - Jan26'!A:J,,1
    ) = A28
  ),
  priority, {""Yes"",""No"", ""NA"",""""},
  IF(
    COUNTA(decisions)=0,
    NA(),
    INDEX(
      SORT(
        decisions,
"&amp;"        MATCH(decisions, priority, 0),
        TRUE
      ),
      1
    )
  )
)"),"Yes")</f>
        <v>Yes</v>
      </c>
    </row>
    <row r="29">
      <c r="A29" s="105" t="s">
        <v>708</v>
      </c>
      <c r="B29" s="93" t="str">
        <f>IFERROR(__xludf.DUMMYFUNCTION("LET(
  decisions,
  FILTER(
    INDEX(
      'FS - Jan26'!A:J,,10
    ),
    INDEX(
      'FS - Jan26'!A:J,,1
    ) = A29
  ),
  priority, {""Yes"",""No"", ""NA"",""""},
  IF(
    COUNTA(decisions)=0,
    NA(),
    INDEX(
      SORT(
        decisions,
"&amp;"        MATCH(decisions, priority, 0),
        TRUE
      ),
      1
    )
  )
)"),"Yes")</f>
        <v>Yes</v>
      </c>
    </row>
    <row r="30">
      <c r="A30" s="105" t="s">
        <v>1439</v>
      </c>
      <c r="B30" s="93" t="str">
        <f>IFERROR(__xludf.DUMMYFUNCTION("LET(
  decisions,
  FILTER(
    INDEX(
      'FS - Jan26'!A:J,,10
    ),
    INDEX(
      'FS - Jan26'!A:J,,1
    ) = A30
  ),
  priority, {""Yes"",""No"", ""NA"",""""},
  IF(
    COUNTA(decisions)=0,
    NA(),
    INDEX(
      SORT(
        decisions,
"&amp;"        MATCH(decisions, priority, 0),
        TRUE
      ),
      1
    )
  )
)"),"Yes")</f>
        <v>Yes</v>
      </c>
    </row>
    <row r="31">
      <c r="A31" s="105" t="s">
        <v>672</v>
      </c>
      <c r="B31" s="93" t="str">
        <f>IFERROR(__xludf.DUMMYFUNCTION("LET(
  decisions,
  FILTER(
    INDEX(
      'FS - Jan26'!A:J,,10
    ),
    INDEX(
      'FS - Jan26'!A:J,,1
    ) = A31
  ),
  priority, {""Yes"",""No"", ""NA"",""""},
  IF(
    COUNTA(decisions)=0,
    NA(),
    INDEX(
      SORT(
        decisions,
"&amp;"        MATCH(decisions, priority, 0),
        TRUE
      ),
      1
    )
  )
)"),"Yes")</f>
        <v>Yes</v>
      </c>
    </row>
    <row r="32">
      <c r="A32" s="62" t="s">
        <v>855</v>
      </c>
      <c r="B32" s="93" t="str">
        <f>IFERROR(__xludf.DUMMYFUNCTION("LET(
  decisions,
  FILTER(
    INDEX(
      'FS - Jan26'!A:J,,10
    ),
    INDEX(
      'FS - Jan26'!A:J,,1
    ) = A32
  ),
  priority, {""Yes"",""No"", ""NA"",""""},
  IF(
    COUNTA(decisions)=0,
    NA(),
    INDEX(
      SORT(
        decisions,
"&amp;"        MATCH(decisions, priority, 0),
        TRUE
      ),
      1
    )
  )
)"),"Yes")</f>
        <v>Yes</v>
      </c>
    </row>
    <row r="33">
      <c r="A33" s="94" t="s">
        <v>1341</v>
      </c>
      <c r="B33" s="93" t="str">
        <f>IFERROR(__xludf.DUMMYFUNCTION("LET(
  decisions,
  FILTER(
    INDEX(
      'FS - Jan26'!A:J,,10
    ),
    INDEX(
      'FS - Jan26'!A:J,,1
    ) = A33
  ),
  priority, {""Yes"",""No"", ""NA"",""""},
  IF(
    COUNTA(decisions)=0,
    NA(),
    INDEX(
      SORT(
        decisions,
"&amp;"        MATCH(decisions, priority, 0),
        TRUE
      ),
      1
    )
  )
)"),"Yes")</f>
        <v>Yes</v>
      </c>
    </row>
    <row r="34">
      <c r="A34" s="94" t="s">
        <v>370</v>
      </c>
      <c r="B34" s="93" t="str">
        <f>IFERROR(__xludf.DUMMYFUNCTION("LET(
  decisions,
  FILTER(
    INDEX(
      'FS - Jan26'!A:J,,10
    ),
    INDEX(
      'FS - Jan26'!A:J,,1
    ) = A34
  ),
  priority, {""Yes"",""No"", ""NA"",""""},
  IF(
    COUNTA(decisions)=0,
    NA(),
    INDEX(
      SORT(
        decisions,
"&amp;"        MATCH(decisions, priority, 0),
        TRUE
      ),
      1
    )
  )
)"),"No")</f>
        <v>No</v>
      </c>
    </row>
    <row r="35">
      <c r="A35" s="62" t="s">
        <v>656</v>
      </c>
      <c r="B35" s="93" t="str">
        <f>IFERROR(__xludf.DUMMYFUNCTION("LET(
  decisions,
  FILTER(
    INDEX(
      'FS - Jan26'!A:J,,10
    ),
    INDEX(
      'FS - Jan26'!A:J,,1
    ) = A35
  ),
  priority, {""Yes"",""No"", ""NA"",""""},
  IF(
    COUNTA(decisions)=0,
    NA(),
    INDEX(
      SORT(
        decisions,
"&amp;"        MATCH(decisions, priority, 0),
        TRUE
      ),
      1
    )
  )
)"),"Yes")</f>
        <v>Yes</v>
      </c>
    </row>
    <row r="36">
      <c r="A36" s="62" t="s">
        <v>60</v>
      </c>
      <c r="B36" s="93" t="str">
        <f>IFERROR(__xludf.DUMMYFUNCTION("LET(
  decisions,
  FILTER(
    INDEX(
      'FS - Jan26'!A:J,,10
    ),
    INDEX(
      'FS - Jan26'!A:J,,1
    ) = A36
  ),
  priority, {""Yes"",""No"", ""NA"",""""},
  IF(
    COUNTA(decisions)=0,
    NA(),
    INDEX(
      SORT(
        decisions,
"&amp;"        MATCH(decisions, priority, 0),
        TRUE
      ),
      1
    )
  )
)"),"Yes")</f>
        <v>Yes</v>
      </c>
    </row>
    <row r="37">
      <c r="A37" s="94" t="s">
        <v>1030</v>
      </c>
      <c r="B37" s="93" t="str">
        <f>IFERROR(__xludf.DUMMYFUNCTION("LET(
  decisions,
  FILTER(
    INDEX(
      'FS - Jan26'!A:J,,10
    ),
    INDEX(
      'FS - Jan26'!A:J,,1
    ) = A37
  ),
  priority, {""Yes"",""No"", ""NA"",""""},
  IF(
    COUNTA(decisions)=0,
    NA(),
    INDEX(
      SORT(
        decisions,
"&amp;"        MATCH(decisions, priority, 0),
        TRUE
      ),
      1
    )
  )
)"),"Yes")</f>
        <v>Yes</v>
      </c>
    </row>
    <row r="38">
      <c r="A38" s="62" t="s">
        <v>564</v>
      </c>
      <c r="B38" s="93" t="str">
        <f>IFERROR(__xludf.DUMMYFUNCTION("LET(
  decisions,
  FILTER(
    INDEX(
      'FS - Jan26'!A:J,,10
    ),
    INDEX(
      'FS - Jan26'!A:J,,1
    ) = A38
  ),
  priority, {""Yes"",""No"", ""NA"",""""},
  IF(
    COUNTA(decisions)=0,
    NA(),
    INDEX(
      SORT(
        decisions,
"&amp;"        MATCH(decisions, priority, 0),
        TRUE
      ),
      1
    )
  )
)"),"Yes")</f>
        <v>Yes</v>
      </c>
    </row>
    <row r="39">
      <c r="A39" s="94" t="s">
        <v>211</v>
      </c>
      <c r="B39" s="93" t="str">
        <f>IFERROR(__xludf.DUMMYFUNCTION("LET(
  decisions,
  FILTER(
    INDEX(
      'FS - Jan26'!A:J,,10
    ),
    INDEX(
      'FS - Jan26'!A:J,,1
    ) = A39
  ),
  priority, {""Yes"",""No"", ""NA"",""""},
  IF(
    COUNTA(decisions)=0,
    NA(),
    INDEX(
      SORT(
        decisions,
"&amp;"        MATCH(decisions, priority, 0),
        TRUE
      ),
      1
    )
  )
)"),"Yes")</f>
        <v>Yes</v>
      </c>
    </row>
    <row r="40">
      <c r="A40" s="94" t="s">
        <v>782</v>
      </c>
      <c r="B40" s="93" t="str">
        <f>IFERROR(__xludf.DUMMYFUNCTION("LET(
  decisions,
  FILTER(
    INDEX(
      'FS - Jan26'!A:J,,10
    ),
    INDEX(
      'FS - Jan26'!A:J,,1
    ) = A40
  ),
  priority, {""Yes"",""No"", ""NA"",""""},
  IF(
    COUNTA(decisions)=0,
    NA(),
    INDEX(
      SORT(
        decisions,
"&amp;"        MATCH(decisions, priority, 0),
        TRUE
      ),
      1
    )
  )
)"),"No")</f>
        <v>No</v>
      </c>
    </row>
    <row r="41">
      <c r="A41" s="62" t="s">
        <v>1172</v>
      </c>
      <c r="B41" s="93" t="str">
        <f>IFERROR(__xludf.DUMMYFUNCTION("LET(
  decisions,
  FILTER(
    INDEX(
      'FS - Jan26'!A:J,,10
    ),
    INDEX(
      'FS - Jan26'!A:J,,1
    ) = A41
  ),
  priority, {""Yes"",""No"", ""NA"",""""},
  IF(
    COUNTA(decisions)=0,
    NA(),
    INDEX(
      SORT(
        decisions,
"&amp;"        MATCH(decisions, priority, 0),
        TRUE
      ),
      1
    )
  )
)"),"Yes")</f>
        <v>Yes</v>
      </c>
    </row>
    <row r="42">
      <c r="A42" s="94" t="s">
        <v>239</v>
      </c>
      <c r="B42" s="93" t="str">
        <f>IFERROR(__xludf.DUMMYFUNCTION("LET(
  decisions,
  FILTER(
    INDEX(
      'FS - Jan26'!A:J,,10
    ),
    INDEX(
      'FS - Jan26'!A:J,,1
    ) = A42
  ),
  priority, {""Yes"",""No"", ""NA"",""""},
  IF(
    COUNTA(decisions)=0,
    NA(),
    INDEX(
      SORT(
        decisions,
"&amp;"        MATCH(decisions, priority, 0),
        TRUE
      ),
      1
    )
  )
)"),"Yes")</f>
        <v>Yes</v>
      </c>
    </row>
    <row r="43">
      <c r="A43" s="62" t="s">
        <v>560</v>
      </c>
      <c r="B43" s="93" t="str">
        <f>IFERROR(__xludf.DUMMYFUNCTION("LET(
  decisions,
  FILTER(
    INDEX(
      'FS - Jan26'!A:J,,10
    ),
    INDEX(
      'FS - Jan26'!A:J,,1
    ) = A43
  ),
  priority, {""Yes"",""No"", ""NA"",""""},
  IF(
    COUNTA(decisions)=0,
    NA(),
    INDEX(
      SORT(
        decisions,
"&amp;"        MATCH(decisions, priority, 0),
        TRUE
      ),
      1
    )
  )
)"),"No")</f>
        <v>No</v>
      </c>
    </row>
    <row r="44">
      <c r="A44" s="62" t="s">
        <v>442</v>
      </c>
      <c r="B44" s="93" t="str">
        <f>IFERROR(__xludf.DUMMYFUNCTION("LET(
  decisions,
  FILTER(
    INDEX(
      'FS - Jan26'!A:J,,10
    ),
    INDEX(
      'FS - Jan26'!A:J,,1
    ) = A44
  ),
  priority, {""Yes"",""No"", ""NA"",""""},
  IF(
    COUNTA(decisions)=0,
    NA(),
    INDEX(
      SORT(
        decisions,
"&amp;"        MATCH(decisions, priority, 0),
        TRUE
      ),
      1
    )
  )
)"),"Yes")</f>
        <v>Yes</v>
      </c>
    </row>
    <row r="45">
      <c r="A45" s="93" t="s">
        <v>792</v>
      </c>
      <c r="B45" s="93" t="str">
        <f>IFERROR(__xludf.DUMMYFUNCTION("LET(
  decisions,
  FILTER(
    INDEX(
      'FS - Jan26'!A:J,,10
    ),
    INDEX(
      'FS - Jan26'!A:J,,1
    ) = A45
  ),
  priority, {""Yes"",""No"", ""NA"",""""},
  IF(
    COUNTA(decisions)=0,
    NA(),
    INDEX(
      SORT(
        decisions,
"&amp;"        MATCH(decisions, priority, 0),
        TRUE
      ),
      1
    )
  )
)"),"Yes")</f>
        <v>Yes</v>
      </c>
    </row>
    <row r="46">
      <c r="A46" s="93" t="s">
        <v>1008</v>
      </c>
      <c r="B46" s="93" t="str">
        <f>IFERROR(__xludf.DUMMYFUNCTION("LET(
  decisions,
  FILTER(
    INDEX(
      'FS - Jan26'!A:J,,10
    ),
    INDEX(
      'FS - Jan26'!A:J,,1
    ) = A46
  ),
  priority, {""Yes"",""No"", ""NA"",""""},
  IF(
    COUNTA(decisions)=0,
    NA(),
    INDEX(
      SORT(
        decisions,
"&amp;"        MATCH(decisions, priority, 0),
        TRUE
      ),
      1
    )
  )
)"),"Yes")</f>
        <v>Yes</v>
      </c>
    </row>
    <row r="47">
      <c r="A47" s="62" t="s">
        <v>355</v>
      </c>
      <c r="B47" s="93" t="str">
        <f>IFERROR(__xludf.DUMMYFUNCTION("LET(
  decisions,
  FILTER(
    INDEX(
      'FS - Jan26'!A:J,,10
    ),
    INDEX(
      'FS - Jan26'!A:J,,1
    ) = A47
  ),
  priority, {""Yes"",""No"", ""NA"",""""},
  IF(
    COUNTA(decisions)=0,
    NA(),
    INDEX(
      SORT(
        decisions,
"&amp;"        MATCH(decisions, priority, 0),
        TRUE
      ),
      1
    )
  )
)"),"Yes")</f>
        <v>Yes</v>
      </c>
    </row>
    <row r="48">
      <c r="A48" s="62" t="s">
        <v>142</v>
      </c>
      <c r="B48" s="93" t="str">
        <f>IFERROR(__xludf.DUMMYFUNCTION("LET(
  decisions,
  FILTER(
    INDEX(
      'FS - Jan26'!A:J,,10
    ),
    INDEX(
      'FS - Jan26'!A:J,,1
    ) = A48
  ),
  priority, {""Yes"",""No"", ""NA"",""""},
  IF(
    COUNTA(decisions)=0,
    NA(),
    INDEX(
      SORT(
        decisions,
"&amp;"        MATCH(decisions, priority, 0),
        TRUE
      ),
      1
    )
  )
)"),"No")</f>
        <v>No</v>
      </c>
    </row>
    <row r="49">
      <c r="A49" s="93" t="s">
        <v>716</v>
      </c>
      <c r="B49" s="93" t="str">
        <f>IFERROR(__xludf.DUMMYFUNCTION("LET(
  decisions,
  FILTER(
    INDEX(
      'FS - Jan26'!A:J,,10
    ),
    INDEX(
      'FS - Jan26'!A:J,,1
    ) = A49
  ),
  priority, {""Yes"",""No"", ""NA"",""""},
  IF(
    COUNTA(decisions)=0,
    NA(),
    INDEX(
      SORT(
        decisions,
"&amp;"        MATCH(decisions, priority, 0),
        TRUE
      ),
      1
    )
  )
)"),"Yes")</f>
        <v>Yes</v>
      </c>
    </row>
    <row r="50">
      <c r="A50" s="94" t="s">
        <v>728</v>
      </c>
      <c r="B50" s="93" t="str">
        <f>IFERROR(__xludf.DUMMYFUNCTION("LET(
  decisions,
  FILTER(
    INDEX(
      'FS - Jan26'!A:J,,10
    ),
    INDEX(
      'FS - Jan26'!A:J,,1
    ) = A50
  ),
  priority, {""Yes"",""No"", ""NA"",""""},
  IF(
    COUNTA(decisions)=0,
    NA(),
    INDEX(
      SORT(
        decisions,
"&amp;"        MATCH(decisions, priority, 0),
        TRUE
      ),
      1
    )
  )
)"),"Yes")</f>
        <v>Yes</v>
      </c>
    </row>
    <row r="51">
      <c r="A51" s="94" t="s">
        <v>1134</v>
      </c>
      <c r="B51" s="93" t="str">
        <f>IFERROR(__xludf.DUMMYFUNCTION("LET(
  decisions,
  FILTER(
    INDEX(
      'FS - Jan26'!A:J,,10
    ),
    INDEX(
      'FS - Jan26'!A:J,,1
    ) = A51
  ),
  priority, {""Yes"",""No"", ""NA"",""""},
  IF(
    COUNTA(decisions)=0,
    NA(),
    INDEX(
      SORT(
        decisions,
"&amp;"        MATCH(decisions, priority, 0),
        TRUE
      ),
      1
    )
  )
)"),"Yes")</f>
        <v>Yes</v>
      </c>
    </row>
    <row r="52">
      <c r="A52" s="62" t="s">
        <v>143</v>
      </c>
      <c r="B52" s="93" t="str">
        <f>IFERROR(__xludf.DUMMYFUNCTION("LET(
  decisions,
  FILTER(
    INDEX(
      'FS - Jan26'!A:J,,10
    ),
    INDEX(
      'FS - Jan26'!A:J,,1
    ) = A52
  ),
  priority, {""Yes"",""No"", ""NA"",""""},
  IF(
    COUNTA(decisions)=0,
    NA(),
    INDEX(
      SORT(
        decisions,
"&amp;"        MATCH(decisions, priority, 0),
        TRUE
      ),
      1
    )
  )
)"),"Yes")</f>
        <v>Yes</v>
      </c>
    </row>
    <row r="53">
      <c r="A53" s="93" t="s">
        <v>117</v>
      </c>
      <c r="B53" s="93" t="str">
        <f>IFERROR(__xludf.DUMMYFUNCTION("LET(
  decisions,
  FILTER(
    INDEX(
      'FS - Jan26'!A:J,,10
    ),
    INDEX(
      'FS - Jan26'!A:J,,1
    ) = A53
  ),
  priority, {""Yes"",""No"", ""NA"",""""},
  IF(
    COUNTA(decisions)=0,
    NA(),
    INDEX(
      SORT(
        decisions,
"&amp;"        MATCH(decisions, priority, 0),
        TRUE
      ),
      1
    )
  )
)"),"Yes")</f>
        <v>Yes</v>
      </c>
    </row>
    <row r="54">
      <c r="A54" s="62" t="s">
        <v>512</v>
      </c>
      <c r="B54" s="93" t="str">
        <f>IFERROR(__xludf.DUMMYFUNCTION("LET(
  decisions,
  FILTER(
    INDEX(
      'FS - Jan26'!A:J,,10
    ),
    INDEX(
      'FS - Jan26'!A:J,,1
    ) = A54
  ),
  priority, {""Yes"",""No"", ""NA"",""""},
  IF(
    COUNTA(decisions)=0,
    NA(),
    INDEX(
      SORT(
        decisions,
"&amp;"        MATCH(decisions, priority, 0),
        TRUE
      ),
      1
    )
  )
)"),"No")</f>
        <v>No</v>
      </c>
    </row>
    <row r="55">
      <c r="A55" s="93" t="s">
        <v>850</v>
      </c>
      <c r="B55" s="93" t="str">
        <f>IFERROR(__xludf.DUMMYFUNCTION("LET(
  decisions,
  FILTER(
    INDEX(
      'FS - Jan26'!A:J,,10
    ),
    INDEX(
      'FS - Jan26'!A:J,,1
    ) = A55
  ),
  priority, {""Yes"",""No"", ""NA"",""""},
  IF(
    COUNTA(decisions)=0,
    NA(),
    INDEX(
      SORT(
        decisions,
"&amp;"        MATCH(decisions, priority, 0),
        TRUE
      ),
      1
    )
  )
)"),"Yes")</f>
        <v>Yes</v>
      </c>
    </row>
    <row r="56">
      <c r="A56" s="62" t="s">
        <v>362</v>
      </c>
      <c r="B56" s="93" t="str">
        <f>IFERROR(__xludf.DUMMYFUNCTION("LET(
  decisions,
  FILTER(
    INDEX(
      'FS - Jan26'!A:J,,10
    ),
    INDEX(
      'FS - Jan26'!A:J,,1
    ) = A56
  ),
  priority, {""Yes"",""No"", ""NA"",""""},
  IF(
    COUNTA(decisions)=0,
    NA(),
    INDEX(
      SORT(
        decisions,
"&amp;"        MATCH(decisions, priority, 0),
        TRUE
      ),
      1
    )
  )
)"),"No")</f>
        <v>No</v>
      </c>
    </row>
    <row r="57">
      <c r="A57" s="94" t="s">
        <v>542</v>
      </c>
      <c r="B57" s="93" t="str">
        <f>IFERROR(__xludf.DUMMYFUNCTION("LET(
  decisions,
  FILTER(
    INDEX(
      'FS - Jan26'!A:J,,10
    ),
    INDEX(
      'FS - Jan26'!A:J,,1
    ) = A57
  ),
  priority, {""Yes"",""No"", ""NA"",""""},
  IF(
    COUNTA(decisions)=0,
    NA(),
    INDEX(
      SORT(
        decisions,
"&amp;"        MATCH(decisions, priority, 0),
        TRUE
      ),
      1
    )
  )
)"),"Yes")</f>
        <v>Yes</v>
      </c>
    </row>
    <row r="58">
      <c r="A58" s="93" t="s">
        <v>267</v>
      </c>
      <c r="B58" s="93" t="str">
        <f>IFERROR(__xludf.DUMMYFUNCTION("LET(
  decisions,
  FILTER(
    INDEX(
      'FS - Jan26'!A:J,,10
    ),
    INDEX(
      'FS - Jan26'!A:J,,1
    ) = A58
  ),
  priority, {""Yes"",""No"", ""NA"",""""},
  IF(
    COUNTA(decisions)=0,
    NA(),
    INDEX(
      SORT(
        decisions,
"&amp;"        MATCH(decisions, priority, 0),
        TRUE
      ),
      1
    )
  )
)"),"No")</f>
        <v>No</v>
      </c>
    </row>
    <row r="59">
      <c r="A59" s="62" t="s">
        <v>105</v>
      </c>
      <c r="B59" s="93" t="str">
        <f>IFERROR(__xludf.DUMMYFUNCTION("LET(
  decisions,
  FILTER(
    INDEX(
      'FS - Jan26'!A:J,,10
    ),
    INDEX(
      'FS - Jan26'!A:J,,1
    ) = A59
  ),
  priority, {""Yes"",""No"", ""NA"",""""},
  IF(
    COUNTA(decisions)=0,
    NA(),
    INDEX(
      SORT(
        decisions,
"&amp;"        MATCH(decisions, priority, 0),
        TRUE
      ),
      1
    )
  )
)"),"Yes")</f>
        <v>Yes</v>
      </c>
    </row>
    <row r="60">
      <c r="A60" s="93" t="s">
        <v>468</v>
      </c>
      <c r="B60" s="93" t="str">
        <f>IFERROR(__xludf.DUMMYFUNCTION("LET(
  decisions,
  FILTER(
    INDEX(
      'FS - Jan26'!A:J,,10
    ),
    INDEX(
      'FS - Jan26'!A:J,,1
    ) = A60
  ),
  priority, {""Yes"",""No"", ""NA"",""""},
  IF(
    COUNTA(decisions)=0,
    NA(),
    INDEX(
      SORT(
        decisions,
"&amp;"        MATCH(decisions, priority, 0),
        TRUE
      ),
      1
    )
  )
)"),"No")</f>
        <v>No</v>
      </c>
    </row>
    <row r="61">
      <c r="A61" s="62" t="s">
        <v>34</v>
      </c>
      <c r="B61" s="93" t="str">
        <f>IFERROR(__xludf.DUMMYFUNCTION("LET(
  decisions,
  FILTER(
    INDEX(
      'FS - Jan26'!A:J,,10
    ),
    INDEX(
      'FS - Jan26'!A:J,,1
    ) = A61
  ),
  priority, {""Yes"",""No"", ""NA"",""""},
  IF(
    COUNTA(decisions)=0,
    NA(),
    INDEX(
      SORT(
        decisions,
"&amp;"        MATCH(decisions, priority, 0),
        TRUE
      ),
      1
    )
  )
)"),"No")</f>
        <v>No</v>
      </c>
    </row>
    <row r="62">
      <c r="A62" s="62" t="s">
        <v>1294</v>
      </c>
      <c r="B62" s="93" t="str">
        <f>IFERROR(__xludf.DUMMYFUNCTION("LET(
  decisions,
  FILTER(
    INDEX(
      'FS - Jan26'!A:J,,10
    ),
    INDEX(
      'FS - Jan26'!A:J,,1
    ) = A62
  ),
  priority, {""Yes"",""No"", ""NA"",""""},
  IF(
    COUNTA(decisions)=0,
    NA(),
    INDEX(
      SORT(
        decisions,
"&amp;"        MATCH(decisions, priority, 0),
        TRUE
      ),
      1
    )
  )
)"),"Yes")</f>
        <v>Yes</v>
      </c>
    </row>
    <row r="63">
      <c r="A63" s="62" t="s">
        <v>18</v>
      </c>
      <c r="B63" s="93" t="str">
        <f>IFERROR(__xludf.DUMMYFUNCTION("LET(
  decisions,
  FILTER(
    INDEX(
      'FS - Jan26'!A:J,,10
    ),
    INDEX(
      'FS - Jan26'!A:J,,1
    ) = A63
  ),
  priority, {""Yes"",""No"", ""NA"",""""},
  IF(
    COUNTA(decisions)=0,
    NA(),
    INDEX(
      SORT(
        decisions,
"&amp;"        MATCH(decisions, priority, 0),
        TRUE
      ),
      1
    )
  )
)"),"No")</f>
        <v>No</v>
      </c>
    </row>
    <row r="64">
      <c r="A64" s="62" t="s">
        <v>57</v>
      </c>
      <c r="B64" s="93" t="str">
        <f>IFERROR(__xludf.DUMMYFUNCTION("LET(
  decisions,
  FILTER(
    INDEX(
      'FS - Jan26'!A:J,,10
    ),
    INDEX(
      'FS - Jan26'!A:J,,1
    ) = A64
  ),
  priority, {""Yes"",""No"", ""NA"",""""},
  IF(
    COUNTA(decisions)=0,
    NA(),
    INDEX(
      SORT(
        decisions,
"&amp;"        MATCH(decisions, priority, 0),
        TRUE
      ),
      1
    )
  )
)"),"Yes")</f>
        <v>Yes</v>
      </c>
    </row>
    <row r="65">
      <c r="A65" s="94" t="s">
        <v>283</v>
      </c>
      <c r="B65" s="93" t="str">
        <f>IFERROR(__xludf.DUMMYFUNCTION("LET(
  decisions,
  FILTER(
    INDEX(
      'FS - Jan26'!A:J,,10
    ),
    INDEX(
      'FS - Jan26'!A:J,,1
    ) = A65
  ),
  priority, {""Yes"",""No"", ""NA"",""""},
  IF(
    COUNTA(decisions)=0,
    NA(),
    INDEX(
      SORT(
        decisions,
"&amp;"        MATCH(decisions, priority, 0),
        TRUE
      ),
      1
    )
  )
)"),"Yes")</f>
        <v>Yes</v>
      </c>
    </row>
    <row r="66">
      <c r="A66" s="62" t="s">
        <v>99</v>
      </c>
      <c r="B66" s="93" t="str">
        <f>IFERROR(__xludf.DUMMYFUNCTION("LET(
  decisions,
  FILTER(
    INDEX(
      'FS - Jan26'!A:J,,10
    ),
    INDEX(
      'FS - Jan26'!A:J,,1
    ) = A66
  ),
  priority, {""Yes"",""No"", ""NA"",""""},
  IF(
    COUNTA(decisions)=0,
    NA(),
    INDEX(
      SORT(
        decisions,
"&amp;"        MATCH(decisions, priority, 0),
        TRUE
      ),
      1
    )
  )
)"),"Yes")</f>
        <v>Yes</v>
      </c>
    </row>
    <row r="67">
      <c r="A67" s="94" t="s">
        <v>217</v>
      </c>
      <c r="B67" s="93" t="str">
        <f>IFERROR(__xludf.DUMMYFUNCTION("LET(
  decisions,
  FILTER(
    INDEX(
      'FS - Jan26'!A:J,,10
    ),
    INDEX(
      'FS - Jan26'!A:J,,1
    ) = A67
  ),
  priority, {""Yes"",""No"", ""NA"",""""},
  IF(
    COUNTA(decisions)=0,
    NA(),
    INDEX(
      SORT(
        decisions,
"&amp;"        MATCH(decisions, priority, 0),
        TRUE
      ),
      1
    )
  )
)"),"Yes")</f>
        <v>Yes</v>
      </c>
    </row>
    <row r="68">
      <c r="A68" s="62" t="s">
        <v>322</v>
      </c>
      <c r="B68" s="93" t="str">
        <f>IFERROR(__xludf.DUMMYFUNCTION("LET(
  decisions,
  FILTER(
    INDEX(
      'FS - Jan26'!A:J,,10
    ),
    INDEX(
      'FS - Jan26'!A:J,,1
    ) = A68
  ),
  priority, {""Yes"",""No"", ""NA"",""""},
  IF(
    COUNTA(decisions)=0,
    NA(),
    INDEX(
      SORT(
        decisions,
"&amp;"        MATCH(decisions, priority, 0),
        TRUE
      ),
      1
    )
  )
)"),"Yes")</f>
        <v>Yes</v>
      </c>
    </row>
    <row r="69">
      <c r="A69" s="94" t="s">
        <v>961</v>
      </c>
      <c r="B69" s="93" t="str">
        <f>IFERROR(__xludf.DUMMYFUNCTION("LET(
  decisions,
  FILTER(
    INDEX(
      'FS - Jan26'!A:J,,10
    ),
    INDEX(
      'FS - Jan26'!A:J,,1
    ) = A69
  ),
  priority, {""Yes"",""No"", ""NA"",""""},
  IF(
    COUNTA(decisions)=0,
    NA(),
    INDEX(
      SORT(
        decisions,
"&amp;"        MATCH(decisions, priority, 0),
        TRUE
      ),
      1
    )
  )
)"),"Yes")</f>
        <v>Yes</v>
      </c>
    </row>
    <row r="70">
      <c r="A70" s="62" t="s">
        <v>969</v>
      </c>
      <c r="B70" s="93" t="str">
        <f>IFERROR(__xludf.DUMMYFUNCTION("LET(
  decisions,
  FILTER(
    INDEX(
      'FS - Jan26'!A:J,,10
    ),
    INDEX(
      'FS - Jan26'!A:J,,1
    ) = A70
  ),
  priority, {""Yes"",""No"", ""NA"",""""},
  IF(
    COUNTA(decisions)=0,
    NA(),
    INDEX(
      SORT(
        decisions,
"&amp;"        MATCH(decisions, priority, 0),
        TRUE
      ),
      1
    )
  )
)"),"Yes")</f>
        <v>Yes</v>
      </c>
    </row>
    <row r="71">
      <c r="A71" s="94" t="s">
        <v>132</v>
      </c>
      <c r="B71" s="93" t="str">
        <f>IFERROR(__xludf.DUMMYFUNCTION("LET(
  decisions,
  FILTER(
    INDEX(
      'FS - Jan26'!A:J,,10
    ),
    INDEX(
      'FS - Jan26'!A:J,,1
    ) = A71
  ),
  priority, {""Yes"",""No"", ""NA"",""""},
  IF(
    COUNTA(decisions)=0,
    NA(),
    INDEX(
      SORT(
        decisions,
"&amp;"        MATCH(decisions, priority, 0),
        TRUE
      ),
      1
    )
  )
)"),"Yes")</f>
        <v>Yes</v>
      </c>
    </row>
    <row r="72">
      <c r="A72" s="94" t="s">
        <v>113</v>
      </c>
      <c r="B72" s="93" t="str">
        <f>IFERROR(__xludf.DUMMYFUNCTION("LET(
  decisions,
  FILTER(
    INDEX(
      'FS - Jan26'!A:J,,10
    ),
    INDEX(
      'FS - Jan26'!A:J,,1
    ) = A72
  ),
  priority, {""Yes"",""No"", ""NA"",""""},
  IF(
    COUNTA(decisions)=0,
    NA(),
    INDEX(
      SORT(
        decisions,
"&amp;"        MATCH(decisions, priority, 0),
        TRUE
      ),
      1
    )
  )
)"),"Yes")</f>
        <v>Yes</v>
      </c>
    </row>
    <row r="73">
      <c r="A73" s="94" t="s">
        <v>835</v>
      </c>
      <c r="B73" s="93" t="str">
        <f>IFERROR(__xludf.DUMMYFUNCTION("LET(
  decisions,
  FILTER(
    INDEX(
      'FS - Jan26'!A:J,,10
    ),
    INDEX(
      'FS - Jan26'!A:J,,1
    ) = A73
  ),
  priority, {""Yes"",""No"", ""NA"",""""},
  IF(
    COUNTA(decisions)=0,
    NA(),
    INDEX(
      SORT(
        decisions,
"&amp;"        MATCH(decisions, priority, 0),
        TRUE
      ),
      1
    )
  )
)"),"Yes")</f>
        <v>Yes</v>
      </c>
    </row>
    <row r="74">
      <c r="A74" s="93" t="s">
        <v>76</v>
      </c>
      <c r="B74" s="93" t="str">
        <f>IFERROR(__xludf.DUMMYFUNCTION("LET(
  decisions,
  FILTER(
    INDEX(
      'FS - Jan26'!A:J,,10
    ),
    INDEX(
      'FS - Jan26'!A:J,,1
    ) = A74
  ),
  priority, {""Yes"",""No"", ""NA"",""""},
  IF(
    COUNTA(decisions)=0,
    NA(),
    INDEX(
      SORT(
        decisions,
"&amp;"        MATCH(decisions, priority, 0),
        TRUE
      ),
      1
    )
  )
)"),"No")</f>
        <v>No</v>
      </c>
    </row>
    <row r="75">
      <c r="A75" s="94" t="s">
        <v>785</v>
      </c>
      <c r="B75" s="93" t="str">
        <f>IFERROR(__xludf.DUMMYFUNCTION("LET(
  decisions,
  FILTER(
    INDEX(
      'FS - Jan26'!A:J,,10
    ),
    INDEX(
      'FS - Jan26'!A:J,,1
    ) = A75
  ),
  priority, {""Yes"",""No"", ""NA"",""""},
  IF(
    COUNTA(decisions)=0,
    NA(),
    INDEX(
      SORT(
        decisions,
"&amp;"        MATCH(decisions, priority, 0),
        TRUE
      ),
      1
    )
  )
)"),"Yes")</f>
        <v>Yes</v>
      </c>
    </row>
    <row r="76">
      <c r="A76" s="94" t="s">
        <v>1239</v>
      </c>
      <c r="B76" s="93" t="str">
        <f>IFERROR(__xludf.DUMMYFUNCTION("LET(
  decisions,
  FILTER(
    INDEX(
      'FS - Jan26'!A:J,,10
    ),
    INDEX(
      'FS - Jan26'!A:J,,1
    ) = A76
  ),
  priority, {""Yes"",""No"", ""NA"",""""},
  IF(
    COUNTA(decisions)=0,
    NA(),
    INDEX(
      SORT(
        decisions,
"&amp;"        MATCH(decisions, priority, 0),
        TRUE
      ),
      1
    )
  )
)"),"Yes")</f>
        <v>Yes</v>
      </c>
    </row>
    <row r="77">
      <c r="A77" s="94" t="s">
        <v>692</v>
      </c>
      <c r="B77" s="93" t="str">
        <f>IFERROR(__xludf.DUMMYFUNCTION("LET(
  decisions,
  FILTER(
    INDEX(
      'FS - Jan26'!A:J,,10
    ),
    INDEX(
      'FS - Jan26'!A:J,,1
    ) = A77
  ),
  priority, {""Yes"",""No"", ""NA"",""""},
  IF(
    COUNTA(decisions)=0,
    NA(),
    INDEX(
      SORT(
        decisions,
"&amp;"        MATCH(decisions, priority, 0),
        TRUE
      ),
      1
    )
  )
)"),"Yes")</f>
        <v>Yes</v>
      </c>
    </row>
    <row r="78">
      <c r="A78" s="94" t="s">
        <v>844</v>
      </c>
      <c r="B78" s="93" t="str">
        <f>IFERROR(__xludf.DUMMYFUNCTION("LET(
  decisions,
  FILTER(
    INDEX(
      'FS - Jan26'!A:J,,10
    ),
    INDEX(
      'FS - Jan26'!A:J,,1
    ) = A78
  ),
  priority, {""Yes"",""No"", ""NA"",""""},
  IF(
    COUNTA(decisions)=0,
    NA(),
    INDEX(
      SORT(
        decisions,
"&amp;"        MATCH(decisions, priority, 0),
        TRUE
      ),
      1
    )
  )
)"),"Yes")</f>
        <v>Yes</v>
      </c>
    </row>
    <row r="79">
      <c r="A79" s="94" t="s">
        <v>811</v>
      </c>
      <c r="B79" s="93" t="str">
        <f>IFERROR(__xludf.DUMMYFUNCTION("LET(
  decisions,
  FILTER(
    INDEX(
      'FS - Jan26'!A:J,,10
    ),
    INDEX(
      'FS - Jan26'!A:J,,1
    ) = A79
  ),
  priority, {""Yes"",""No"", ""NA"",""""},
  IF(
    COUNTA(decisions)=0,
    NA(),
    INDEX(
      SORT(
        decisions,
"&amp;"        MATCH(decisions, priority, 0),
        TRUE
      ),
      1
    )
  )
)"),"No")</f>
        <v>No</v>
      </c>
    </row>
    <row r="80">
      <c r="A80" s="93" t="s">
        <v>1115</v>
      </c>
      <c r="B80" s="93" t="str">
        <f>IFERROR(__xludf.DUMMYFUNCTION("LET(
  decisions,
  FILTER(
    INDEX(
      'FS - Jan26'!A:J,,10
    ),
    INDEX(
      'FS - Jan26'!A:J,,1
    ) = A80
  ),
  priority, {""Yes"",""No"", ""NA"",""""},
  IF(
    COUNTA(decisions)=0,
    NA(),
    INDEX(
      SORT(
        decisions,
"&amp;"        MATCH(decisions, priority, 0),
        TRUE
      ),
      1
    )
  )
)"),"Yes")</f>
        <v>Yes</v>
      </c>
    </row>
    <row r="81">
      <c r="A81" s="94" t="s">
        <v>646</v>
      </c>
      <c r="B81" s="93" t="str">
        <f>IFERROR(__xludf.DUMMYFUNCTION("LET(
  decisions,
  FILTER(
    INDEX(
      'FS - Jan26'!A:J,,10
    ),
    INDEX(
      'FS - Jan26'!A:J,,1
    ) = A81
  ),
  priority, {""Yes"",""No"", ""NA"",""""},
  IF(
    COUNTA(decisions)=0,
    NA(),
    INDEX(
      SORT(
        decisions,
"&amp;"        MATCH(decisions, priority, 0),
        TRUE
      ),
      1
    )
  )
)"),"Yes")</f>
        <v>Yes</v>
      </c>
    </row>
    <row r="82">
      <c r="A82" s="94" t="s">
        <v>592</v>
      </c>
      <c r="B82" s="93" t="str">
        <f>IFERROR(__xludf.DUMMYFUNCTION("LET(
  decisions,
  FILTER(
    INDEX(
      'FS - Jan26'!A:J,,10
    ),
    INDEX(
      'FS - Jan26'!A:J,,1
    ) = A82
  ),
  priority, {""Yes"",""No"", ""NA"",""""},
  IF(
    COUNTA(decisions)=0,
    NA(),
    INDEX(
      SORT(
        decisions,
"&amp;"        MATCH(decisions, priority, 0),
        TRUE
      ),
      1
    )
  )
)"),"Yes")</f>
        <v>Yes</v>
      </c>
    </row>
    <row r="83">
      <c r="A83" s="93" t="s">
        <v>39</v>
      </c>
      <c r="B83" s="93" t="str">
        <f>IFERROR(__xludf.DUMMYFUNCTION("LET(
  decisions,
  FILTER(
    INDEX(
      'FS - Jan26'!A:J,,10
    ),
    INDEX(
      'FS - Jan26'!A:J,,1
    ) = A83
  ),
  priority, {""Yes"",""No"", ""NA"",""""},
  IF(
    COUNTA(decisions)=0,
    NA(),
    INDEX(
      SORT(
        decisions,
"&amp;"        MATCH(decisions, priority, 0),
        TRUE
      ),
      1
    )
  )
)"),"No")</f>
        <v>No</v>
      </c>
    </row>
    <row r="84">
      <c r="A84" s="94" t="s">
        <v>527</v>
      </c>
      <c r="B84" s="93" t="str">
        <f>IFERROR(__xludf.DUMMYFUNCTION("LET(
  decisions,
  FILTER(
    INDEX(
      'FS - Jan26'!A:J,,10
    ),
    INDEX(
      'FS - Jan26'!A:J,,1
    ) = A84
  ),
  priority, {""Yes"",""No"", ""NA"",""""},
  IF(
    COUNTA(decisions)=0,
    NA(),
    INDEX(
      SORT(
        decisions,
"&amp;"        MATCH(decisions, priority, 0),
        TRUE
      ),
      1
    )
  )
)"),"No")</f>
        <v>No</v>
      </c>
    </row>
    <row r="85">
      <c r="A85" s="94" t="s">
        <v>815</v>
      </c>
      <c r="B85" s="93" t="str">
        <f>IFERROR(__xludf.DUMMYFUNCTION("LET(
  decisions,
  FILTER(
    INDEX(
      'FS - Jan26'!A:J,,10
    ),
    INDEX(
      'FS - Jan26'!A:J,,1
    ) = A85
  ),
  priority, {""Yes"",""No"", ""NA"",""""},
  IF(
    COUNTA(decisions)=0,
    NA(),
    INDEX(
      SORT(
        decisions,
"&amp;"        MATCH(decisions, priority, 0),
        TRUE
      ),
      1
    )
  )
)"),"Yes")</f>
        <v>Yes</v>
      </c>
    </row>
    <row r="86">
      <c r="A86" s="94" t="s">
        <v>77</v>
      </c>
      <c r="B86" s="93" t="str">
        <f>IFERROR(__xludf.DUMMYFUNCTION("LET(
  decisions,
  FILTER(
    INDEX(
      'FS - Jan26'!A:J,,10
    ),
    INDEX(
      'FS - Jan26'!A:J,,1
    ) = A86
  ),
  priority, {""Yes"",""No"", ""NA"",""""},
  IF(
    COUNTA(decisions)=0,
    NA(),
    INDEX(
      SORT(
        decisions,
"&amp;"        MATCH(decisions, priority, 0),
        TRUE
      ),
      1
    )
  )
)"),"Yes")</f>
        <v>Yes</v>
      </c>
    </row>
    <row r="87">
      <c r="A87" s="94" t="s">
        <v>930</v>
      </c>
      <c r="B87" s="93" t="str">
        <f>IFERROR(__xludf.DUMMYFUNCTION("LET(
  decisions,
  FILTER(
    INDEX(
      'FS - Jan26'!A:J,,10
    ),
    INDEX(
      'FS - Jan26'!A:J,,1
    ) = A87
  ),
  priority, {""Yes"",""No"", ""NA"",""""},
  IF(
    COUNTA(decisions)=0,
    NA(),
    INDEX(
      SORT(
        decisions,
"&amp;"        MATCH(decisions, priority, 0),
        TRUE
      ),
      1
    )
  )
)"),"Yes")</f>
        <v>Yes</v>
      </c>
    </row>
    <row r="88">
      <c r="A88" s="62" t="s">
        <v>551</v>
      </c>
      <c r="B88" s="93" t="str">
        <f>IFERROR(__xludf.DUMMYFUNCTION("LET(
  decisions,
  FILTER(
    INDEX(
      'FS - Jan26'!A:J,,10
    ),
    INDEX(
      'FS - Jan26'!A:J,,1
    ) = A88
  ),
  priority, {""Yes"",""No"", ""NA"",""""},
  IF(
    COUNTA(decisions)=0,
    NA(),
    INDEX(
      SORT(
        decisions,
"&amp;"        MATCH(decisions, priority, 0),
        TRUE
      ),
      1
    )
  )
)"),"Yes")</f>
        <v>Yes</v>
      </c>
    </row>
    <row r="89">
      <c r="A89" s="62" t="s">
        <v>497</v>
      </c>
      <c r="B89" s="93" t="str">
        <f>IFERROR(__xludf.DUMMYFUNCTION("LET(
  decisions,
  FILTER(
    INDEX(
      'FS - Jan26'!A:J,,10
    ),
    INDEX(
      'FS - Jan26'!A:J,,1
    ) = A89
  ),
  priority, {""Yes"",""No"", ""NA"",""""},
  IF(
    COUNTA(decisions)=0,
    NA(),
    INDEX(
      SORT(
        decisions,
"&amp;"        MATCH(decisions, priority, 0),
        TRUE
      ),
      1
    )
  )
)"),"Yes")</f>
        <v>Yes</v>
      </c>
    </row>
    <row r="90">
      <c r="A90" s="93" t="s">
        <v>567</v>
      </c>
      <c r="B90" s="93" t="str">
        <f>IFERROR(__xludf.DUMMYFUNCTION("LET(
  decisions,
  FILTER(
    INDEX(
      'FS - Jan26'!A:J,,10
    ),
    INDEX(
      'FS - Jan26'!A:J,,1
    ) = A90
  ),
  priority, {""Yes"",""No"", ""NA"",""""},
  IF(
    COUNTA(decisions)=0,
    NA(),
    INDEX(
      SORT(
        decisions,
"&amp;"        MATCH(decisions, priority, 0),
        TRUE
      ),
      1
    )
  )
)"),"No")</f>
        <v>No</v>
      </c>
    </row>
    <row r="91">
      <c r="A91" s="97" t="s">
        <v>818</v>
      </c>
      <c r="B91" s="93" t="str">
        <f>IFERROR(__xludf.DUMMYFUNCTION("LET(
  decisions,
  FILTER(
    INDEX(
      'FS - Jan26'!A:J,,10
    ),
    INDEX(
      'FS - Jan26'!A:J,,1
    ) = A91
  ),
  priority, {""Yes"",""No"", ""NA"",""""},
  IF(
    COUNTA(decisions)=0,
    NA(),
    INDEX(
      SORT(
        decisions,
"&amp;"        MATCH(decisions, priority, 0),
        TRUE
      ),
      1
    )
  )
)"),"Yes")</f>
        <v>Yes</v>
      </c>
    </row>
    <row r="92">
      <c r="A92" s="62" t="s">
        <v>473</v>
      </c>
      <c r="B92" s="93" t="str">
        <f>IFERROR(__xludf.DUMMYFUNCTION("LET(
  decisions,
  FILTER(
    INDEX(
      'FS - Jan26'!A:J,,10
    ),
    INDEX(
      'FS - Jan26'!A:J,,1
    ) = A92
  ),
  priority, {""Yes"",""No"", ""NA"",""""},
  IF(
    COUNTA(decisions)=0,
    NA(),
    INDEX(
      SORT(
        decisions,
"&amp;"        MATCH(decisions, priority, 0),
        TRUE
      ),
      1
    )
  )
)"),"Yes")</f>
        <v>Yes</v>
      </c>
    </row>
    <row r="93">
      <c r="A93" s="93" t="s">
        <v>1022</v>
      </c>
      <c r="B93" s="93" t="str">
        <f>IFERROR(__xludf.DUMMYFUNCTION("LET(
  decisions,
  FILTER(
    INDEX(
      'FS - Jan26'!A:J,,10
    ),
    INDEX(
      'FS - Jan26'!A:J,,1
    ) = A93
  ),
  priority, {""Yes"",""No"", ""NA"",""""},
  IF(
    COUNTA(decisions)=0,
    NA(),
    INDEX(
      SORT(
        decisions,
"&amp;"        MATCH(decisions, priority, 0),
        TRUE
      ),
      1
    )
  )
)"),"Yes")</f>
        <v>Yes</v>
      </c>
    </row>
    <row r="94">
      <c r="A94" s="94" t="s">
        <v>150</v>
      </c>
      <c r="B94" s="93" t="str">
        <f>IFERROR(__xludf.DUMMYFUNCTION("LET(
  decisions,
  FILTER(
    INDEX(
      'FS - Jan26'!A:J,,10
    ),
    INDEX(
      'FS - Jan26'!A:J,,1
    ) = A94
  ),
  priority, {""Yes"",""No"", ""NA"",""""},
  IF(
    COUNTA(decisions)=0,
    NA(),
    INDEX(
      SORT(
        decisions,
"&amp;"        MATCH(decisions, priority, 0),
        TRUE
      ),
      1
    )
  )
)"),"Yes")</f>
        <v>Yes</v>
      </c>
    </row>
    <row r="95">
      <c r="A95" s="94" t="s">
        <v>1024</v>
      </c>
      <c r="B95" s="93" t="str">
        <f>IFERROR(__xludf.DUMMYFUNCTION("LET(
  decisions,
  FILTER(
    INDEX(
      'FS - Jan26'!A:J,,10
    ),
    INDEX(
      'FS - Jan26'!A:J,,1
    ) = A95
  ),
  priority, {""Yes"",""No"", ""NA"",""""},
  IF(
    COUNTA(decisions)=0,
    NA(),
    INDEX(
      SORT(
        decisions,
"&amp;"        MATCH(decisions, priority, 0),
        TRUE
      ),
      1
    )
  )
)"),"Yes")</f>
        <v>Yes</v>
      </c>
    </row>
    <row r="96">
      <c r="A96" s="62" t="s">
        <v>1074</v>
      </c>
      <c r="B96" s="93" t="str">
        <f>IFERROR(__xludf.DUMMYFUNCTION("LET(
  decisions,
  FILTER(
    INDEX(
      'FS - Jan26'!A:J,,10
    ),
    INDEX(
      'FS - Jan26'!A:J,,1
    ) = A96
  ),
  priority, {""Yes"",""No"", ""NA"",""""},
  IF(
    COUNTA(decisions)=0,
    NA(),
    INDEX(
      SORT(
        decisions,
"&amp;"        MATCH(decisions, priority, 0),
        TRUE
      ),
      1
    )
  )
)"),"Yes")</f>
        <v>Yes</v>
      </c>
    </row>
    <row r="97">
      <c r="A97" s="93" t="s">
        <v>731</v>
      </c>
      <c r="B97" s="93" t="str">
        <f>IFERROR(__xludf.DUMMYFUNCTION("LET(
  decisions,
  FILTER(
    INDEX(
      'FS - Jan26'!A:J,,10
    ),
    INDEX(
      'FS - Jan26'!A:J,,1
    ) = A97
  ),
  priority, {""Yes"",""No"", ""NA"",""""},
  IF(
    COUNTA(decisions)=0,
    NA(),
    INDEX(
      SORT(
        decisions,
"&amp;"        MATCH(decisions, priority, 0),
        TRUE
      ),
      1
    )
  )
)"),"Yes")</f>
        <v>Yes</v>
      </c>
    </row>
    <row r="98">
      <c r="A98" s="62" t="s">
        <v>414</v>
      </c>
      <c r="B98" s="93" t="str">
        <f>IFERROR(__xludf.DUMMYFUNCTION("LET(
  decisions,
  FILTER(
    INDEX(
      'FS - Jan26'!A:J,,10
    ),
    INDEX(
      'FS - Jan26'!A:J,,1
    ) = A98
  ),
  priority, {""Yes"",""No"", ""NA"",""""},
  IF(
    COUNTA(decisions)=0,
    NA(),
    INDEX(
      SORT(
        decisions,
"&amp;"        MATCH(decisions, priority, 0),
        TRUE
      ),
      1
    )
  )
)"),"Yes")</f>
        <v>Yes</v>
      </c>
    </row>
    <row r="99">
      <c r="A99" s="93" t="s">
        <v>336</v>
      </c>
      <c r="B99" s="93" t="str">
        <f>IFERROR(__xludf.DUMMYFUNCTION("LET(
  decisions,
  FILTER(
    INDEX(
      'FS - Jan26'!A:J,,10
    ),
    INDEX(
      'FS - Jan26'!A:J,,1
    ) = A99
  ),
  priority, {""Yes"",""No"", ""NA"",""""},
  IF(
    COUNTA(decisions)=0,
    NA(),
    INDEX(
      SORT(
        decisions,
"&amp;"        MATCH(decisions, priority, 0),
        TRUE
      ),
      1
    )
  )
)"),"Yes")</f>
        <v>Yes</v>
      </c>
    </row>
    <row r="100">
      <c r="A100" s="93" t="s">
        <v>65</v>
      </c>
      <c r="B100" s="93" t="str">
        <f>IFERROR(__xludf.DUMMYFUNCTION("LET(
  decisions,
  FILTER(
    INDEX(
      'FS - Jan26'!A:J,,10
    ),
    INDEX(
      'FS - Jan26'!A:J,,1
    ) = A100
  ),
  priority, {""Yes"",""No"", ""NA"",""""},
  IF(
    COUNTA(decisions)=0,
    NA(),
    INDEX(
      SORT(
        decisions,"&amp;"
        MATCH(decisions, priority, 0),
        TRUE
      ),
      1
    )
  )
)"),"Yes")</f>
        <v>Yes</v>
      </c>
    </row>
    <row r="101">
      <c r="A101" s="93" t="s">
        <v>149</v>
      </c>
      <c r="B101" s="93" t="str">
        <f>IFERROR(__xludf.DUMMYFUNCTION("LET(
  decisions,
  FILTER(
    INDEX(
      'FS - Jan26'!A:J,,10
    ),
    INDEX(
      'FS - Jan26'!A:J,,1
    ) = A101
  ),
  priority, {""Yes"",""No"", ""NA"",""""},
  IF(
    COUNTA(decisions)=0,
    NA(),
    INDEX(
      SORT(
        decisions,"&amp;"
        MATCH(decisions, priority, 0),
        TRUE
      ),
      1
    )
  )
)"),"Yes")</f>
        <v>Yes</v>
      </c>
    </row>
    <row r="102">
      <c r="A102" s="94" t="s">
        <v>385</v>
      </c>
      <c r="B102" s="93" t="str">
        <f>IFERROR(__xludf.DUMMYFUNCTION("LET(
  decisions,
  FILTER(
    INDEX(
      'FS - Jan26'!A:J,,10
    ),
    INDEX(
      'FS - Jan26'!A:J,,1
    ) = A102
  ),
  priority, {""Yes"",""No"", ""NA"",""""},
  IF(
    COUNTA(decisions)=0,
    NA(),
    INDEX(
      SORT(
        decisions,"&amp;"
        MATCH(decisions, priority, 0),
        TRUE
      ),
      1
    )
  )
)"),"Yes")</f>
        <v>Yes</v>
      </c>
    </row>
    <row r="103">
      <c r="A103" s="62" t="s">
        <v>595</v>
      </c>
      <c r="B103" s="93" t="str">
        <f>IFERROR(__xludf.DUMMYFUNCTION("LET(
  decisions,
  FILTER(
    INDEX(
      'FS - Jan26'!A:J,,10
    ),
    INDEX(
      'FS - Jan26'!A:J,,1
    ) = A103
  ),
  priority, {""Yes"",""No"", ""NA"",""""},
  IF(
    COUNTA(decisions)=0,
    NA(),
    INDEX(
      SORT(
        decisions,"&amp;"
        MATCH(decisions, priority, 0),
        TRUE
      ),
      1
    )
  )
)"),"Yes")</f>
        <v>Yes</v>
      </c>
    </row>
    <row r="104">
      <c r="A104" s="62" t="s">
        <v>89</v>
      </c>
      <c r="B104" s="93" t="str">
        <f>IFERROR(__xludf.DUMMYFUNCTION("LET(
  decisions,
  FILTER(
    INDEX(
      'FS - Jan26'!A:J,,10
    ),
    INDEX(
      'FS - Jan26'!A:J,,1
    ) = A104
  ),
  priority, {""Yes"",""No"", ""NA"",""""},
  IF(
    COUNTA(decisions)=0,
    NA(),
    INDEX(
      SORT(
        decisions,"&amp;"
        MATCH(decisions, priority, 0),
        TRUE
      ),
      1
    )
  )
)"),"No")</f>
        <v>No</v>
      </c>
    </row>
    <row r="105">
      <c r="A105" s="62" t="s">
        <v>1189</v>
      </c>
      <c r="B105" s="93" t="str">
        <f>IFERROR(__xludf.DUMMYFUNCTION("LET(
  decisions,
  FILTER(
    INDEX(
      'FS - Jan26'!A:J,,10
    ),
    INDEX(
      'FS - Jan26'!A:J,,1
    ) = A105
  ),
  priority, {""Yes"",""No"", ""NA"",""""},
  IF(
    COUNTA(decisions)=0,
    NA(),
    INDEX(
      SORT(
        decisions,"&amp;"
        MATCH(decisions, priority, 0),
        TRUE
      ),
      1
    )
  )
)"),"No")</f>
        <v>No</v>
      </c>
    </row>
    <row r="106">
      <c r="A106" s="94" t="s">
        <v>668</v>
      </c>
      <c r="B106" s="93" t="str">
        <f>IFERROR(__xludf.DUMMYFUNCTION("LET(
  decisions,
  FILTER(
    INDEX(
      'FS - Jan26'!A:J,,10
    ),
    INDEX(
      'FS - Jan26'!A:J,,1
    ) = A106
  ),
  priority, {""Yes"",""No"", ""NA"",""""},
  IF(
    COUNTA(decisions)=0,
    NA(),
    INDEX(
      SORT(
        decisions,"&amp;"
        MATCH(decisions, priority, 0),
        TRUE
      ),
      1
    )
  )
)"),"No")</f>
        <v>No</v>
      </c>
    </row>
    <row r="107">
      <c r="A107" s="93" t="s">
        <v>741</v>
      </c>
      <c r="B107" s="93" t="str">
        <f>IFERROR(__xludf.DUMMYFUNCTION("LET(
  decisions,
  FILTER(
    INDEX(
      'FS - Jan26'!A:J,,10
    ),
    INDEX(
      'FS - Jan26'!A:J,,1
    ) = A107
  ),
  priority, {""Yes"",""No"", ""NA"",""""},
  IF(
    COUNTA(decisions)=0,
    NA(),
    INDEX(
      SORT(
        decisions,"&amp;"
        MATCH(decisions, priority, 0),
        TRUE
      ),
      1
    )
  )
)"),"Yes")</f>
        <v>Yes</v>
      </c>
    </row>
    <row r="108">
      <c r="A108" s="94" t="s">
        <v>454</v>
      </c>
      <c r="B108" s="93" t="str">
        <f>IFERROR(__xludf.DUMMYFUNCTION("LET(
  decisions,
  FILTER(
    INDEX(
      'FS - Jan26'!A:J,,10
    ),
    INDEX(
      'FS - Jan26'!A:J,,1
    ) = A108
  ),
  priority, {""Yes"",""No"", ""NA"",""""},
  IF(
    COUNTA(decisions)=0,
    NA(),
    INDEX(
      SORT(
        decisions,"&amp;"
        MATCH(decisions, priority, 0),
        TRUE
      ),
      1
    )
  )
)"),"Yes")</f>
        <v>Yes</v>
      </c>
    </row>
    <row r="109">
      <c r="A109" s="94" t="s">
        <v>852</v>
      </c>
      <c r="B109" s="93" t="str">
        <f>IFERROR(__xludf.DUMMYFUNCTION("LET(
  decisions,
  FILTER(
    INDEX(
      'FS - Jan26'!A:J,,10
    ),
    INDEX(
      'FS - Jan26'!A:J,,1
    ) = A109
  ),
  priority, {""Yes"",""No"", ""NA"",""""},
  IF(
    COUNTA(decisions)=0,
    NA(),
    INDEX(
      SORT(
        decisions,"&amp;"
        MATCH(decisions, priority, 0),
        TRUE
      ),
      1
    )
  )
)"),"No")</f>
        <v>No</v>
      </c>
    </row>
    <row r="110">
      <c r="A110" s="62" t="s">
        <v>226</v>
      </c>
      <c r="B110" s="93" t="str">
        <f>IFERROR(__xludf.DUMMYFUNCTION("LET(
  decisions,
  FILTER(
    INDEX(
      'FS - Jan26'!A:J,,10
    ),
    INDEX(
      'FS - Jan26'!A:J,,1
    ) = A110
  ),
  priority, {""Yes"",""No"", ""NA"",""""},
  IF(
    COUNTA(decisions)=0,
    NA(),
    INDEX(
      SORT(
        decisions,"&amp;"
        MATCH(decisions, priority, 0),
        TRUE
      ),
      1
    )
  )
)"),"Yes")</f>
        <v>Yes</v>
      </c>
    </row>
    <row r="111">
      <c r="A111" s="93" t="s">
        <v>466</v>
      </c>
      <c r="B111" s="93" t="str">
        <f>IFERROR(__xludf.DUMMYFUNCTION("LET(
  decisions,
  FILTER(
    INDEX(
      'FS - Jan26'!A:J,,10
    ),
    INDEX(
      'FS - Jan26'!A:J,,1
    ) = A111
  ),
  priority, {""Yes"",""No"", ""NA"",""""},
  IF(
    COUNTA(decisions)=0,
    NA(),
    INDEX(
      SORT(
        decisions,"&amp;"
        MATCH(decisions, priority, 0),
        TRUE
      ),
      1
    )
  )
)"),"Yes")</f>
        <v>Yes</v>
      </c>
    </row>
    <row r="112">
      <c r="A112" s="62" t="s">
        <v>546</v>
      </c>
      <c r="B112" s="93" t="str">
        <f>IFERROR(__xludf.DUMMYFUNCTION("LET(
  decisions,
  FILTER(
    INDEX(
      'FS - Jan26'!A:J,,10
    ),
    INDEX(
      'FS - Jan26'!A:J,,1
    ) = A112
  ),
  priority, {""Yes"",""No"", ""NA"",""""},
  IF(
    COUNTA(decisions)=0,
    NA(),
    INDEX(
      SORT(
        decisions,"&amp;"
        MATCH(decisions, priority, 0),
        TRUE
      ),
      1
    )
  )
)"),"Yes")</f>
        <v>Yes</v>
      </c>
    </row>
    <row r="113">
      <c r="A113" s="94" t="s">
        <v>653</v>
      </c>
      <c r="B113" s="93" t="str">
        <f>IFERROR(__xludf.DUMMYFUNCTION("LET(
  decisions,
  FILTER(
    INDEX(
      'FS - Jan26'!A:J,,10
    ),
    INDEX(
      'FS - Jan26'!A:J,,1
    ) = A113
  ),
  priority, {""Yes"",""No"", ""NA"",""""},
  IF(
    COUNTA(decisions)=0,
    NA(),
    INDEX(
      SORT(
        decisions,"&amp;"
        MATCH(decisions, priority, 0),
        TRUE
      ),
      1
    )
  )
)"),"No")</f>
        <v>No</v>
      </c>
    </row>
    <row r="114">
      <c r="A114" s="94" t="s">
        <v>891</v>
      </c>
      <c r="B114" s="93" t="str">
        <f>IFERROR(__xludf.DUMMYFUNCTION("LET(
  decisions,
  FILTER(
    INDEX(
      'FS - Jan26'!A:J,,10
    ),
    INDEX(
      'FS - Jan26'!A:J,,1
    ) = A114
  ),
  priority, {""Yes"",""No"", ""NA"",""""},
  IF(
    COUNTA(decisions)=0,
    NA(),
    INDEX(
      SORT(
        decisions,"&amp;"
        MATCH(decisions, priority, 0),
        TRUE
      ),
      1
    )
  )
)"),"No")</f>
        <v>No</v>
      </c>
    </row>
    <row r="115">
      <c r="A115" s="93" t="s">
        <v>957</v>
      </c>
      <c r="B115" s="93" t="str">
        <f>IFERROR(__xludf.DUMMYFUNCTION("LET(
  decisions,
  FILTER(
    INDEX(
      'FS - Jan26'!A:J,,10
    ),
    INDEX(
      'FS - Jan26'!A:J,,1
    ) = A115
  ),
  priority, {""Yes"",""No"", ""NA"",""""},
  IF(
    COUNTA(decisions)=0,
    NA(),
    INDEX(
      SORT(
        decisions,"&amp;"
        MATCH(decisions, priority, 0),
        TRUE
      ),
      1
    )
  )
)"),"Yes")</f>
        <v>Yes</v>
      </c>
    </row>
    <row r="116">
      <c r="A116" s="94" t="s">
        <v>622</v>
      </c>
      <c r="B116" s="93" t="str">
        <f>IFERROR(__xludf.DUMMYFUNCTION("LET(
  decisions,
  FILTER(
    INDEX(
      'FS - Jan26'!A:J,,10
    ),
    INDEX(
      'FS - Jan26'!A:J,,1
    ) = A116
  ),
  priority, {""Yes"",""No"", ""NA"",""""},
  IF(
    COUNTA(decisions)=0,
    NA(),
    INDEX(
      SORT(
        decisions,"&amp;"
        MATCH(decisions, priority, 0),
        TRUE
      ),
      1
    )
  )
)"),"No")</f>
        <v>No</v>
      </c>
    </row>
    <row r="117">
      <c r="A117" s="93" t="s">
        <v>487</v>
      </c>
      <c r="B117" s="93" t="str">
        <f>IFERROR(__xludf.DUMMYFUNCTION("LET(
  decisions,
  FILTER(
    INDEX(
      'FS - Jan26'!A:J,,10
    ),
    INDEX(
      'FS - Jan26'!A:J,,1
    ) = A117
  ),
  priority, {""Yes"",""No"", ""NA"",""""},
  IF(
    COUNTA(decisions)=0,
    NA(),
    INDEX(
      SORT(
        decisions,"&amp;"
        MATCH(decisions, priority, 0),
        TRUE
      ),
      1
    )
  )
)"),"Yes")</f>
        <v>Yes</v>
      </c>
    </row>
    <row r="118">
      <c r="A118" s="62" t="s">
        <v>343</v>
      </c>
      <c r="B118" s="93" t="str">
        <f>IFERROR(__xludf.DUMMYFUNCTION("LET(
  decisions,
  FILTER(
    INDEX(
      'FS - Jan26'!A:J,,10
    ),
    INDEX(
      'FS - Jan26'!A:J,,1
    ) = A118
  ),
  priority, {""Yes"",""No"", ""NA"",""""},
  IF(
    COUNTA(decisions)=0,
    NA(),
    INDEX(
      SORT(
        decisions,"&amp;"
        MATCH(decisions, priority, 0),
        TRUE
      ),
      1
    )
  )
)"),"No")</f>
        <v>No</v>
      </c>
    </row>
    <row r="119">
      <c r="A119" s="62" t="s">
        <v>508</v>
      </c>
      <c r="B119" s="93" t="str">
        <f>IFERROR(__xludf.DUMMYFUNCTION("LET(
  decisions,
  FILTER(
    INDEX(
      'FS - Jan26'!A:J,,10
    ),
    INDEX(
      'FS - Jan26'!A:J,,1
    ) = A119
  ),
  priority, {""Yes"",""No"", ""NA"",""""},
  IF(
    COUNTA(decisions)=0,
    NA(),
    INDEX(
      SORT(
        decisions,"&amp;"
        MATCH(decisions, priority, 0),
        TRUE
      ),
      1
    )
  )
)"),"No")</f>
        <v>No</v>
      </c>
    </row>
    <row r="120">
      <c r="A120" s="62" t="s">
        <v>299</v>
      </c>
      <c r="B120" s="93" t="str">
        <f>IFERROR(__xludf.DUMMYFUNCTION("LET(
  decisions,
  FILTER(
    INDEX(
      'FS - Jan26'!A:J,,10
    ),
    INDEX(
      'FS - Jan26'!A:J,,1
    ) = A120
  ),
  priority, {""Yes"",""No"", ""NA"",""""},
  IF(
    COUNTA(decisions)=0,
    NA(),
    INDEX(
      SORT(
        decisions,"&amp;"
        MATCH(decisions, priority, 0),
        TRUE
      ),
      1
    )
  )
)"),"Yes")</f>
        <v>Yes</v>
      </c>
    </row>
    <row r="121">
      <c r="A121" s="94" t="s">
        <v>524</v>
      </c>
      <c r="B121" s="93" t="str">
        <f>IFERROR(__xludf.DUMMYFUNCTION("LET(
  decisions,
  FILTER(
    INDEX(
      'FS - Jan26'!A:J,,10
    ),
    INDEX(
      'FS - Jan26'!A:J,,1
    ) = A121
  ),
  priority, {""Yes"",""No"", ""NA"",""""},
  IF(
    COUNTA(decisions)=0,
    NA(),
    INDEX(
      SORT(
        decisions,"&amp;"
        MATCH(decisions, priority, 0),
        TRUE
      ),
      1
    )
  )
)"),"Yes")</f>
        <v>Yes</v>
      </c>
    </row>
    <row r="122">
      <c r="A122" s="94" t="s">
        <v>1246</v>
      </c>
      <c r="B122" s="93" t="str">
        <f>IFERROR(__xludf.DUMMYFUNCTION("LET(
  decisions,
  FILTER(
    INDEX(
      'FS - Jan26'!A:J,,10
    ),
    INDEX(
      'FS - Jan26'!A:J,,1
    ) = A122
  ),
  priority, {""Yes"",""No"", ""NA"",""""},
  IF(
    COUNTA(decisions)=0,
    NA(),
    INDEX(
      SORT(
        decisions,"&amp;"
        MATCH(decisions, priority, 0),
        TRUE
      ),
      1
    )
  )
)"),"Yes")</f>
        <v>Yes</v>
      </c>
    </row>
    <row r="123">
      <c r="A123" s="93" t="s">
        <v>838</v>
      </c>
      <c r="B123" s="93" t="str">
        <f>IFERROR(__xludf.DUMMYFUNCTION("LET(
  decisions,
  FILTER(
    INDEX(
      'FS - Jan26'!A:J,,10
    ),
    INDEX(
      'FS - Jan26'!A:J,,1
    ) = A123
  ),
  priority, {""Yes"",""No"", ""NA"",""""},
  IF(
    COUNTA(decisions)=0,
    NA(),
    INDEX(
      SORT(
        decisions,"&amp;"
        MATCH(decisions, priority, 0),
        TRUE
      ),
      1
    )
  )
)"),"Yes")</f>
        <v>Yes</v>
      </c>
    </row>
    <row r="124">
      <c r="A124" s="94" t="s">
        <v>1050</v>
      </c>
      <c r="B124" s="93" t="str">
        <f>IFERROR(__xludf.DUMMYFUNCTION("LET(
  decisions,
  FILTER(
    INDEX(
      'FS - Jan26'!A:J,,10
    ),
    INDEX(
      'FS - Jan26'!A:J,,1
    ) = A124
  ),
  priority, {""Yes"",""No"", ""NA"",""""},
  IF(
    COUNTA(decisions)=0,
    NA(),
    INDEX(
      SORT(
        decisions,"&amp;"
        MATCH(decisions, priority, 0),
        TRUE
      ),
      1
    )
  )
)"),"Yes")</f>
        <v>Yes</v>
      </c>
    </row>
    <row r="125">
      <c r="A125" s="94" t="s">
        <v>214</v>
      </c>
      <c r="B125" s="93" t="str">
        <f>IFERROR(__xludf.DUMMYFUNCTION("LET(
  decisions,
  FILTER(
    INDEX(
      'FS - Jan26'!A:J,,10
    ),
    INDEX(
      'FS - Jan26'!A:J,,1
    ) = A125
  ),
  priority, {""Yes"",""No"", ""NA"",""""},
  IF(
    COUNTA(decisions)=0,
    NA(),
    INDEX(
      SORT(
        decisions,"&amp;"
        MATCH(decisions, priority, 0),
        TRUE
      ),
      1
    )
  )
)"),"Yes")</f>
        <v>Yes</v>
      </c>
    </row>
    <row r="126">
      <c r="A126" s="62" t="s">
        <v>284</v>
      </c>
      <c r="B126" s="93" t="str">
        <f>IFERROR(__xludf.DUMMYFUNCTION("LET(
  decisions,
  FILTER(
    INDEX(
      'FS - Jan26'!A:J,,10
    ),
    INDEX(
      'FS - Jan26'!A:J,,1
    ) = A126
  ),
  priority, {""Yes"",""No"", ""NA"",""""},
  IF(
    COUNTA(decisions)=0,
    NA(),
    INDEX(
      SORT(
        decisions,"&amp;"
        MATCH(decisions, priority, 0),
        TRUE
      ),
      1
    )
  )
)"),"No")</f>
        <v>No</v>
      </c>
    </row>
    <row r="127">
      <c r="A127" s="94" t="s">
        <v>368</v>
      </c>
      <c r="B127" s="93" t="str">
        <f>IFERROR(__xludf.DUMMYFUNCTION("LET(
  decisions,
  FILTER(
    INDEX(
      'FS - Jan26'!A:J,,10
    ),
    INDEX(
      'FS - Jan26'!A:J,,1
    ) = A127
  ),
  priority, {""Yes"",""No"", ""NA"",""""},
  IF(
    COUNTA(decisions)=0,
    NA(),
    INDEX(
      SORT(
        decisions,"&amp;"
        MATCH(decisions, priority, 0),
        TRUE
      ),
      1
    )
  )
)"),"Yes")</f>
        <v>Yes</v>
      </c>
    </row>
    <row r="128">
      <c r="A128" s="62" t="s">
        <v>108</v>
      </c>
      <c r="B128" s="93" t="str">
        <f>IFERROR(__xludf.DUMMYFUNCTION("LET(
  decisions,
  FILTER(
    INDEX(
      'FS - Jan26'!A:J,,10
    ),
    INDEX(
      'FS - Jan26'!A:J,,1
    ) = A128
  ),
  priority, {""Yes"",""No"", ""NA"",""""},
  IF(
    COUNTA(decisions)=0,
    NA(),
    INDEX(
      SORT(
        decisions,"&amp;"
        MATCH(decisions, priority, 0),
        TRUE
      ),
      1
    )
  )
)"),"No")</f>
        <v>No</v>
      </c>
    </row>
    <row r="129">
      <c r="A129" s="94" t="s">
        <v>485</v>
      </c>
      <c r="B129" s="93" t="str">
        <f>IFERROR(__xludf.DUMMYFUNCTION("LET(
  decisions,
  FILTER(
    INDEX(
      'FS - Jan26'!A:J,,10
    ),
    INDEX(
      'FS - Jan26'!A:J,,1
    ) = A129
  ),
  priority, {""Yes"",""No"", ""NA"",""""},
  IF(
    COUNTA(decisions)=0,
    NA(),
    INDEX(
      SORT(
        decisions,"&amp;"
        MATCH(decisions, priority, 0),
        TRUE
      ),
      1
    )
  )
)"),"Yes")</f>
        <v>Yes</v>
      </c>
    </row>
    <row r="130">
      <c r="A130" s="94" t="s">
        <v>918</v>
      </c>
      <c r="B130" s="93" t="str">
        <f>IFERROR(__xludf.DUMMYFUNCTION("LET(
  decisions,
  FILTER(
    INDEX(
      'FS - Jan26'!A:J,,10
    ),
    INDEX(
      'FS - Jan26'!A:J,,1
    ) = A130
  ),
  priority, {""Yes"",""No"", ""NA"",""""},
  IF(
    COUNTA(decisions)=0,
    NA(),
    INDEX(
      SORT(
        decisions,"&amp;"
        MATCH(decisions, priority, 0),
        TRUE
      ),
      1
    )
  )
)"),"No")</f>
        <v>No</v>
      </c>
    </row>
    <row r="131">
      <c r="A131" s="94" t="s">
        <v>80</v>
      </c>
      <c r="B131" s="93" t="str">
        <f>IFERROR(__xludf.DUMMYFUNCTION("LET(
  decisions,
  FILTER(
    INDEX(
      'FS - Jan26'!A:J,,10
    ),
    INDEX(
      'FS - Jan26'!A:J,,1
    ) = A131
  ),
  priority, {""Yes"",""No"", ""NA"",""""},
  IF(
    COUNTA(decisions)=0,
    NA(),
    INDEX(
      SORT(
        decisions,"&amp;"
        MATCH(decisions, priority, 0),
        TRUE
      ),
      1
    )
  )
)"),"Yes")</f>
        <v>Yes</v>
      </c>
    </row>
    <row r="132">
      <c r="A132" s="94" t="s">
        <v>789</v>
      </c>
      <c r="B132" s="93" t="str">
        <f>IFERROR(__xludf.DUMMYFUNCTION("LET(
  decisions,
  FILTER(
    INDEX(
      'FS - Jan26'!A:J,,10
    ),
    INDEX(
      'FS - Jan26'!A:J,,1
    ) = A132
  ),
  priority, {""Yes"",""No"", ""NA"",""""},
  IF(
    COUNTA(decisions)=0,
    NA(),
    INDEX(
      SORT(
        decisions,"&amp;"
        MATCH(decisions, priority, 0),
        TRUE
      ),
      1
    )
  )
)"),"Yes")</f>
        <v>Yes</v>
      </c>
    </row>
    <row r="133">
      <c r="A133" s="94" t="s">
        <v>1095</v>
      </c>
      <c r="B133" s="93" t="str">
        <f>IFERROR(__xludf.DUMMYFUNCTION("LET(
  decisions,
  FILTER(
    INDEX(
      'FS - Jan26'!A:J,,10
    ),
    INDEX(
      'FS - Jan26'!A:J,,1
    ) = A133
  ),
  priority, {""Yes"",""No"", ""NA"",""""},
  IF(
    COUNTA(decisions)=0,
    NA(),
    INDEX(
      SORT(
        decisions,"&amp;"
        MATCH(decisions, priority, 0),
        TRUE
      ),
      1
    )
  )
)"),"Yes")</f>
        <v>Yes</v>
      </c>
    </row>
    <row r="134">
      <c r="A134" s="62" t="s">
        <v>421</v>
      </c>
      <c r="B134" s="93" t="str">
        <f>IFERROR(__xludf.DUMMYFUNCTION("LET(
  decisions,
  FILTER(
    INDEX(
      'FS - Jan26'!A:J,,10
    ),
    INDEX(
      'FS - Jan26'!A:J,,1
    ) = A134
  ),
  priority, {""Yes"",""No"", ""NA"",""""},
  IF(
    COUNTA(decisions)=0,
    NA(),
    INDEX(
      SORT(
        decisions,"&amp;"
        MATCH(decisions, priority, 0),
        TRUE
      ),
      1
    )
  )
)"),"No")</f>
        <v>No</v>
      </c>
    </row>
    <row r="135">
      <c r="A135" s="62" t="s">
        <v>68</v>
      </c>
      <c r="B135" s="93" t="str">
        <f>IFERROR(__xludf.DUMMYFUNCTION("LET(
  decisions,
  FILTER(
    INDEX(
      'FS - Jan26'!A:J,,10
    ),
    INDEX(
      'FS - Jan26'!A:J,,1
    ) = A135
  ),
  priority, {""Yes"",""No"", ""NA"",""""},
  IF(
    COUNTA(decisions)=0,
    NA(),
    INDEX(
      SORT(
        decisions,"&amp;"
        MATCH(decisions, priority, 0),
        TRUE
      ),
      1
    )
  )
)"),"No")</f>
        <v>No</v>
      </c>
    </row>
    <row r="136">
      <c r="A136" s="94" t="s">
        <v>813</v>
      </c>
      <c r="B136" s="93" t="str">
        <f>IFERROR(__xludf.DUMMYFUNCTION("LET(
  decisions,
  FILTER(
    INDEX(
      'FS - Jan26'!A:J,,10
    ),
    INDEX(
      'FS - Jan26'!A:J,,1
    ) = A136
  ),
  priority, {""Yes"",""No"", ""NA"",""""},
  IF(
    COUNTA(decisions)=0,
    NA(),
    INDEX(
      SORT(
        decisions,"&amp;"
        MATCH(decisions, priority, 0),
        TRUE
      ),
      1
    )
  )
)"),"Yes")</f>
        <v>Yes</v>
      </c>
    </row>
    <row r="137">
      <c r="A137" s="94" t="s">
        <v>32</v>
      </c>
      <c r="B137" s="93" t="str">
        <f>IFERROR(__xludf.DUMMYFUNCTION("LET(
  decisions,
  FILTER(
    INDEX(
      'FS - Jan26'!A:J,,10
    ),
    INDEX(
      'FS - Jan26'!A:J,,1
    ) = A137
  ),
  priority, {""Yes"",""No"", ""NA"",""""},
  IF(
    COUNTA(decisions)=0,
    NA(),
    INDEX(
      SORT(
        decisions,"&amp;"
        MATCH(decisions, priority, 0),
        TRUE
      ),
      1
    )
  )
)"),"Yes")</f>
        <v>Yes</v>
      </c>
    </row>
    <row r="138">
      <c r="A138" s="94" t="s">
        <v>532</v>
      </c>
      <c r="B138" s="93" t="str">
        <f>IFERROR(__xludf.DUMMYFUNCTION("LET(
  decisions,
  FILTER(
    INDEX(
      'FS - Jan26'!A:J,,10
    ),
    INDEX(
      'FS - Jan26'!A:J,,1
    ) = A138
  ),
  priority, {""Yes"",""No"", ""NA"",""""},
  IF(
    COUNTA(decisions)=0,
    NA(),
    INDEX(
      SORT(
        decisions,"&amp;"
        MATCH(decisions, priority, 0),
        TRUE
      ),
      1
    )
  )
)"),"Yes")</f>
        <v>Yes</v>
      </c>
    </row>
    <row r="139">
      <c r="A139" s="105" t="s">
        <v>296</v>
      </c>
      <c r="B139" s="93" t="str">
        <f>IFERROR(__xludf.DUMMYFUNCTION("LET(
  decisions,
  FILTER(
    INDEX(
      'FS - Jan26'!A:J,,10
    ),
    INDEX(
      'FS - Jan26'!A:J,,1
    ) = A139
  ),
  priority, {""Yes"",""No"", ""NA"",""""},
  IF(
    COUNTA(decisions)=0,
    NA(),
    INDEX(
      SORT(
        decisions,"&amp;"
        MATCH(decisions, priority, 0),
        TRUE
      ),
      1
    )
  )
)"),"Yes")</f>
        <v>Yes</v>
      </c>
    </row>
    <row r="140">
      <c r="A140" s="62" t="s">
        <v>683</v>
      </c>
      <c r="B140" s="93" t="str">
        <f>IFERROR(__xludf.DUMMYFUNCTION("LET(
  decisions,
  FILTER(
    INDEX(
      'FS - Jan26'!A:J,,10
    ),
    INDEX(
      'FS - Jan26'!A:J,,1
    ) = A140
  ),
  priority, {""Yes"",""No"", ""NA"",""""},
  IF(
    COUNTA(decisions)=0,
    NA(),
    INDEX(
      SORT(
        decisions,"&amp;"
        MATCH(decisions, priority, 0),
        TRUE
      ),
      1
    )
  )
)"),"Yes")</f>
        <v>Yes</v>
      </c>
    </row>
    <row r="141">
      <c r="A141" s="93" t="s">
        <v>745</v>
      </c>
      <c r="B141" s="93" t="str">
        <f>IFERROR(__xludf.DUMMYFUNCTION("LET(
  decisions,
  FILTER(
    INDEX(
      'FS - Jan26'!A:J,,10
    ),
    INDEX(
      'FS - Jan26'!A:J,,1
    ) = A141
  ),
  priority, {""Yes"",""No"", ""NA"",""""},
  IF(
    COUNTA(decisions)=0,
    NA(),
    INDEX(
      SORT(
        decisions,"&amp;"
        MATCH(decisions, priority, 0),
        TRUE
      ),
      1
    )
  )
)"),"Yes")</f>
        <v>Yes</v>
      </c>
    </row>
    <row r="142">
      <c r="A142" s="94" t="s">
        <v>26</v>
      </c>
      <c r="B142" s="93" t="str">
        <f>IFERROR(__xludf.DUMMYFUNCTION("LET(
  decisions,
  FILTER(
    INDEX(
      'FS - Jan26'!A:J,,10
    ),
    INDEX(
      'FS - Jan26'!A:J,,1
    ) = A142
  ),
  priority, {""Yes"",""No"", ""NA"",""""},
  IF(
    COUNTA(decisions)=0,
    NA(),
    INDEX(
      SORT(
        decisions,"&amp;"
        MATCH(decisions, priority, 0),
        TRUE
      ),
      1
    )
  )
)"),"Yes")</f>
        <v>Yes</v>
      </c>
    </row>
    <row r="143">
      <c r="A143" s="94" t="s">
        <v>137</v>
      </c>
      <c r="B143" s="93" t="str">
        <f>IFERROR(__xludf.DUMMYFUNCTION("LET(
  decisions,
  FILTER(
    INDEX(
      'FS - Jan26'!A:J,,10
    ),
    INDEX(
      'FS - Jan26'!A:J,,1
    ) = A143
  ),
  priority, {""Yes"",""No"", ""NA"",""""},
  IF(
    COUNTA(decisions)=0,
    NA(),
    INDEX(
      SORT(
        decisions,"&amp;"
        MATCH(decisions, priority, 0),
        TRUE
      ),
      1
    )
  )
)"),"Yes")</f>
        <v>Yes</v>
      </c>
    </row>
    <row r="144">
      <c r="A144" s="62" t="s">
        <v>229</v>
      </c>
      <c r="B144" s="93" t="str">
        <f>IFERROR(__xludf.DUMMYFUNCTION("LET(
  decisions,
  FILTER(
    INDEX(
      'FS - Jan26'!A:J,,10
    ),
    INDEX(
      'FS - Jan26'!A:J,,1
    ) = A144
  ),
  priority, {""Yes"",""No"", ""NA"",""""},
  IF(
    COUNTA(decisions)=0,
    NA(),
    INDEX(
      SORT(
        decisions,"&amp;"
        MATCH(decisions, priority, 0),
        TRUE
      ),
      1
    )
  )
)"),"Yes")</f>
        <v>Yes</v>
      </c>
    </row>
    <row r="145">
      <c r="A145" s="94" t="s">
        <v>92</v>
      </c>
      <c r="B145" s="93" t="str">
        <f>IFERROR(__xludf.DUMMYFUNCTION("LET(
  decisions,
  FILTER(
    INDEX(
      'FS - Jan26'!A:J,,10
    ),
    INDEX(
      'FS - Jan26'!A:J,,1
    ) = A145
  ),
  priority, {""Yes"",""No"", ""NA"",""""},
  IF(
    COUNTA(decisions)=0,
    NA(),
    INDEX(
      SORT(
        decisions,"&amp;"
        MATCH(decisions, priority, 0),
        TRUE
      ),
      1
    )
  )
)"),"Yes")</f>
        <v>Yes</v>
      </c>
    </row>
    <row r="146">
      <c r="A146" s="94" t="s">
        <v>236</v>
      </c>
      <c r="B146" s="93" t="str">
        <f>IFERROR(__xludf.DUMMYFUNCTION("LET(
  decisions,
  FILTER(
    INDEX(
      'FS - Jan26'!A:J,,10
    ),
    INDEX(
      'FS - Jan26'!A:J,,1
    ) = A146
  ),
  priority, {""Yes"",""No"", ""NA"",""""},
  IF(
    COUNTA(decisions)=0,
    NA(),
    INDEX(
      SORT(
        decisions,"&amp;"
        MATCH(decisions, priority, 0),
        TRUE
      ),
      1
    )
  )
)"),"Yes")</f>
        <v>Yes</v>
      </c>
    </row>
    <row r="147">
      <c r="A147" s="62" t="s">
        <v>1087</v>
      </c>
      <c r="B147" s="93" t="str">
        <f>IFERROR(__xludf.DUMMYFUNCTION("LET(
  decisions,
  FILTER(
    INDEX(
      'FS - Jan26'!A:J,,10
    ),
    INDEX(
      'FS - Jan26'!A:J,,1
    ) = A147
  ),
  priority, {""Yes"",""No"", ""NA"",""""},
  IF(
    COUNTA(decisions)=0,
    NA(),
    INDEX(
      SORT(
        decisions,"&amp;"
        MATCH(decisions, priority, 0),
        TRUE
      ),
      1
    )
  )
)"),"Yes")</f>
        <v>Yes</v>
      </c>
    </row>
    <row r="148">
      <c r="A148" s="94" t="s">
        <v>201</v>
      </c>
      <c r="B148" s="93" t="str">
        <f>IFERROR(__xludf.DUMMYFUNCTION("LET(
  decisions,
  FILTER(
    INDEX(
      'FS - Jan26'!A:J,,10
    ),
    INDEX(
      'FS - Jan26'!A:J,,1
    ) = A148
  ),
  priority, {""Yes"",""No"", ""NA"",""""},
  IF(
    COUNTA(decisions)=0,
    NA(),
    INDEX(
      SORT(
        decisions,"&amp;"
        MATCH(decisions, priority, 0),
        TRUE
      ),
      1
    )
  )
)"),"Yes")</f>
        <v>Yes</v>
      </c>
    </row>
    <row r="149">
      <c r="A149" s="62" t="s">
        <v>476</v>
      </c>
      <c r="B149" s="93" t="str">
        <f>IFERROR(__xludf.DUMMYFUNCTION("LET(
  decisions,
  FILTER(
    INDEX(
      'FS - Jan26'!A:J,,10
    ),
    INDEX(
      'FS - Jan26'!A:J,,1
    ) = A149
  ),
  priority, {""Yes"",""No"", ""NA"",""""},
  IF(
    COUNTA(decisions)=0,
    NA(),
    INDEX(
      SORT(
        decisions,"&amp;"
        MATCH(decisions, priority, 0),
        TRUE
      ),
      1
    )
  )
)"),"No")</f>
        <v>No</v>
      </c>
    </row>
    <row r="150">
      <c r="A150" s="94" t="s">
        <v>41</v>
      </c>
      <c r="B150" s="93" t="str">
        <f>IFERROR(__xludf.DUMMYFUNCTION("LET(
  decisions,
  FILTER(
    INDEX(
      'FS - Jan26'!A:J,,10
    ),
    INDEX(
      'FS - Jan26'!A:J,,1
    ) = A150
  ),
  priority, {""Yes"",""No"", ""NA"",""""},
  IF(
    COUNTA(decisions)=0,
    NA(),
    INDEX(
      SORT(
        decisions,"&amp;"
        MATCH(decisions, priority, 0),
        TRUE
      ),
      1
    )
  )
)"),"Yes")</f>
        <v>Yes</v>
      </c>
    </row>
    <row r="151">
      <c r="A151" s="94" t="s">
        <v>240</v>
      </c>
      <c r="B151" s="93" t="str">
        <f>IFERROR(__xludf.DUMMYFUNCTION("LET(
  decisions,
  FILTER(
    INDEX(
      'FS - Jan26'!A:J,,10
    ),
    INDEX(
      'FS - Jan26'!A:J,,1
    ) = A151
  ),
  priority, {""Yes"",""No"", ""NA"",""""},
  IF(
    COUNTA(decisions)=0,
    NA(),
    INDEX(
      SORT(
        decisions,"&amp;"
        MATCH(decisions, priority, 0),
        TRUE
      ),
      1
    )
  )
)"),"Yes")</f>
        <v>Yes</v>
      </c>
    </row>
    <row r="152">
      <c r="A152" s="94" t="s">
        <v>174</v>
      </c>
      <c r="B152" s="93" t="str">
        <f>IFERROR(__xludf.DUMMYFUNCTION("LET(
  decisions,
  FILTER(
    INDEX(
      'FS - Jan26'!A:J,,10
    ),
    INDEX(
      'FS - Jan26'!A:J,,1
    ) = A152
  ),
  priority, {""Yes"",""No"", ""NA"",""""},
  IF(
    COUNTA(decisions)=0,
    NA(),
    INDEX(
      SORT(
        decisions,"&amp;"
        MATCH(decisions, priority, 0),
        TRUE
      ),
      1
    )
  )
)"),"Yes")</f>
        <v>Yes</v>
      </c>
    </row>
    <row r="153">
      <c r="A153" s="62" t="s">
        <v>182</v>
      </c>
      <c r="B153" s="93" t="str">
        <f>IFERROR(__xludf.DUMMYFUNCTION("LET(
  decisions,
  FILTER(
    INDEX(
      'FS - Jan26'!A:J,,10
    ),
    INDEX(
      'FS - Jan26'!A:J,,1
    ) = A153
  ),
  priority, {""Yes"",""No"", ""NA"",""""},
  IF(
    COUNTA(decisions)=0,
    NA(),
    INDEX(
      SORT(
        decisions,"&amp;"
        MATCH(decisions, priority, 0),
        TRUE
      ),
      1
    )
  )
)"),"Yes")</f>
        <v>Yes</v>
      </c>
    </row>
    <row r="154">
      <c r="A154" s="94" t="s">
        <v>253</v>
      </c>
      <c r="B154" s="93" t="str">
        <f>IFERROR(__xludf.DUMMYFUNCTION("LET(
  decisions,
  FILTER(
    INDEX(
      'FS - Jan26'!A:J,,10
    ),
    INDEX(
      'FS - Jan26'!A:J,,1
    ) = A154
  ),
  priority, {""Yes"",""No"", ""NA"",""""},
  IF(
    COUNTA(decisions)=0,
    NA(),
    INDEX(
      SORT(
        decisions,"&amp;"
        MATCH(decisions, priority, 0),
        TRUE
      ),
      1
    )
  )
)"),"Yes")</f>
        <v>Yes</v>
      </c>
    </row>
    <row r="155">
      <c r="A155" s="93" t="s">
        <v>701</v>
      </c>
      <c r="B155" s="93" t="str">
        <f>IFERROR(__xludf.DUMMYFUNCTION("LET(
  decisions,
  FILTER(
    INDEX(
      'FS - Jan26'!A:J,,10
    ),
    INDEX(
      'FS - Jan26'!A:J,,1
    ) = A155
  ),
  priority, {""Yes"",""No"", ""NA"",""""},
  IF(
    COUNTA(decisions)=0,
    NA(),
    INDEX(
      SORT(
        decisions,"&amp;"
        MATCH(decisions, priority, 0),
        TRUE
      ),
      1
    )
  )
)"),"Yes")</f>
        <v>Yes</v>
      </c>
    </row>
    <row r="156">
      <c r="A156" s="94" t="s">
        <v>1042</v>
      </c>
      <c r="B156" s="93" t="str">
        <f>IFERROR(__xludf.DUMMYFUNCTION("LET(
  decisions,
  FILTER(
    INDEX(
      'FS - Jan26'!A:J,,10
    ),
    INDEX(
      'FS - Jan26'!A:J,,1
    ) = A156
  ),
  priority, {""Yes"",""No"", ""NA"",""""},
  IF(
    COUNTA(decisions)=0,
    NA(),
    INDEX(
      SORT(
        decisions,"&amp;"
        MATCH(decisions, priority, 0),
        TRUE
      ),
      1
    )
  )
)"),"Yes")</f>
        <v>Yes</v>
      </c>
    </row>
    <row r="157">
      <c r="A157" s="94" t="s">
        <v>1076</v>
      </c>
      <c r="B157" s="93" t="str">
        <f>IFERROR(__xludf.DUMMYFUNCTION("LET(
  decisions,
  FILTER(
    INDEX(
      'FS - Jan26'!A:J,,10
    ),
    INDEX(
      'FS - Jan26'!A:J,,1
    ) = A157
  ),
  priority, {""Yes"",""No"", ""NA"",""""},
  IF(
    COUNTA(decisions)=0,
    NA(),
    INDEX(
      SORT(
        decisions,"&amp;"
        MATCH(decisions, priority, 0),
        TRUE
      ),
      1
    )
  )
)"),"Yes")</f>
        <v>Yes</v>
      </c>
    </row>
    <row r="158">
      <c r="A158" s="94" t="s">
        <v>1370</v>
      </c>
      <c r="B158" s="93" t="str">
        <f>IFERROR(__xludf.DUMMYFUNCTION("LET(
  decisions,
  FILTER(
    INDEX(
      'FS - Jan26'!A:J,,10
    ),
    INDEX(
      'FS - Jan26'!A:J,,1
    ) = A158
  ),
  priority, {""Yes"",""No"", ""NA"",""""},
  IF(
    COUNTA(decisions)=0,
    NA(),
    INDEX(
      SORT(
        decisions,"&amp;"
        MATCH(decisions, priority, 0),
        TRUE
      ),
      1
    )
  )
)"),"Yes")</f>
        <v>Yes</v>
      </c>
    </row>
    <row r="159">
      <c r="A159" s="94" t="s">
        <v>21</v>
      </c>
      <c r="B159" s="93" t="str">
        <f>IFERROR(__xludf.DUMMYFUNCTION("LET(
  decisions,
  FILTER(
    INDEX(
      'FS - Jan26'!A:J,,10
    ),
    INDEX(
      'FS - Jan26'!A:J,,1
    ) = A159
  ),
  priority, {""Yes"",""No"", ""NA"",""""},
  IF(
    COUNTA(decisions)=0,
    NA(),
    INDEX(
      SORT(
        decisions,"&amp;"
        MATCH(decisions, priority, 0),
        TRUE
      ),
      1
    )
  )
)"),"Yes")</f>
        <v>Yes</v>
      </c>
    </row>
    <row r="160">
      <c r="A160" s="93" t="s">
        <v>120</v>
      </c>
      <c r="B160" s="93" t="str">
        <f>IFERROR(__xludf.DUMMYFUNCTION("LET(
  decisions,
  FILTER(
    INDEX(
      'FS - Jan26'!A:J,,10
    ),
    INDEX(
      'FS - Jan26'!A:J,,1
    ) = A160
  ),
  priority, {""Yes"",""No"", ""NA"",""""},
  IF(
    COUNTA(decisions)=0,
    NA(),
    INDEX(
      SORT(
        decisions,"&amp;"
        MATCH(decisions, priority, 0),
        TRUE
      ),
      1
    )
  )
)"),"Yes")</f>
        <v>Yes</v>
      </c>
    </row>
    <row r="161">
      <c r="A161" s="94" t="s">
        <v>38</v>
      </c>
      <c r="B161" s="93" t="str">
        <f>IFERROR(__xludf.DUMMYFUNCTION("LET(
  decisions,
  FILTER(
    INDEX(
      'FS - Jan26'!A:J,,10
    ),
    INDEX(
      'FS - Jan26'!A:J,,1
    ) = A161
  ),
  priority, {""Yes"",""No"", ""NA"",""""},
  IF(
    COUNTA(decisions)=0,
    NA(),
    INDEX(
      SORT(
        decisions,"&amp;"
        MATCH(decisions, priority, 0),
        TRUE
      ),
      1
    )
  )
)"),"Yes")</f>
        <v>Yes</v>
      </c>
    </row>
    <row r="162">
      <c r="A162" s="62" t="s">
        <v>365</v>
      </c>
      <c r="B162" s="93" t="str">
        <f>IFERROR(__xludf.DUMMYFUNCTION("LET(
  decisions,
  FILTER(
    INDEX(
      'FS - Jan26'!A:J,,10
    ),
    INDEX(
      'FS - Jan26'!A:J,,1
    ) = A162
  ),
  priority, {""Yes"",""No"", ""NA"",""""},
  IF(
    COUNTA(decisions)=0,
    NA(),
    INDEX(
      SORT(
        decisions,"&amp;"
        MATCH(decisions, priority, 0),
        TRUE
      ),
      1
    )
  )
)"),"Yes")</f>
        <v>Yes</v>
      </c>
    </row>
    <row r="163">
      <c r="A163" s="93" t="s">
        <v>24</v>
      </c>
      <c r="B163" s="93" t="str">
        <f>IFERROR(__xludf.DUMMYFUNCTION("LET(
  decisions,
  FILTER(
    INDEX(
      'FS - Jan26'!A:J,,10
    ),
    INDEX(
      'FS - Jan26'!A:J,,1
    ) = A163
  ),
  priority, {""Yes"",""No"", ""NA"",""""},
  IF(
    COUNTA(decisions)=0,
    NA(),
    INDEX(
      SORT(
        decisions,"&amp;"
        MATCH(decisions, priority, 0),
        TRUE
      ),
      1
    )
  )
)"),"Yes")</f>
        <v>Yes</v>
      </c>
    </row>
    <row r="164">
      <c r="A164" s="62" t="s">
        <v>584</v>
      </c>
      <c r="B164" s="93" t="str">
        <f>IFERROR(__xludf.DUMMYFUNCTION("LET(
  decisions,
  FILTER(
    INDEX(
      'FS - Jan26'!A:J,,10
    ),
    INDEX(
      'FS - Jan26'!A:J,,1
    ) = A164
  ),
  priority, {""Yes"",""No"", ""NA"",""""},
  IF(
    COUNTA(decisions)=0,
    NA(),
    INDEX(
      SORT(
        decisions,"&amp;"
        MATCH(decisions, priority, 0),
        TRUE
      ),
      1
    )
  )
)"),"No")</f>
        <v>No</v>
      </c>
    </row>
    <row r="165">
      <c r="A165" s="94" t="s">
        <v>96</v>
      </c>
      <c r="B165" s="93" t="str">
        <f>IFERROR(__xludf.DUMMYFUNCTION("LET(
  decisions,
  FILTER(
    INDEX(
      'FS - Jan26'!A:J,,10
    ),
    INDEX(
      'FS - Jan26'!A:J,,1
    ) = A165
  ),
  priority, {""Yes"",""No"", ""NA"",""""},
  IF(
    COUNTA(decisions)=0,
    NA(),
    INDEX(
      SORT(
        decisions,"&amp;"
        MATCH(decisions, priority, 0),
        TRUE
      ),
      1
    )
  )
)"),"Yes")</f>
        <v>Yes</v>
      </c>
    </row>
    <row r="166">
      <c r="A166" s="62" t="s">
        <v>399</v>
      </c>
      <c r="B166" s="93" t="str">
        <f>IFERROR(__xludf.DUMMYFUNCTION("LET(
  decisions,
  FILTER(
    INDEX(
      'FS - Jan26'!A:J,,10
    ),
    INDEX(
      'FS - Jan26'!A:J,,1
    ) = A166
  ),
  priority, {""Yes"",""No"", ""NA"",""""},
  IF(
    COUNTA(decisions)=0,
    NA(),
    INDEX(
      SORT(
        decisions,"&amp;"
        MATCH(decisions, priority, 0),
        TRUE
      ),
      1
    )
  )
)"),"Yes")</f>
        <v>Yes</v>
      </c>
    </row>
  </sheetData>
  <conditionalFormatting sqref="A2:A996">
    <cfRule type="expression" dxfId="7" priority="1">
      <formula>countif(A:A, A2)&gt;1</formula>
    </cfRule>
  </conditionalFormatting>
  <drawing r:id="rId2"/>
  <tableParts count="1">
    <tablePart r:id="rId4"/>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4" max="4" width="32.25"/>
    <col customWidth="1" min="5" max="5" width="20.88"/>
    <col customWidth="1" min="6" max="6" width="7.88"/>
    <col customWidth="1" min="7" max="7" width="19.25"/>
    <col customWidth="1" min="10" max="10" width="32.25"/>
    <col customWidth="1" min="11" max="11" width="11.63"/>
  </cols>
  <sheetData>
    <row r="1">
      <c r="A1" s="65" t="s">
        <v>1816</v>
      </c>
      <c r="B1" s="62" t="s">
        <v>1747</v>
      </c>
      <c r="C1" s="62" t="s">
        <v>1799</v>
      </c>
      <c r="D1" s="65" t="s">
        <v>1804</v>
      </c>
      <c r="E1" s="72" t="s">
        <v>2526</v>
      </c>
    </row>
    <row r="2" ht="15.75" customHeight="1">
      <c r="A2" s="51" t="s">
        <v>1825</v>
      </c>
      <c r="B2" s="51" t="s">
        <v>51</v>
      </c>
      <c r="C2" s="62" t="s">
        <v>1748</v>
      </c>
      <c r="D2" s="62" t="s">
        <v>1833</v>
      </c>
      <c r="E2" s="72" t="s">
        <v>1837</v>
      </c>
      <c r="F2" s="37"/>
    </row>
    <row r="3" ht="15.75" customHeight="1">
      <c r="A3" s="51" t="s">
        <v>1042</v>
      </c>
      <c r="B3" s="51" t="s">
        <v>603</v>
      </c>
      <c r="C3" s="62" t="s">
        <v>1761</v>
      </c>
      <c r="D3" s="62" t="s">
        <v>1842</v>
      </c>
      <c r="E3" s="72" t="s">
        <v>2529</v>
      </c>
    </row>
    <row r="4" ht="15.75" customHeight="1">
      <c r="A4" s="51" t="s">
        <v>811</v>
      </c>
      <c r="B4" s="51" t="s">
        <v>603</v>
      </c>
      <c r="C4" s="62" t="s">
        <v>1761</v>
      </c>
      <c r="D4" s="62" t="s">
        <v>1833</v>
      </c>
      <c r="E4" s="72" t="s">
        <v>1852</v>
      </c>
    </row>
    <row r="5" ht="15.75" customHeight="1">
      <c r="A5" s="51" t="s">
        <v>918</v>
      </c>
      <c r="B5" s="51" t="s">
        <v>51</v>
      </c>
      <c r="C5" s="62" t="s">
        <v>1782</v>
      </c>
      <c r="D5" s="62" t="s">
        <v>1833</v>
      </c>
      <c r="E5" s="72" t="s">
        <v>1861</v>
      </c>
    </row>
    <row r="6" ht="15.75" customHeight="1">
      <c r="A6" s="51" t="s">
        <v>1107</v>
      </c>
      <c r="B6" s="51" t="s">
        <v>51</v>
      </c>
      <c r="C6" s="62" t="s">
        <v>1782</v>
      </c>
      <c r="D6" s="62" t="s">
        <v>1842</v>
      </c>
      <c r="E6" s="72" t="s">
        <v>1866</v>
      </c>
    </row>
    <row r="7" ht="15.75" customHeight="1">
      <c r="A7" s="51" t="s">
        <v>1083</v>
      </c>
      <c r="B7" s="51" t="s">
        <v>603</v>
      </c>
      <c r="C7" s="62" t="s">
        <v>1867</v>
      </c>
      <c r="D7" s="62" t="s">
        <v>1842</v>
      </c>
      <c r="E7" s="72" t="s">
        <v>1873</v>
      </c>
    </row>
    <row r="8" ht="15.75" customHeight="1">
      <c r="A8" s="51" t="s">
        <v>1076</v>
      </c>
      <c r="B8" s="51" t="s">
        <v>603</v>
      </c>
      <c r="C8" s="62" t="s">
        <v>1867</v>
      </c>
      <c r="D8" s="62" t="s">
        <v>1842</v>
      </c>
      <c r="E8" s="72" t="s">
        <v>1879</v>
      </c>
    </row>
    <row r="9" ht="15.75" customHeight="1">
      <c r="A9" s="51" t="s">
        <v>813</v>
      </c>
      <c r="B9" s="51" t="s">
        <v>51</v>
      </c>
      <c r="C9" s="62" t="s">
        <v>1780</v>
      </c>
      <c r="D9" s="62" t="s">
        <v>1842</v>
      </c>
      <c r="E9" s="72" t="s">
        <v>1893</v>
      </c>
    </row>
    <row r="10" ht="15.75" customHeight="1">
      <c r="A10" s="51" t="s">
        <v>1134</v>
      </c>
      <c r="B10" s="51" t="s">
        <v>603</v>
      </c>
      <c r="C10" s="62" t="s">
        <v>1758</v>
      </c>
      <c r="D10" s="62" t="s">
        <v>1842</v>
      </c>
      <c r="E10" s="72" t="s">
        <v>1899</v>
      </c>
    </row>
    <row r="11" ht="15.75" customHeight="1">
      <c r="A11" s="51" t="s">
        <v>789</v>
      </c>
      <c r="B11" s="51" t="s">
        <v>603</v>
      </c>
      <c r="C11" s="62" t="s">
        <v>1752</v>
      </c>
      <c r="D11" s="62" t="s">
        <v>1842</v>
      </c>
      <c r="E11" s="72" t="s">
        <v>1912</v>
      </c>
    </row>
    <row r="12" ht="15.75" customHeight="1">
      <c r="A12" s="51" t="s">
        <v>1050</v>
      </c>
      <c r="B12" s="51" t="s">
        <v>603</v>
      </c>
      <c r="C12" s="62" t="s">
        <v>1752</v>
      </c>
      <c r="D12" s="62" t="s">
        <v>1842</v>
      </c>
      <c r="E12" s="72" t="s">
        <v>1922</v>
      </c>
    </row>
    <row r="13" ht="15.75" customHeight="1">
      <c r="A13" s="51" t="s">
        <v>728</v>
      </c>
      <c r="B13" s="51" t="s">
        <v>51</v>
      </c>
      <c r="C13" s="62" t="s">
        <v>1772</v>
      </c>
      <c r="D13" s="62" t="s">
        <v>1833</v>
      </c>
      <c r="E13" s="72" t="s">
        <v>1931</v>
      </c>
    </row>
    <row r="14" ht="15.75" customHeight="1">
      <c r="A14" s="51" t="s">
        <v>1140</v>
      </c>
      <c r="B14" s="51" t="s">
        <v>51</v>
      </c>
      <c r="C14" s="62" t="s">
        <v>1772</v>
      </c>
      <c r="D14" s="62" t="s">
        <v>1842</v>
      </c>
      <c r="E14" s="72" t="s">
        <v>1940</v>
      </c>
    </row>
    <row r="15" ht="15.75" customHeight="1">
      <c r="A15" s="51" t="s">
        <v>844</v>
      </c>
      <c r="B15" s="51" t="s">
        <v>51</v>
      </c>
      <c r="C15" s="62" t="s">
        <v>1782</v>
      </c>
      <c r="D15" s="62" t="s">
        <v>1842</v>
      </c>
      <c r="E15" s="72" t="s">
        <v>1950</v>
      </c>
    </row>
    <row r="16" ht="15.75" customHeight="1">
      <c r="A16" s="51" t="s">
        <v>1239</v>
      </c>
      <c r="B16" s="51" t="s">
        <v>51</v>
      </c>
      <c r="C16" s="62" t="s">
        <v>1780</v>
      </c>
      <c r="D16" s="62" t="s">
        <v>1842</v>
      </c>
      <c r="E16" s="72" t="s">
        <v>2545</v>
      </c>
      <c r="F16" s="37"/>
    </row>
    <row r="17" ht="15.75" customHeight="1">
      <c r="A17" s="51" t="s">
        <v>785</v>
      </c>
      <c r="B17" s="51" t="s">
        <v>51</v>
      </c>
      <c r="C17" s="62" t="s">
        <v>1780</v>
      </c>
      <c r="D17" s="62" t="s">
        <v>1842</v>
      </c>
      <c r="E17" s="72" t="s">
        <v>1968</v>
      </c>
      <c r="F17" s="37"/>
    </row>
    <row r="18" ht="15.75" customHeight="1">
      <c r="A18" s="51" t="s">
        <v>701</v>
      </c>
      <c r="B18" s="51" t="s">
        <v>603</v>
      </c>
      <c r="C18" s="62" t="s">
        <v>1752</v>
      </c>
      <c r="D18" s="62" t="s">
        <v>1842</v>
      </c>
      <c r="E18" s="72" t="s">
        <v>2547</v>
      </c>
    </row>
    <row r="19" ht="15.75" customHeight="1">
      <c r="A19" s="51" t="s">
        <v>891</v>
      </c>
      <c r="B19" s="51" t="s">
        <v>603</v>
      </c>
      <c r="C19" s="62" t="s">
        <v>1761</v>
      </c>
      <c r="D19" s="62" t="s">
        <v>1833</v>
      </c>
      <c r="E19" s="72" t="s">
        <v>1995</v>
      </c>
    </row>
    <row r="20" ht="15.75" customHeight="1">
      <c r="A20" s="51" t="s">
        <v>745</v>
      </c>
      <c r="B20" s="51" t="s">
        <v>603</v>
      </c>
      <c r="C20" s="62" t="s">
        <v>1754</v>
      </c>
      <c r="D20" s="62" t="s">
        <v>1833</v>
      </c>
      <c r="E20" s="72" t="s">
        <v>2006</v>
      </c>
    </row>
    <row r="21" ht="15.75" customHeight="1">
      <c r="A21" s="51" t="s">
        <v>838</v>
      </c>
      <c r="B21" s="51" t="s">
        <v>51</v>
      </c>
      <c r="C21" s="62" t="s">
        <v>1780</v>
      </c>
      <c r="D21" s="62" t="s">
        <v>1833</v>
      </c>
      <c r="E21" s="72" t="s">
        <v>2017</v>
      </c>
    </row>
    <row r="22" ht="15.75" customHeight="1">
      <c r="A22" s="65" t="s">
        <v>818</v>
      </c>
      <c r="B22" s="51" t="s">
        <v>603</v>
      </c>
      <c r="C22" s="62" t="s">
        <v>1752</v>
      </c>
      <c r="D22" s="62" t="s">
        <v>1842</v>
      </c>
      <c r="E22" s="72" t="s">
        <v>2027</v>
      </c>
    </row>
    <row r="23" ht="15.75" customHeight="1">
      <c r="A23" s="65" t="s">
        <v>149</v>
      </c>
      <c r="B23" s="51" t="s">
        <v>51</v>
      </c>
      <c r="C23" s="62" t="s">
        <v>1780</v>
      </c>
      <c r="D23" s="62" t="s">
        <v>1833</v>
      </c>
      <c r="E23" s="72" t="s">
        <v>2039</v>
      </c>
      <c r="F23" s="37"/>
    </row>
    <row r="24" ht="15.75" customHeight="1">
      <c r="A24" s="51" t="s">
        <v>731</v>
      </c>
      <c r="B24" s="51" t="s">
        <v>51</v>
      </c>
      <c r="C24" s="62" t="s">
        <v>1782</v>
      </c>
      <c r="D24" s="62" t="s">
        <v>1842</v>
      </c>
      <c r="E24" s="139"/>
      <c r="F24" s="37"/>
    </row>
    <row r="25" ht="15.75" customHeight="1">
      <c r="A25" s="65" t="s">
        <v>815</v>
      </c>
      <c r="B25" s="51" t="s">
        <v>603</v>
      </c>
      <c r="C25" s="62" t="s">
        <v>1754</v>
      </c>
      <c r="D25" s="62" t="s">
        <v>1842</v>
      </c>
      <c r="E25" s="72" t="s">
        <v>2550</v>
      </c>
      <c r="F25" s="37"/>
    </row>
    <row r="26" ht="15.75" customHeight="1">
      <c r="A26" s="51" t="s">
        <v>611</v>
      </c>
      <c r="B26" s="51" t="s">
        <v>603</v>
      </c>
      <c r="C26" s="62" t="s">
        <v>1761</v>
      </c>
      <c r="D26" s="62" t="s">
        <v>1833</v>
      </c>
      <c r="E26" s="72" t="s">
        <v>2551</v>
      </c>
      <c r="F26" s="37"/>
    </row>
    <row r="27" ht="15.75" customHeight="1">
      <c r="A27" s="51" t="s">
        <v>862</v>
      </c>
      <c r="B27" s="51" t="s">
        <v>603</v>
      </c>
      <c r="C27" s="62" t="s">
        <v>1761</v>
      </c>
      <c r="D27" s="62" t="s">
        <v>1833</v>
      </c>
      <c r="E27" s="72" t="s">
        <v>2552</v>
      </c>
      <c r="F27" s="37"/>
    </row>
    <row r="28" ht="15.75" customHeight="1">
      <c r="A28" s="51" t="s">
        <v>721</v>
      </c>
      <c r="B28" s="51" t="s">
        <v>603</v>
      </c>
      <c r="C28" s="62" t="s">
        <v>1867</v>
      </c>
      <c r="D28" s="62" t="s">
        <v>1842</v>
      </c>
      <c r="E28" s="72" t="s">
        <v>2109</v>
      </c>
      <c r="F28" s="37"/>
    </row>
    <row r="29" ht="15.75" customHeight="1">
      <c r="A29" s="51" t="s">
        <v>1226</v>
      </c>
      <c r="B29" s="51" t="s">
        <v>603</v>
      </c>
      <c r="C29" s="62" t="s">
        <v>1867</v>
      </c>
      <c r="D29" s="62" t="s">
        <v>1833</v>
      </c>
      <c r="E29" s="72" t="s">
        <v>2122</v>
      </c>
      <c r="F29" s="37"/>
    </row>
    <row r="30" ht="15.75" customHeight="1">
      <c r="A30" s="62" t="s">
        <v>1024</v>
      </c>
      <c r="B30" s="51" t="s">
        <v>51</v>
      </c>
      <c r="C30" s="62" t="s">
        <v>1780</v>
      </c>
      <c r="D30" s="62" t="s">
        <v>1833</v>
      </c>
      <c r="E30" s="72" t="s">
        <v>2137</v>
      </c>
      <c r="F30" s="37"/>
    </row>
    <row r="31" ht="15.75" customHeight="1">
      <c r="A31" s="62" t="s">
        <v>39</v>
      </c>
      <c r="B31" s="51" t="s">
        <v>51</v>
      </c>
      <c r="C31" s="62" t="s">
        <v>1780</v>
      </c>
      <c r="D31" s="62" t="s">
        <v>1833</v>
      </c>
      <c r="E31" s="72" t="s">
        <v>2148</v>
      </c>
      <c r="F31" s="37"/>
    </row>
    <row r="32" ht="15.75" customHeight="1">
      <c r="A32" s="62" t="s">
        <v>622</v>
      </c>
      <c r="B32" s="51" t="s">
        <v>603</v>
      </c>
      <c r="C32" s="62" t="s">
        <v>1754</v>
      </c>
      <c r="D32" s="62" t="s">
        <v>2156</v>
      </c>
      <c r="E32" s="139"/>
      <c r="F32" s="37"/>
    </row>
    <row r="33" ht="15.75" customHeight="1">
      <c r="A33" s="62" t="s">
        <v>708</v>
      </c>
      <c r="B33" s="51" t="s">
        <v>603</v>
      </c>
      <c r="C33" s="62" t="s">
        <v>1754</v>
      </c>
      <c r="D33" s="62" t="s">
        <v>1842</v>
      </c>
      <c r="E33" s="72" t="s">
        <v>2169</v>
      </c>
      <c r="F33" s="37"/>
    </row>
    <row r="34" ht="15.75" customHeight="1">
      <c r="A34" s="62" t="s">
        <v>668</v>
      </c>
      <c r="B34" s="51" t="s">
        <v>51</v>
      </c>
      <c r="C34" s="62" t="s">
        <v>1770</v>
      </c>
      <c r="D34" s="62" t="s">
        <v>1833</v>
      </c>
      <c r="E34" s="139"/>
      <c r="F34" s="37"/>
    </row>
    <row r="35" ht="15.75" customHeight="1">
      <c r="A35" s="62" t="s">
        <v>728</v>
      </c>
      <c r="B35" s="51" t="s">
        <v>51</v>
      </c>
      <c r="C35" s="62" t="s">
        <v>1770</v>
      </c>
      <c r="D35" s="62" t="s">
        <v>1842</v>
      </c>
      <c r="E35" s="72" t="s">
        <v>2189</v>
      </c>
      <c r="F35" s="37"/>
    </row>
    <row r="36" ht="15.75" customHeight="1">
      <c r="A36" s="62" t="s">
        <v>1022</v>
      </c>
      <c r="B36" s="51" t="s">
        <v>51</v>
      </c>
      <c r="C36" s="62" t="s">
        <v>1748</v>
      </c>
      <c r="D36" s="62" t="s">
        <v>1842</v>
      </c>
      <c r="E36" s="72" t="s">
        <v>2203</v>
      </c>
      <c r="F36" s="37"/>
    </row>
    <row r="37" ht="15.75" customHeight="1">
      <c r="A37" s="62" t="s">
        <v>716</v>
      </c>
      <c r="B37" s="51" t="s">
        <v>51</v>
      </c>
      <c r="C37" s="62" t="s">
        <v>2208</v>
      </c>
      <c r="D37" s="62" t="s">
        <v>1833</v>
      </c>
      <c r="E37" s="139"/>
      <c r="F37" s="37"/>
    </row>
    <row r="38" ht="15.75" customHeight="1">
      <c r="A38" s="62" t="s">
        <v>267</v>
      </c>
      <c r="B38" s="51" t="s">
        <v>51</v>
      </c>
      <c r="C38" s="62" t="s">
        <v>2208</v>
      </c>
      <c r="D38" s="62" t="s">
        <v>1833</v>
      </c>
      <c r="E38" s="139"/>
      <c r="F38" s="37"/>
    </row>
    <row r="39" ht="15.75" customHeight="1">
      <c r="A39" s="62" t="s">
        <v>66</v>
      </c>
      <c r="B39" s="51" t="s">
        <v>51</v>
      </c>
      <c r="C39" s="62" t="s">
        <v>1748</v>
      </c>
      <c r="D39" s="62" t="s">
        <v>1833</v>
      </c>
      <c r="E39" s="72" t="s">
        <v>2235</v>
      </c>
      <c r="F39" s="37"/>
    </row>
    <row r="40" ht="15.75" customHeight="1">
      <c r="A40" s="51" t="s">
        <v>1825</v>
      </c>
      <c r="B40" s="51" t="s">
        <v>51</v>
      </c>
      <c r="C40" s="62" t="s">
        <v>1748</v>
      </c>
      <c r="D40" s="62" t="s">
        <v>1842</v>
      </c>
      <c r="E40" s="72" t="s">
        <v>2243</v>
      </c>
      <c r="F40" s="37"/>
    </row>
    <row r="41" ht="15.75" customHeight="1">
      <c r="A41" s="62" t="s">
        <v>889</v>
      </c>
      <c r="B41" s="51" t="s">
        <v>51</v>
      </c>
      <c r="C41" s="62" t="s">
        <v>1748</v>
      </c>
      <c r="D41" s="62" t="s">
        <v>1842</v>
      </c>
      <c r="E41" s="72" t="s">
        <v>2247</v>
      </c>
      <c r="F41" s="37"/>
    </row>
    <row r="42" ht="15.75" customHeight="1">
      <c r="A42" s="62" t="s">
        <v>1115</v>
      </c>
      <c r="B42" s="51" t="s">
        <v>51</v>
      </c>
      <c r="C42" s="62" t="s">
        <v>1748</v>
      </c>
      <c r="D42" s="62" t="s">
        <v>1842</v>
      </c>
      <c r="E42" s="72" t="s">
        <v>2251</v>
      </c>
      <c r="F42" s="37"/>
    </row>
    <row r="43" ht="15.75" customHeight="1">
      <c r="A43" s="62" t="s">
        <v>741</v>
      </c>
      <c r="B43" s="51" t="s">
        <v>51</v>
      </c>
      <c r="C43" s="62" t="s">
        <v>1784</v>
      </c>
      <c r="D43" s="62" t="s">
        <v>1842</v>
      </c>
      <c r="E43" s="72" t="s">
        <v>2255</v>
      </c>
      <c r="F43" s="37"/>
    </row>
    <row r="44" ht="15.75" customHeight="1">
      <c r="A44" s="62" t="s">
        <v>957</v>
      </c>
      <c r="B44" s="51" t="s">
        <v>51</v>
      </c>
      <c r="C44" s="62" t="s">
        <v>1784</v>
      </c>
      <c r="D44" s="62" t="s">
        <v>1842</v>
      </c>
      <c r="E44" s="72" t="s">
        <v>2266</v>
      </c>
      <c r="F44" s="37"/>
    </row>
    <row r="45" ht="15.75" customHeight="1">
      <c r="A45" s="62" t="s">
        <v>850</v>
      </c>
      <c r="B45" s="51" t="s">
        <v>51</v>
      </c>
      <c r="C45" s="62" t="s">
        <v>1784</v>
      </c>
      <c r="D45" s="62" t="s">
        <v>1842</v>
      </c>
      <c r="E45" s="72" t="s">
        <v>2280</v>
      </c>
      <c r="F45" s="37"/>
    </row>
    <row r="46" ht="15.75" customHeight="1">
      <c r="A46" s="62" t="s">
        <v>24</v>
      </c>
      <c r="B46" s="51" t="s">
        <v>51</v>
      </c>
      <c r="C46" s="62" t="s">
        <v>1784</v>
      </c>
      <c r="D46" s="62" t="s">
        <v>1842</v>
      </c>
      <c r="E46" s="72" t="s">
        <v>2285</v>
      </c>
      <c r="F46" s="37"/>
    </row>
    <row r="47" ht="15.75" customHeight="1">
      <c r="A47" s="62" t="s">
        <v>468</v>
      </c>
      <c r="B47" s="51" t="s">
        <v>51</v>
      </c>
      <c r="C47" s="62" t="s">
        <v>1748</v>
      </c>
      <c r="D47" s="62" t="s">
        <v>1833</v>
      </c>
      <c r="E47" s="72" t="s">
        <v>2289</v>
      </c>
      <c r="F47" s="37"/>
    </row>
    <row r="48" ht="15.75" customHeight="1">
      <c r="A48" s="62" t="s">
        <v>792</v>
      </c>
      <c r="B48" s="51" t="s">
        <v>51</v>
      </c>
      <c r="C48" s="62" t="s">
        <v>1748</v>
      </c>
      <c r="D48" s="62" t="s">
        <v>1833</v>
      </c>
      <c r="E48" s="72" t="s">
        <v>2292</v>
      </c>
      <c r="F48" s="37"/>
    </row>
    <row r="49" ht="15.75" customHeight="1">
      <c r="A49" s="62" t="s">
        <v>1016</v>
      </c>
      <c r="B49" s="51" t="s">
        <v>51</v>
      </c>
      <c r="C49" s="62" t="s">
        <v>1748</v>
      </c>
      <c r="D49" s="62" t="s">
        <v>1842</v>
      </c>
      <c r="E49" s="72" t="s">
        <v>2295</v>
      </c>
      <c r="F49" s="37"/>
    </row>
    <row r="50" ht="15.75" customHeight="1">
      <c r="A50" s="62" t="s">
        <v>336</v>
      </c>
      <c r="B50" s="51" t="s">
        <v>51</v>
      </c>
      <c r="C50" s="62" t="s">
        <v>1748</v>
      </c>
      <c r="D50" s="62" t="s">
        <v>1842</v>
      </c>
      <c r="E50" s="72" t="s">
        <v>2299</v>
      </c>
      <c r="F50" s="37"/>
    </row>
    <row r="51" ht="15.75" customHeight="1">
      <c r="A51" s="62" t="s">
        <v>120</v>
      </c>
      <c r="B51" s="51" t="s">
        <v>603</v>
      </c>
      <c r="C51" s="62" t="s">
        <v>1752</v>
      </c>
      <c r="D51" s="62" t="s">
        <v>1833</v>
      </c>
      <c r="E51" s="72" t="s">
        <v>2304</v>
      </c>
      <c r="F51" s="37"/>
    </row>
    <row r="52" ht="15.75" customHeight="1">
      <c r="A52" s="62" t="s">
        <v>716</v>
      </c>
      <c r="B52" s="51" t="s">
        <v>51</v>
      </c>
      <c r="C52" s="62" t="s">
        <v>1772</v>
      </c>
      <c r="D52" s="62" t="s">
        <v>1842</v>
      </c>
      <c r="E52" s="72" t="s">
        <v>2306</v>
      </c>
      <c r="F52" s="37"/>
    </row>
    <row r="53" ht="15.75" customHeight="1">
      <c r="A53" s="62" t="s">
        <v>487</v>
      </c>
      <c r="B53" s="51" t="s">
        <v>51</v>
      </c>
      <c r="C53" s="62" t="s">
        <v>1772</v>
      </c>
      <c r="D53" s="62" t="s">
        <v>1842</v>
      </c>
      <c r="E53" s="72" t="s">
        <v>2310</v>
      </c>
      <c r="F53" s="37"/>
    </row>
    <row r="54" ht="15.75" customHeight="1">
      <c r="A54" s="62" t="s">
        <v>1166</v>
      </c>
      <c r="B54" s="51" t="s">
        <v>51</v>
      </c>
      <c r="C54" s="62" t="s">
        <v>1780</v>
      </c>
      <c r="D54" s="62" t="s">
        <v>1842</v>
      </c>
      <c r="E54" s="72" t="s">
        <v>2314</v>
      </c>
      <c r="F54" s="37"/>
    </row>
    <row r="55" ht="15.75" customHeight="1">
      <c r="A55" s="62" t="s">
        <v>466</v>
      </c>
      <c r="B55" s="51" t="s">
        <v>51</v>
      </c>
      <c r="C55" s="62" t="s">
        <v>1780</v>
      </c>
      <c r="D55" s="62" t="s">
        <v>1842</v>
      </c>
      <c r="E55" s="72" t="s">
        <v>2321</v>
      </c>
      <c r="F55" s="37"/>
    </row>
    <row r="56" ht="15.75" customHeight="1">
      <c r="A56" s="62" t="s">
        <v>96</v>
      </c>
      <c r="B56" s="51" t="s">
        <v>603</v>
      </c>
      <c r="C56" s="62" t="s">
        <v>1756</v>
      </c>
      <c r="D56" s="62" t="s">
        <v>1842</v>
      </c>
      <c r="E56" s="72" t="s">
        <v>2330</v>
      </c>
      <c r="F56" s="37"/>
    </row>
    <row r="57" ht="15.75" customHeight="1">
      <c r="A57" s="62" t="s">
        <v>76</v>
      </c>
      <c r="B57" s="51" t="s">
        <v>51</v>
      </c>
      <c r="C57" s="62" t="s">
        <v>1748</v>
      </c>
      <c r="D57" s="62" t="s">
        <v>1833</v>
      </c>
      <c r="E57" s="72" t="s">
        <v>2347</v>
      </c>
      <c r="F57" s="37"/>
    </row>
    <row r="58" ht="15.75" customHeight="1">
      <c r="A58" s="62" t="s">
        <v>692</v>
      </c>
      <c r="B58" s="51" t="s">
        <v>51</v>
      </c>
      <c r="C58" s="62" t="s">
        <v>1772</v>
      </c>
      <c r="D58" s="62" t="s">
        <v>1842</v>
      </c>
      <c r="E58" s="72" t="s">
        <v>2364</v>
      </c>
      <c r="F58" s="37"/>
    </row>
    <row r="59" ht="15.75" customHeight="1">
      <c r="A59" s="62" t="s">
        <v>117</v>
      </c>
      <c r="B59" s="51" t="s">
        <v>51</v>
      </c>
      <c r="C59" s="62" t="s">
        <v>1748</v>
      </c>
      <c r="D59" s="62" t="s">
        <v>1842</v>
      </c>
      <c r="E59" s="72" t="s">
        <v>2377</v>
      </c>
      <c r="F59" s="37"/>
    </row>
    <row r="60" ht="15.75" customHeight="1">
      <c r="A60" s="62" t="s">
        <v>65</v>
      </c>
      <c r="B60" s="51" t="s">
        <v>51</v>
      </c>
      <c r="C60" s="62" t="s">
        <v>1748</v>
      </c>
      <c r="D60" s="62" t="s">
        <v>1833</v>
      </c>
      <c r="E60" s="72" t="s">
        <v>2388</v>
      </c>
      <c r="F60" s="37"/>
    </row>
    <row r="61" ht="15.75" customHeight="1">
      <c r="A61" s="62" t="s">
        <v>567</v>
      </c>
      <c r="B61" s="51" t="s">
        <v>51</v>
      </c>
      <c r="C61" s="62" t="s">
        <v>1748</v>
      </c>
      <c r="D61" s="62" t="s">
        <v>1833</v>
      </c>
      <c r="E61" s="72" t="s">
        <v>2394</v>
      </c>
      <c r="F61" s="37"/>
    </row>
    <row r="62" ht="15.75" customHeight="1">
      <c r="A62" s="62" t="s">
        <v>1008</v>
      </c>
      <c r="B62" s="51" t="s">
        <v>603</v>
      </c>
      <c r="C62" s="62" t="s">
        <v>1761</v>
      </c>
      <c r="D62" s="62" t="s">
        <v>1842</v>
      </c>
      <c r="E62" s="72" t="s">
        <v>2566</v>
      </c>
      <c r="F62" s="37"/>
    </row>
    <row r="63" ht="15.75" customHeight="1">
      <c r="A63" s="62" t="s">
        <v>296</v>
      </c>
      <c r="B63" s="51" t="s">
        <v>51</v>
      </c>
      <c r="C63" s="62" t="s">
        <v>1770</v>
      </c>
      <c r="D63" s="62" t="s">
        <v>1842</v>
      </c>
      <c r="E63" s="72" t="s">
        <v>2401</v>
      </c>
      <c r="F63" s="37"/>
    </row>
    <row r="64" ht="15.75" customHeight="1">
      <c r="A64" s="62" t="s">
        <v>930</v>
      </c>
      <c r="B64" s="51" t="s">
        <v>51</v>
      </c>
      <c r="C64" s="62" t="s">
        <v>1770</v>
      </c>
      <c r="D64" s="62" t="s">
        <v>1842</v>
      </c>
      <c r="E64" s="72" t="s">
        <v>2406</v>
      </c>
      <c r="F64" s="37"/>
    </row>
    <row r="65" ht="15.75" customHeight="1">
      <c r="A65" s="62" t="s">
        <v>66</v>
      </c>
      <c r="B65" s="51" t="s">
        <v>51</v>
      </c>
      <c r="C65" s="62" t="s">
        <v>1772</v>
      </c>
      <c r="D65" s="62" t="s">
        <v>1833</v>
      </c>
      <c r="E65" s="72" t="s">
        <v>2409</v>
      </c>
      <c r="F65" s="37"/>
    </row>
    <row r="66" ht="15.75" customHeight="1">
      <c r="A66" s="62" t="s">
        <v>1024</v>
      </c>
      <c r="B66" s="51" t="s">
        <v>51</v>
      </c>
      <c r="C66" s="62" t="s">
        <v>1748</v>
      </c>
      <c r="D66" s="62" t="s">
        <v>1842</v>
      </c>
      <c r="E66" s="72" t="s">
        <v>2411</v>
      </c>
      <c r="F66" s="37"/>
    </row>
    <row r="67" ht="15.75" customHeight="1">
      <c r="A67" s="62" t="s">
        <v>214</v>
      </c>
      <c r="B67" s="51" t="s">
        <v>51</v>
      </c>
      <c r="C67" s="62" t="s">
        <v>1748</v>
      </c>
      <c r="D67" s="62" t="s">
        <v>1842</v>
      </c>
      <c r="E67" s="72" t="s">
        <v>2413</v>
      </c>
      <c r="F67" s="37"/>
    </row>
    <row r="68" ht="15.75" customHeight="1">
      <c r="A68" s="62" t="s">
        <v>672</v>
      </c>
      <c r="B68" s="51" t="s">
        <v>51</v>
      </c>
      <c r="C68" s="62" t="s">
        <v>1748</v>
      </c>
      <c r="D68" s="62" t="s">
        <v>1842</v>
      </c>
      <c r="E68" s="72" t="s">
        <v>2414</v>
      </c>
      <c r="F68" s="37"/>
    </row>
    <row r="69" ht="15.75" customHeight="1">
      <c r="A69" s="62" t="s">
        <v>385</v>
      </c>
      <c r="B69" s="51" t="s">
        <v>51</v>
      </c>
      <c r="C69" s="62" t="s">
        <v>1748</v>
      </c>
      <c r="D69" s="62" t="s">
        <v>1842</v>
      </c>
      <c r="E69" s="72" t="s">
        <v>2415</v>
      </c>
      <c r="F69" s="37"/>
    </row>
    <row r="70" ht="15.75" customHeight="1">
      <c r="A70" s="62" t="s">
        <v>113</v>
      </c>
      <c r="B70" s="51" t="s">
        <v>51</v>
      </c>
      <c r="C70" s="62" t="s">
        <v>1770</v>
      </c>
      <c r="D70" s="62" t="s">
        <v>1833</v>
      </c>
      <c r="E70" s="72" t="s">
        <v>2419</v>
      </c>
      <c r="F70" s="37"/>
    </row>
    <row r="71" ht="15.75" customHeight="1">
      <c r="A71" s="62" t="s">
        <v>217</v>
      </c>
      <c r="B71" s="51" t="s">
        <v>51</v>
      </c>
      <c r="C71" s="62" t="s">
        <v>1770</v>
      </c>
      <c r="D71" s="62" t="s">
        <v>1842</v>
      </c>
      <c r="E71" s="72" t="s">
        <v>2422</v>
      </c>
      <c r="F71" s="37"/>
    </row>
    <row r="72" ht="15.75" customHeight="1">
      <c r="A72" s="62" t="s">
        <v>961</v>
      </c>
      <c r="B72" s="51" t="s">
        <v>603</v>
      </c>
      <c r="C72" s="62" t="s">
        <v>1752</v>
      </c>
      <c r="D72" s="62" t="s">
        <v>1842</v>
      </c>
      <c r="E72" s="72" t="s">
        <v>2425</v>
      </c>
      <c r="F72" s="37"/>
    </row>
    <row r="73" ht="15.75" customHeight="1">
      <c r="A73" s="62" t="s">
        <v>368</v>
      </c>
      <c r="B73" s="51" t="s">
        <v>603</v>
      </c>
      <c r="C73" s="62" t="s">
        <v>1752</v>
      </c>
      <c r="D73" s="62" t="s">
        <v>1842</v>
      </c>
      <c r="E73" s="72" t="s">
        <v>2428</v>
      </c>
      <c r="F73" s="37"/>
    </row>
    <row r="74" ht="15.75" customHeight="1">
      <c r="A74" s="62" t="s">
        <v>1095</v>
      </c>
      <c r="B74" s="51" t="s">
        <v>603</v>
      </c>
      <c r="C74" s="62" t="s">
        <v>1752</v>
      </c>
      <c r="D74" s="62" t="s">
        <v>1842</v>
      </c>
      <c r="E74" s="72" t="s">
        <v>2431</v>
      </c>
      <c r="F74" s="37"/>
    </row>
    <row r="75" ht="15.75" customHeight="1">
      <c r="A75" s="62" t="s">
        <v>485</v>
      </c>
      <c r="B75" s="51" t="s">
        <v>603</v>
      </c>
      <c r="C75" s="62" t="s">
        <v>1752</v>
      </c>
      <c r="D75" s="62" t="s">
        <v>1842</v>
      </c>
      <c r="E75" s="72" t="s">
        <v>2434</v>
      </c>
      <c r="F75" s="37"/>
    </row>
    <row r="76" ht="15.75" customHeight="1">
      <c r="A76" s="62" t="s">
        <v>137</v>
      </c>
      <c r="B76" s="51" t="s">
        <v>603</v>
      </c>
      <c r="C76" s="62" t="s">
        <v>1756</v>
      </c>
      <c r="D76" s="62" t="s">
        <v>1842</v>
      </c>
      <c r="E76" s="72" t="s">
        <v>2437</v>
      </c>
      <c r="F76" s="37"/>
    </row>
    <row r="77" ht="15.75" customHeight="1">
      <c r="A77" s="62" t="s">
        <v>1370</v>
      </c>
      <c r="B77" s="51" t="s">
        <v>51</v>
      </c>
      <c r="C77" s="62" t="s">
        <v>1780</v>
      </c>
      <c r="D77" s="62" t="s">
        <v>1842</v>
      </c>
      <c r="E77" s="72" t="s">
        <v>2440</v>
      </c>
      <c r="F77" s="37"/>
    </row>
    <row r="78" ht="15.75" customHeight="1">
      <c r="A78" s="62" t="s">
        <v>267</v>
      </c>
      <c r="B78" s="51" t="s">
        <v>51</v>
      </c>
      <c r="C78" s="62" t="s">
        <v>1780</v>
      </c>
      <c r="D78" s="62" t="s">
        <v>1833</v>
      </c>
      <c r="E78" s="72" t="s">
        <v>2443</v>
      </c>
      <c r="F78" s="37"/>
    </row>
    <row r="79" ht="15.75" customHeight="1">
      <c r="A79" s="62" t="s">
        <v>782</v>
      </c>
      <c r="B79" s="51" t="s">
        <v>51</v>
      </c>
      <c r="C79" s="62" t="s">
        <v>1748</v>
      </c>
      <c r="D79" s="62" t="s">
        <v>1833</v>
      </c>
      <c r="E79" s="72" t="s">
        <v>2446</v>
      </c>
      <c r="F79" s="37"/>
    </row>
    <row r="80" ht="15.75" customHeight="1">
      <c r="A80" s="62" t="s">
        <v>852</v>
      </c>
      <c r="B80" s="51" t="s">
        <v>51</v>
      </c>
      <c r="C80" s="62" t="s">
        <v>1748</v>
      </c>
      <c r="D80" s="62" t="s">
        <v>1833</v>
      </c>
      <c r="E80" s="72" t="s">
        <v>2448</v>
      </c>
      <c r="F80" s="37"/>
    </row>
    <row r="81" ht="15.75" customHeight="1">
      <c r="A81" s="62" t="s">
        <v>1439</v>
      </c>
      <c r="B81" s="51" t="s">
        <v>51</v>
      </c>
      <c r="C81" s="62" t="s">
        <v>1748</v>
      </c>
      <c r="D81" s="62" t="s">
        <v>1842</v>
      </c>
      <c r="E81" s="72" t="s">
        <v>2449</v>
      </c>
      <c r="F81" s="37"/>
    </row>
    <row r="82" ht="15.75" customHeight="1">
      <c r="A82" s="62" t="s">
        <v>239</v>
      </c>
      <c r="B82" s="51" t="s">
        <v>51</v>
      </c>
      <c r="C82" s="62" t="s">
        <v>1748</v>
      </c>
      <c r="D82" s="62" t="s">
        <v>1833</v>
      </c>
      <c r="E82" s="72" t="s">
        <v>2451</v>
      </c>
      <c r="F82" s="37"/>
    </row>
    <row r="83" ht="15.75" customHeight="1">
      <c r="A83" s="62" t="s">
        <v>1341</v>
      </c>
      <c r="B83" s="51" t="s">
        <v>51</v>
      </c>
      <c r="C83" s="62" t="s">
        <v>2208</v>
      </c>
      <c r="D83" s="62" t="s">
        <v>1842</v>
      </c>
      <c r="E83" s="72" t="s">
        <v>2452</v>
      </c>
      <c r="F83" s="37"/>
    </row>
    <row r="84" ht="15.75" customHeight="1">
      <c r="A84" s="62" t="s">
        <v>1030</v>
      </c>
      <c r="B84" s="51" t="s">
        <v>51</v>
      </c>
      <c r="C84" s="62" t="s">
        <v>2208</v>
      </c>
      <c r="D84" s="62" t="s">
        <v>1842</v>
      </c>
      <c r="E84" s="72" t="s">
        <v>2453</v>
      </c>
      <c r="F84" s="37"/>
    </row>
    <row r="85" ht="15.75" customHeight="1">
      <c r="A85" s="62" t="s">
        <v>1164</v>
      </c>
      <c r="B85" s="51" t="s">
        <v>51</v>
      </c>
      <c r="C85" s="62" t="s">
        <v>1748</v>
      </c>
      <c r="D85" s="62" t="s">
        <v>1842</v>
      </c>
      <c r="E85" s="72" t="s">
        <v>2455</v>
      </c>
      <c r="F85" s="37"/>
    </row>
    <row r="86" ht="15.75" customHeight="1">
      <c r="A86" s="62" t="s">
        <v>32</v>
      </c>
      <c r="B86" s="51" t="s">
        <v>51</v>
      </c>
      <c r="C86" s="62" t="s">
        <v>1777</v>
      </c>
      <c r="D86" s="62" t="s">
        <v>1833</v>
      </c>
      <c r="E86" s="72" t="s">
        <v>2459</v>
      </c>
      <c r="F86" s="37"/>
    </row>
    <row r="87" ht="15.75" customHeight="1">
      <c r="A87" s="62" t="s">
        <v>201</v>
      </c>
      <c r="B87" s="51" t="s">
        <v>51</v>
      </c>
      <c r="C87" s="62" t="s">
        <v>1777</v>
      </c>
      <c r="D87" s="62" t="s">
        <v>1833</v>
      </c>
      <c r="E87" s="72" t="s">
        <v>2462</v>
      </c>
      <c r="F87" s="37"/>
    </row>
    <row r="88" ht="15.75" customHeight="1">
      <c r="A88" s="62" t="s">
        <v>1170</v>
      </c>
      <c r="B88" s="51" t="s">
        <v>51</v>
      </c>
      <c r="C88" s="62" t="s">
        <v>1777</v>
      </c>
      <c r="D88" s="62" t="s">
        <v>1842</v>
      </c>
      <c r="E88" s="72" t="s">
        <v>2465</v>
      </c>
      <c r="F88" s="37"/>
    </row>
    <row r="89" ht="15.75" customHeight="1">
      <c r="A89" s="62" t="s">
        <v>38</v>
      </c>
      <c r="B89" s="51" t="s">
        <v>51</v>
      </c>
      <c r="C89" s="62" t="s">
        <v>1777</v>
      </c>
      <c r="D89" s="62" t="s">
        <v>1842</v>
      </c>
      <c r="E89" s="72" t="s">
        <v>2467</v>
      </c>
      <c r="F89" s="37"/>
    </row>
    <row r="90" ht="15.75" customHeight="1">
      <c r="A90" s="62" t="s">
        <v>132</v>
      </c>
      <c r="B90" s="51" t="s">
        <v>51</v>
      </c>
      <c r="C90" s="62" t="s">
        <v>1748</v>
      </c>
      <c r="D90" s="62" t="s">
        <v>1842</v>
      </c>
      <c r="E90" s="72" t="s">
        <v>2468</v>
      </c>
      <c r="F90" s="37"/>
    </row>
    <row r="91" ht="15.75" customHeight="1">
      <c r="A91" s="62" t="s">
        <v>77</v>
      </c>
      <c r="B91" s="51" t="s">
        <v>51</v>
      </c>
      <c r="C91" s="62" t="s">
        <v>1777</v>
      </c>
      <c r="D91" s="62" t="s">
        <v>1842</v>
      </c>
      <c r="E91" s="72" t="s">
        <v>2470</v>
      </c>
      <c r="F91" s="37"/>
    </row>
    <row r="92" ht="15.75" customHeight="1">
      <c r="A92" s="62" t="s">
        <v>41</v>
      </c>
      <c r="B92" s="51" t="s">
        <v>51</v>
      </c>
      <c r="C92" s="62" t="s">
        <v>1777</v>
      </c>
      <c r="D92" s="62" t="s">
        <v>1842</v>
      </c>
      <c r="E92" s="72" t="s">
        <v>2473</v>
      </c>
      <c r="F92" s="37"/>
    </row>
    <row r="93" ht="15.75" customHeight="1">
      <c r="A93" s="62" t="s">
        <v>592</v>
      </c>
      <c r="B93" s="51" t="s">
        <v>51</v>
      </c>
      <c r="C93" s="62" t="s">
        <v>2208</v>
      </c>
      <c r="D93" s="62" t="s">
        <v>1842</v>
      </c>
      <c r="E93" s="139"/>
      <c r="F93" s="37"/>
    </row>
    <row r="94" ht="15.75" customHeight="1">
      <c r="A94" s="62" t="s">
        <v>835</v>
      </c>
      <c r="B94" s="51" t="s">
        <v>51</v>
      </c>
      <c r="C94" s="62" t="s">
        <v>1784</v>
      </c>
      <c r="D94" s="62" t="s">
        <v>1842</v>
      </c>
      <c r="E94" s="72" t="s">
        <v>2474</v>
      </c>
      <c r="F94" s="37"/>
    </row>
    <row r="95" ht="15.75" customHeight="1">
      <c r="A95" s="62" t="s">
        <v>975</v>
      </c>
      <c r="B95" s="51" t="s">
        <v>51</v>
      </c>
      <c r="C95" s="62" t="s">
        <v>1784</v>
      </c>
      <c r="D95" s="62" t="s">
        <v>1842</v>
      </c>
      <c r="E95" s="72" t="s">
        <v>2476</v>
      </c>
      <c r="F95" s="37"/>
    </row>
    <row r="96" ht="15.75" customHeight="1">
      <c r="A96" s="62" t="s">
        <v>527</v>
      </c>
      <c r="B96" s="51" t="s">
        <v>51</v>
      </c>
      <c r="C96" s="62" t="s">
        <v>1748</v>
      </c>
      <c r="D96" s="62" t="s">
        <v>1833</v>
      </c>
      <c r="E96" s="72" t="s">
        <v>2478</v>
      </c>
      <c r="F96" s="37"/>
    </row>
    <row r="97" ht="15.75" customHeight="1">
      <c r="A97" s="62" t="s">
        <v>26</v>
      </c>
      <c r="B97" s="51" t="s">
        <v>51</v>
      </c>
      <c r="C97" s="62" t="s">
        <v>1748</v>
      </c>
      <c r="D97" s="62" t="s">
        <v>1833</v>
      </c>
      <c r="E97" s="72" t="s">
        <v>2480</v>
      </c>
      <c r="F97" s="37"/>
    </row>
    <row r="98" ht="15.75" customHeight="1">
      <c r="A98" s="62" t="s">
        <v>150</v>
      </c>
      <c r="B98" s="51" t="s">
        <v>51</v>
      </c>
      <c r="C98" s="62" t="s">
        <v>1748</v>
      </c>
      <c r="D98" s="62" t="s">
        <v>1833</v>
      </c>
      <c r="E98" s="72" t="s">
        <v>2482</v>
      </c>
      <c r="F98" s="37"/>
    </row>
    <row r="99" ht="15.75" customHeight="1">
      <c r="A99" s="62" t="s">
        <v>236</v>
      </c>
      <c r="B99" s="51" t="s">
        <v>51</v>
      </c>
      <c r="C99" s="62" t="s">
        <v>1748</v>
      </c>
      <c r="D99" s="62" t="s">
        <v>1842</v>
      </c>
      <c r="E99" s="72" t="s">
        <v>2484</v>
      </c>
      <c r="F99" s="37"/>
    </row>
    <row r="100" ht="15.75" customHeight="1">
      <c r="A100" s="62" t="s">
        <v>646</v>
      </c>
      <c r="B100" s="51" t="s">
        <v>51</v>
      </c>
      <c r="C100" s="62" t="s">
        <v>1770</v>
      </c>
      <c r="D100" s="62" t="s">
        <v>1842</v>
      </c>
      <c r="E100" s="72" t="s">
        <v>2488</v>
      </c>
      <c r="F100" s="37"/>
    </row>
    <row r="101" ht="15.75" customHeight="1">
      <c r="A101" s="62" t="s">
        <v>211</v>
      </c>
      <c r="B101" s="51" t="s">
        <v>51</v>
      </c>
      <c r="C101" s="62" t="s">
        <v>1770</v>
      </c>
      <c r="D101" s="62" t="s">
        <v>1833</v>
      </c>
      <c r="E101" s="72" t="s">
        <v>2492</v>
      </c>
      <c r="F101" s="37"/>
    </row>
    <row r="102" ht="15.75" customHeight="1">
      <c r="A102" s="62" t="s">
        <v>532</v>
      </c>
      <c r="B102" s="51" t="s">
        <v>51</v>
      </c>
      <c r="C102" s="62" t="s">
        <v>2208</v>
      </c>
      <c r="D102" s="62" t="s">
        <v>1833</v>
      </c>
      <c r="E102" s="139"/>
      <c r="F102" s="37"/>
    </row>
    <row r="103" ht="15.75" customHeight="1">
      <c r="A103" s="62" t="s">
        <v>39</v>
      </c>
      <c r="B103" s="51" t="s">
        <v>51</v>
      </c>
      <c r="C103" s="62" t="s">
        <v>1748</v>
      </c>
      <c r="D103" s="62" t="s">
        <v>1833</v>
      </c>
      <c r="E103" s="72" t="s">
        <v>2497</v>
      </c>
      <c r="F103" s="37"/>
    </row>
    <row r="104" ht="15.75" customHeight="1">
      <c r="A104" s="62" t="s">
        <v>32</v>
      </c>
      <c r="B104" s="51" t="s">
        <v>51</v>
      </c>
      <c r="C104" s="62" t="s">
        <v>1748</v>
      </c>
      <c r="D104" s="62" t="s">
        <v>1842</v>
      </c>
      <c r="E104" s="72" t="s">
        <v>2498</v>
      </c>
      <c r="F104" s="37"/>
    </row>
    <row r="105" ht="15.75" customHeight="1">
      <c r="A105" s="62" t="s">
        <v>174</v>
      </c>
      <c r="B105" s="51" t="s">
        <v>51</v>
      </c>
      <c r="C105" s="62" t="s">
        <v>1748</v>
      </c>
      <c r="D105" s="62" t="s">
        <v>1833</v>
      </c>
      <c r="E105" s="72" t="s">
        <v>2500</v>
      </c>
      <c r="F105" s="37"/>
    </row>
    <row r="106" ht="15.75" customHeight="1">
      <c r="A106" s="62" t="s">
        <v>92</v>
      </c>
      <c r="B106" s="51" t="s">
        <v>603</v>
      </c>
      <c r="C106" s="62" t="s">
        <v>2501</v>
      </c>
      <c r="D106" s="62" t="s">
        <v>1842</v>
      </c>
      <c r="E106" s="72" t="s">
        <v>2504</v>
      </c>
      <c r="F106" s="37"/>
    </row>
    <row r="107" ht="15.75" customHeight="1">
      <c r="A107" s="62" t="s">
        <v>542</v>
      </c>
      <c r="B107" s="51" t="s">
        <v>51</v>
      </c>
      <c r="C107" s="62" t="s">
        <v>1748</v>
      </c>
      <c r="D107" s="62" t="s">
        <v>1842</v>
      </c>
      <c r="E107" s="72" t="s">
        <v>2505</v>
      </c>
      <c r="F107" s="37"/>
    </row>
    <row r="108" ht="15.75" customHeight="1">
      <c r="A108" s="62" t="s">
        <v>283</v>
      </c>
      <c r="B108" s="51" t="s">
        <v>51</v>
      </c>
      <c r="C108" s="62" t="s">
        <v>1748</v>
      </c>
      <c r="D108" s="62" t="s">
        <v>1833</v>
      </c>
      <c r="E108" s="72" t="s">
        <v>2507</v>
      </c>
      <c r="F108" s="37"/>
    </row>
    <row r="109" ht="15.75" customHeight="1">
      <c r="A109" s="62" t="s">
        <v>454</v>
      </c>
      <c r="B109" s="51" t="s">
        <v>51</v>
      </c>
      <c r="C109" s="62" t="s">
        <v>1748</v>
      </c>
      <c r="D109" s="62" t="s">
        <v>1842</v>
      </c>
      <c r="E109" s="72" t="s">
        <v>2509</v>
      </c>
      <c r="F109" s="37"/>
    </row>
    <row r="110" ht="15.75" customHeight="1">
      <c r="A110" s="62" t="s">
        <v>370</v>
      </c>
      <c r="B110" s="51" t="s">
        <v>51</v>
      </c>
      <c r="C110" s="62" t="s">
        <v>1748</v>
      </c>
      <c r="D110" s="62" t="s">
        <v>1833</v>
      </c>
      <c r="E110" s="72" t="s">
        <v>2511</v>
      </c>
      <c r="F110" s="37"/>
    </row>
    <row r="111" ht="15.75" customHeight="1">
      <c r="A111" s="62" t="s">
        <v>21</v>
      </c>
      <c r="B111" s="51" t="s">
        <v>51</v>
      </c>
      <c r="C111" s="62" t="s">
        <v>1784</v>
      </c>
      <c r="D111" s="62" t="s">
        <v>1842</v>
      </c>
      <c r="E111" s="72" t="s">
        <v>2513</v>
      </c>
      <c r="F111" s="37"/>
    </row>
    <row r="112" ht="15.75" customHeight="1">
      <c r="A112" s="62" t="s">
        <v>524</v>
      </c>
      <c r="B112" s="51" t="s">
        <v>603</v>
      </c>
      <c r="C112" s="62" t="s">
        <v>2501</v>
      </c>
      <c r="D112" s="62" t="s">
        <v>1833</v>
      </c>
      <c r="E112" s="145"/>
      <c r="F112" s="37"/>
    </row>
    <row r="113" ht="15.75" customHeight="1">
      <c r="A113" s="62" t="s">
        <v>80</v>
      </c>
      <c r="B113" s="51" t="s">
        <v>51</v>
      </c>
      <c r="C113" s="62" t="s">
        <v>1784</v>
      </c>
      <c r="D113" s="62" t="s">
        <v>1842</v>
      </c>
      <c r="E113" s="72" t="s">
        <v>2516</v>
      </c>
      <c r="F113" s="37"/>
    </row>
    <row r="114" ht="15.75" customHeight="1">
      <c r="A114" s="62" t="s">
        <v>253</v>
      </c>
      <c r="B114" s="51" t="s">
        <v>603</v>
      </c>
      <c r="C114" s="62" t="s">
        <v>2501</v>
      </c>
      <c r="D114" s="62" t="s">
        <v>1833</v>
      </c>
      <c r="E114" s="72"/>
      <c r="F114" s="37"/>
    </row>
    <row r="115" ht="15.75" customHeight="1">
      <c r="A115" s="62" t="s">
        <v>595</v>
      </c>
      <c r="B115" s="51" t="s">
        <v>51</v>
      </c>
      <c r="C115" s="62" t="s">
        <v>1748</v>
      </c>
      <c r="D115" s="62" t="s">
        <v>1833</v>
      </c>
      <c r="E115" s="72" t="s">
        <v>2521</v>
      </c>
      <c r="F115" s="37"/>
    </row>
    <row r="116" ht="15.75" customHeight="1">
      <c r="A116" s="62" t="s">
        <v>653</v>
      </c>
      <c r="B116" s="51" t="s">
        <v>603</v>
      </c>
      <c r="C116" s="62" t="s">
        <v>1756</v>
      </c>
      <c r="D116" s="62" t="s">
        <v>1833</v>
      </c>
      <c r="E116" s="72" t="s">
        <v>2524</v>
      </c>
      <c r="F116" s="37"/>
    </row>
    <row r="117" ht="15.75" customHeight="1">
      <c r="A117" s="62" t="s">
        <v>1246</v>
      </c>
      <c r="B117" s="51" t="s">
        <v>603</v>
      </c>
      <c r="C117" s="62" t="s">
        <v>1756</v>
      </c>
      <c r="D117" s="62" t="s">
        <v>1842</v>
      </c>
      <c r="E117" s="72" t="s">
        <v>2528</v>
      </c>
      <c r="F117" s="37"/>
    </row>
    <row r="118" ht="15.75" customHeight="1">
      <c r="A118" s="62" t="s">
        <v>120</v>
      </c>
      <c r="B118" s="51" t="s">
        <v>603</v>
      </c>
      <c r="C118" s="62" t="s">
        <v>1758</v>
      </c>
      <c r="D118" s="62" t="s">
        <v>1842</v>
      </c>
      <c r="E118" s="72" t="s">
        <v>2532</v>
      </c>
      <c r="F118" s="37"/>
    </row>
    <row r="119" ht="15.75" customHeight="1">
      <c r="A119" s="62" t="s">
        <v>240</v>
      </c>
      <c r="B119" s="51" t="s">
        <v>603</v>
      </c>
      <c r="C119" s="62" t="s">
        <v>1758</v>
      </c>
      <c r="D119" s="62" t="s">
        <v>1833</v>
      </c>
      <c r="E119" s="145"/>
      <c r="F119" s="37"/>
    </row>
    <row r="120" ht="15.75" customHeight="1">
      <c r="A120" s="62" t="s">
        <v>284</v>
      </c>
      <c r="B120" s="51" t="s">
        <v>51</v>
      </c>
      <c r="C120" s="62" t="s">
        <v>1748</v>
      </c>
      <c r="D120" s="62" t="s">
        <v>1833</v>
      </c>
      <c r="E120" s="72" t="s">
        <v>2536</v>
      </c>
      <c r="F120" s="37"/>
    </row>
    <row r="121" ht="15.75" customHeight="1">
      <c r="A121" s="62" t="s">
        <v>201</v>
      </c>
      <c r="B121" s="51" t="s">
        <v>51</v>
      </c>
      <c r="C121" s="62" t="s">
        <v>1748</v>
      </c>
      <c r="D121" s="62" t="s">
        <v>1842</v>
      </c>
      <c r="E121" s="72" t="s">
        <v>2541</v>
      </c>
      <c r="F121" s="37"/>
    </row>
    <row r="122" ht="15.75" customHeight="1">
      <c r="A122" s="62" t="s">
        <v>1172</v>
      </c>
      <c r="B122" s="51" t="s">
        <v>51</v>
      </c>
      <c r="C122" s="62" t="s">
        <v>1748</v>
      </c>
      <c r="D122" s="62" t="s">
        <v>1842</v>
      </c>
      <c r="E122" s="72" t="s">
        <v>2543</v>
      </c>
      <c r="F122" s="37"/>
    </row>
    <row r="123" ht="15.75" customHeight="1">
      <c r="A123" s="62" t="s">
        <v>551</v>
      </c>
      <c r="B123" s="51" t="s">
        <v>51</v>
      </c>
      <c r="C123" s="62" t="s">
        <v>1748</v>
      </c>
      <c r="D123" s="62" t="s">
        <v>1842</v>
      </c>
      <c r="E123" s="72" t="s">
        <v>2544</v>
      </c>
      <c r="F123" s="37"/>
    </row>
    <row r="124" ht="15.75" customHeight="1">
      <c r="A124" s="62" t="s">
        <v>745</v>
      </c>
      <c r="B124" s="51" t="s">
        <v>603</v>
      </c>
      <c r="C124" s="62" t="s">
        <v>1754</v>
      </c>
      <c r="D124" s="62" t="s">
        <v>1842</v>
      </c>
      <c r="E124" s="72" t="s">
        <v>2548</v>
      </c>
      <c r="F124" s="37"/>
    </row>
    <row r="125" ht="15.75" customHeight="1">
      <c r="A125" s="62" t="s">
        <v>442</v>
      </c>
      <c r="B125" s="51" t="s">
        <v>603</v>
      </c>
      <c r="C125" s="62" t="s">
        <v>1754</v>
      </c>
      <c r="D125" s="62" t="s">
        <v>1842</v>
      </c>
      <c r="E125" s="72" t="s">
        <v>2553</v>
      </c>
      <c r="F125" s="37"/>
    </row>
    <row r="126" ht="15.75" customHeight="1">
      <c r="A126" s="62" t="s">
        <v>182</v>
      </c>
      <c r="B126" s="51" t="s">
        <v>51</v>
      </c>
      <c r="C126" s="62" t="s">
        <v>1748</v>
      </c>
      <c r="D126" s="62" t="s">
        <v>1833</v>
      </c>
      <c r="E126" s="72" t="s">
        <v>2555</v>
      </c>
      <c r="F126" s="37"/>
    </row>
    <row r="127" ht="15.75" customHeight="1">
      <c r="A127" s="62" t="s">
        <v>792</v>
      </c>
      <c r="B127" s="51" t="s">
        <v>51</v>
      </c>
      <c r="C127" s="62" t="s">
        <v>1748</v>
      </c>
      <c r="D127" s="62" t="s">
        <v>1842</v>
      </c>
      <c r="E127" s="72" t="s">
        <v>2556</v>
      </c>
      <c r="F127" s="37"/>
    </row>
    <row r="128" ht="15.75" customHeight="1">
      <c r="A128" s="62" t="s">
        <v>365</v>
      </c>
      <c r="B128" s="51" t="s">
        <v>51</v>
      </c>
      <c r="C128" s="62" t="s">
        <v>1748</v>
      </c>
      <c r="D128" s="62" t="s">
        <v>1833</v>
      </c>
      <c r="E128" s="72" t="s">
        <v>2558</v>
      </c>
      <c r="F128" s="37"/>
    </row>
    <row r="129" ht="15.75" customHeight="1">
      <c r="A129" s="62" t="s">
        <v>150</v>
      </c>
      <c r="B129" s="51" t="s">
        <v>51</v>
      </c>
      <c r="C129" s="62" t="s">
        <v>1748</v>
      </c>
      <c r="D129" s="62" t="s">
        <v>1842</v>
      </c>
      <c r="E129" s="72" t="s">
        <v>2559</v>
      </c>
      <c r="F129" s="37"/>
    </row>
    <row r="130" ht="15.75" customHeight="1">
      <c r="A130" s="62" t="s">
        <v>240</v>
      </c>
      <c r="B130" s="51" t="s">
        <v>603</v>
      </c>
      <c r="C130" s="62" t="s">
        <v>1752</v>
      </c>
      <c r="D130" s="62" t="s">
        <v>1842</v>
      </c>
      <c r="E130" s="72" t="s">
        <v>2562</v>
      </c>
      <c r="F130" s="37"/>
    </row>
    <row r="131" ht="15.75" customHeight="1">
      <c r="A131" s="62" t="s">
        <v>524</v>
      </c>
      <c r="B131" s="51" t="s">
        <v>603</v>
      </c>
      <c r="C131" s="62" t="s">
        <v>1754</v>
      </c>
      <c r="D131" s="62" t="s">
        <v>1842</v>
      </c>
      <c r="E131" s="72" t="s">
        <v>2565</v>
      </c>
      <c r="F131" s="37"/>
    </row>
    <row r="132" ht="15.75" customHeight="1">
      <c r="A132" s="62" t="s">
        <v>99</v>
      </c>
      <c r="B132" s="51" t="s">
        <v>51</v>
      </c>
      <c r="C132" s="62" t="s">
        <v>1784</v>
      </c>
      <c r="D132" s="62" t="s">
        <v>2156</v>
      </c>
      <c r="E132" s="145"/>
      <c r="F132" s="37"/>
    </row>
    <row r="133" ht="15.75" customHeight="1">
      <c r="A133" s="62" t="s">
        <v>149</v>
      </c>
      <c r="B133" s="51" t="s">
        <v>51</v>
      </c>
      <c r="C133" s="62" t="s">
        <v>1784</v>
      </c>
      <c r="D133" s="62" t="s">
        <v>2156</v>
      </c>
      <c r="E133" s="145"/>
      <c r="F133" s="37"/>
    </row>
    <row r="134" ht="15.75" customHeight="1">
      <c r="A134" s="62" t="s">
        <v>128</v>
      </c>
      <c r="B134" s="51" t="s">
        <v>51</v>
      </c>
      <c r="C134" s="62" t="s">
        <v>1784</v>
      </c>
      <c r="D134" s="62" t="s">
        <v>1842</v>
      </c>
      <c r="E134" s="72" t="s">
        <v>2569</v>
      </c>
      <c r="F134" s="37"/>
    </row>
    <row r="135" ht="15.75" customHeight="1">
      <c r="A135" s="62" t="s">
        <v>425</v>
      </c>
      <c r="B135" s="51" t="s">
        <v>51</v>
      </c>
      <c r="C135" s="62" t="s">
        <v>1748</v>
      </c>
      <c r="D135" s="62" t="s">
        <v>1833</v>
      </c>
      <c r="E135" s="72" t="s">
        <v>2571</v>
      </c>
      <c r="F135" s="37"/>
    </row>
    <row r="136" ht="15.75" customHeight="1">
      <c r="A136" s="62" t="s">
        <v>473</v>
      </c>
      <c r="B136" s="51" t="s">
        <v>51</v>
      </c>
      <c r="C136" s="62" t="s">
        <v>1748</v>
      </c>
      <c r="D136" s="62" t="s">
        <v>1842</v>
      </c>
      <c r="E136" s="72" t="s">
        <v>2573</v>
      </c>
      <c r="F136" s="37"/>
    </row>
    <row r="137" ht="15.75" customHeight="1">
      <c r="A137" s="62" t="s">
        <v>174</v>
      </c>
      <c r="B137" s="51" t="s">
        <v>51</v>
      </c>
      <c r="C137" s="62" t="s">
        <v>1748</v>
      </c>
      <c r="D137" s="62" t="s">
        <v>1842</v>
      </c>
      <c r="E137" s="72" t="s">
        <v>2574</v>
      </c>
      <c r="F137" s="37"/>
    </row>
    <row r="138" ht="15.75" customHeight="1">
      <c r="A138" s="62" t="s">
        <v>66</v>
      </c>
      <c r="B138" s="51" t="s">
        <v>51</v>
      </c>
      <c r="C138" s="62" t="s">
        <v>2208</v>
      </c>
      <c r="D138" s="62" t="s">
        <v>1833</v>
      </c>
      <c r="E138" s="72" t="s">
        <v>2577</v>
      </c>
      <c r="F138" s="37"/>
    </row>
    <row r="139" ht="15.75" customHeight="1">
      <c r="A139" s="62" t="s">
        <v>76</v>
      </c>
      <c r="B139" s="51" t="s">
        <v>51</v>
      </c>
      <c r="C139" s="62" t="s">
        <v>1770</v>
      </c>
      <c r="D139" s="62" t="s">
        <v>2156</v>
      </c>
      <c r="E139" s="139"/>
      <c r="F139" s="37"/>
    </row>
    <row r="140" ht="15.75" customHeight="1">
      <c r="A140" s="62" t="s">
        <v>34</v>
      </c>
      <c r="B140" s="51" t="s">
        <v>51</v>
      </c>
      <c r="C140" s="62" t="s">
        <v>2208</v>
      </c>
      <c r="D140" s="62" t="s">
        <v>1833</v>
      </c>
      <c r="E140" s="139"/>
      <c r="F140" s="37"/>
    </row>
    <row r="141" ht="15.75" customHeight="1">
      <c r="A141" s="62" t="s">
        <v>26</v>
      </c>
      <c r="B141" s="51" t="s">
        <v>51</v>
      </c>
      <c r="C141" s="62" t="s">
        <v>1770</v>
      </c>
      <c r="D141" s="62" t="s">
        <v>1842</v>
      </c>
      <c r="E141" s="72" t="s">
        <v>2581</v>
      </c>
      <c r="F141" s="37"/>
    </row>
    <row r="142" ht="15.75" customHeight="1">
      <c r="A142" s="62" t="s">
        <v>108</v>
      </c>
      <c r="B142" s="51" t="s">
        <v>51</v>
      </c>
      <c r="C142" s="62" t="s">
        <v>1770</v>
      </c>
      <c r="D142" s="62" t="s">
        <v>1833</v>
      </c>
      <c r="E142" s="72" t="s">
        <v>2584</v>
      </c>
      <c r="F142" s="37"/>
    </row>
    <row r="143" ht="15.75" customHeight="1">
      <c r="A143" s="62" t="s">
        <v>229</v>
      </c>
      <c r="B143" s="51" t="s">
        <v>51</v>
      </c>
      <c r="C143" s="62" t="s">
        <v>1770</v>
      </c>
      <c r="D143" s="62" t="s">
        <v>1842</v>
      </c>
      <c r="E143" s="72" t="s">
        <v>2587</v>
      </c>
      <c r="F143" s="37"/>
    </row>
    <row r="144" ht="15.75" customHeight="1">
      <c r="A144" s="62" t="s">
        <v>476</v>
      </c>
      <c r="B144" s="51" t="s">
        <v>51</v>
      </c>
      <c r="C144" s="62" t="s">
        <v>1748</v>
      </c>
      <c r="D144" s="62" t="s">
        <v>1833</v>
      </c>
      <c r="E144" s="72" t="s">
        <v>2589</v>
      </c>
      <c r="F144" s="37"/>
    </row>
    <row r="145" ht="15.75" customHeight="1">
      <c r="A145" s="62" t="s">
        <v>113</v>
      </c>
      <c r="B145" s="51" t="s">
        <v>51</v>
      </c>
      <c r="C145" s="62" t="s">
        <v>1748</v>
      </c>
      <c r="D145" s="62" t="s">
        <v>1842</v>
      </c>
      <c r="E145" s="72" t="s">
        <v>2590</v>
      </c>
      <c r="F145" s="37"/>
    </row>
    <row r="146" ht="15.75" customHeight="1">
      <c r="A146" s="62" t="s">
        <v>246</v>
      </c>
      <c r="B146" s="51" t="s">
        <v>51</v>
      </c>
      <c r="C146" s="62" t="s">
        <v>1748</v>
      </c>
      <c r="D146" s="62" t="s">
        <v>2156</v>
      </c>
      <c r="E146" s="145"/>
      <c r="F146" s="37"/>
    </row>
    <row r="147" ht="15.75" customHeight="1">
      <c r="A147" s="62" t="s">
        <v>355</v>
      </c>
      <c r="B147" s="51" t="s">
        <v>51</v>
      </c>
      <c r="C147" s="62" t="s">
        <v>1748</v>
      </c>
      <c r="D147" s="62" t="s">
        <v>1842</v>
      </c>
      <c r="E147" s="72" t="s">
        <v>2592</v>
      </c>
      <c r="F147" s="37"/>
    </row>
    <row r="148" ht="15.75" customHeight="1">
      <c r="A148" s="62" t="s">
        <v>362</v>
      </c>
      <c r="B148" s="51" t="s">
        <v>603</v>
      </c>
      <c r="C148" s="62" t="s">
        <v>1761</v>
      </c>
      <c r="D148" s="62" t="s">
        <v>1833</v>
      </c>
      <c r="E148" s="72" t="s">
        <v>2621</v>
      </c>
      <c r="F148" s="37"/>
    </row>
    <row r="149" ht="15.75" customHeight="1">
      <c r="A149" s="62" t="s">
        <v>546</v>
      </c>
      <c r="B149" s="51" t="s">
        <v>603</v>
      </c>
      <c r="C149" s="62" t="s">
        <v>1761</v>
      </c>
      <c r="D149" s="62" t="s">
        <v>1842</v>
      </c>
      <c r="E149" s="72" t="s">
        <v>2622</v>
      </c>
      <c r="F149" s="37"/>
    </row>
    <row r="150" ht="15.75" customHeight="1">
      <c r="A150" s="62" t="s">
        <v>421</v>
      </c>
      <c r="B150" s="51" t="s">
        <v>603</v>
      </c>
      <c r="C150" s="62" t="s">
        <v>1754</v>
      </c>
      <c r="D150" s="62" t="s">
        <v>1833</v>
      </c>
      <c r="E150" s="72" t="s">
        <v>2599</v>
      </c>
      <c r="F150" s="37"/>
    </row>
    <row r="151" ht="15.75" customHeight="1">
      <c r="A151" s="62" t="s">
        <v>276</v>
      </c>
      <c r="B151" s="51" t="s">
        <v>603</v>
      </c>
      <c r="C151" s="62" t="s">
        <v>1754</v>
      </c>
      <c r="D151" s="62" t="s">
        <v>1842</v>
      </c>
      <c r="E151" s="72" t="s">
        <v>2601</v>
      </c>
      <c r="F151" s="37"/>
    </row>
    <row r="152" ht="15.75" customHeight="1">
      <c r="A152" s="62" t="s">
        <v>1181</v>
      </c>
      <c r="B152" s="51" t="s">
        <v>51</v>
      </c>
      <c r="C152" s="62" t="s">
        <v>1748</v>
      </c>
      <c r="D152" s="62" t="s">
        <v>1842</v>
      </c>
      <c r="E152" s="72" t="s">
        <v>2603</v>
      </c>
      <c r="F152" s="37"/>
    </row>
    <row r="153" ht="15.75" customHeight="1">
      <c r="A153" s="62" t="s">
        <v>156</v>
      </c>
      <c r="B153" s="51" t="s">
        <v>51</v>
      </c>
      <c r="C153" s="62" t="s">
        <v>1748</v>
      </c>
      <c r="D153" s="62" t="s">
        <v>1833</v>
      </c>
      <c r="E153" s="72" t="s">
        <v>2606</v>
      </c>
      <c r="F153" s="37"/>
    </row>
    <row r="154" ht="15.75" customHeight="1">
      <c r="A154" s="62" t="s">
        <v>299</v>
      </c>
      <c r="B154" s="51" t="s">
        <v>51</v>
      </c>
      <c r="C154" s="62" t="s">
        <v>1748</v>
      </c>
      <c r="D154" s="62" t="s">
        <v>1842</v>
      </c>
      <c r="E154" s="72" t="s">
        <v>2607</v>
      </c>
      <c r="F154" s="37"/>
    </row>
    <row r="155" ht="15.75" customHeight="1">
      <c r="A155" s="62" t="s">
        <v>105</v>
      </c>
      <c r="B155" s="51" t="s">
        <v>51</v>
      </c>
      <c r="C155" s="62" t="s">
        <v>1748</v>
      </c>
      <c r="D155" s="62" t="s">
        <v>1842</v>
      </c>
      <c r="E155" s="72" t="s">
        <v>2608</v>
      </c>
      <c r="F155" s="37"/>
    </row>
    <row r="156" ht="15.75" customHeight="1">
      <c r="A156" s="62" t="s">
        <v>1074</v>
      </c>
      <c r="B156" s="51" t="s">
        <v>51</v>
      </c>
      <c r="C156" s="62" t="s">
        <v>1748</v>
      </c>
      <c r="D156" s="62" t="s">
        <v>1842</v>
      </c>
      <c r="E156" s="72" t="s">
        <v>2609</v>
      </c>
      <c r="F156" s="37"/>
    </row>
    <row r="157" ht="15.75" customHeight="1">
      <c r="A157" s="62" t="s">
        <v>68</v>
      </c>
      <c r="B157" s="51" t="s">
        <v>51</v>
      </c>
      <c r="C157" s="62" t="s">
        <v>1748</v>
      </c>
      <c r="D157" s="62" t="s">
        <v>1833</v>
      </c>
      <c r="E157" s="72" t="s">
        <v>2611</v>
      </c>
      <c r="F157" s="37"/>
    </row>
    <row r="158" ht="15.75" customHeight="1">
      <c r="A158" s="62" t="s">
        <v>1156</v>
      </c>
      <c r="B158" s="51" t="s">
        <v>51</v>
      </c>
      <c r="C158" s="62" t="s">
        <v>1748</v>
      </c>
      <c r="D158" s="62" t="s">
        <v>1842</v>
      </c>
      <c r="E158" s="72" t="s">
        <v>2615</v>
      </c>
      <c r="F158" s="37"/>
    </row>
    <row r="159" ht="15.75" customHeight="1">
      <c r="A159" s="62" t="s">
        <v>414</v>
      </c>
      <c r="B159" s="51" t="s">
        <v>51</v>
      </c>
      <c r="C159" s="62" t="s">
        <v>1784</v>
      </c>
      <c r="D159" s="62" t="s">
        <v>1842</v>
      </c>
      <c r="E159" s="72" t="s">
        <v>2619</v>
      </c>
      <c r="F159" s="37"/>
    </row>
    <row r="160" ht="15.75" customHeight="1">
      <c r="A160" s="62" t="s">
        <v>656</v>
      </c>
      <c r="B160" s="51" t="s">
        <v>51</v>
      </c>
      <c r="C160" s="62" t="s">
        <v>1784</v>
      </c>
      <c r="D160" s="62" t="s">
        <v>1842</v>
      </c>
      <c r="E160" s="72" t="s">
        <v>2620</v>
      </c>
      <c r="F160" s="37"/>
    </row>
    <row r="161" ht="15.75" customHeight="1">
      <c r="A161" s="62" t="s">
        <v>89</v>
      </c>
      <c r="B161" s="51" t="s">
        <v>51</v>
      </c>
      <c r="C161" s="62" t="s">
        <v>1782</v>
      </c>
      <c r="D161" s="62" t="s">
        <v>1833</v>
      </c>
      <c r="E161" s="145"/>
      <c r="F161" s="37"/>
    </row>
    <row r="162" ht="15.75" customHeight="1">
      <c r="A162" s="62" t="s">
        <v>149</v>
      </c>
      <c r="B162" s="51" t="s">
        <v>51</v>
      </c>
      <c r="C162" s="62" t="s">
        <v>1782</v>
      </c>
      <c r="D162" s="62" t="s">
        <v>1833</v>
      </c>
      <c r="E162" s="145"/>
      <c r="F162" s="37"/>
    </row>
    <row r="163" ht="15.75" customHeight="1">
      <c r="A163" s="62" t="s">
        <v>183</v>
      </c>
      <c r="B163" s="51" t="s">
        <v>603</v>
      </c>
      <c r="C163" s="62" t="s">
        <v>1752</v>
      </c>
      <c r="D163" s="62" t="s">
        <v>1842</v>
      </c>
      <c r="E163" s="72" t="s">
        <v>2625</v>
      </c>
      <c r="F163" s="37"/>
    </row>
    <row r="164" ht="15.75" customHeight="1">
      <c r="A164" s="62" t="s">
        <v>653</v>
      </c>
      <c r="B164" s="51" t="s">
        <v>603</v>
      </c>
      <c r="C164" s="62" t="s">
        <v>1752</v>
      </c>
      <c r="D164" s="62" t="s">
        <v>1833</v>
      </c>
      <c r="E164" s="72" t="s">
        <v>2627</v>
      </c>
      <c r="F164" s="37"/>
    </row>
    <row r="165" ht="15.75" customHeight="1">
      <c r="A165" s="62" t="s">
        <v>793</v>
      </c>
      <c r="B165" s="51" t="s">
        <v>51</v>
      </c>
      <c r="C165" s="62" t="s">
        <v>1784</v>
      </c>
      <c r="D165" s="62" t="s">
        <v>1833</v>
      </c>
      <c r="E165" s="72" t="s">
        <v>2630</v>
      </c>
      <c r="F165" s="37"/>
    </row>
    <row r="166" ht="15.75" customHeight="1">
      <c r="A166" s="62" t="s">
        <v>87</v>
      </c>
      <c r="B166" s="51" t="s">
        <v>51</v>
      </c>
      <c r="C166" s="62" t="s">
        <v>1748</v>
      </c>
      <c r="D166" s="62" t="s">
        <v>1842</v>
      </c>
      <c r="E166" s="72" t="s">
        <v>2631</v>
      </c>
      <c r="F166" s="37"/>
    </row>
    <row r="167" ht="15.75" customHeight="1">
      <c r="A167" s="62" t="s">
        <v>211</v>
      </c>
      <c r="B167" s="51" t="s">
        <v>51</v>
      </c>
      <c r="C167" s="62" t="s">
        <v>1748</v>
      </c>
      <c r="D167" s="62" t="s">
        <v>1842</v>
      </c>
      <c r="E167" s="72" t="s">
        <v>2632</v>
      </c>
      <c r="F167" s="37"/>
    </row>
    <row r="168" ht="15.75" customHeight="1">
      <c r="A168" s="62" t="s">
        <v>99</v>
      </c>
      <c r="B168" s="51" t="s">
        <v>51</v>
      </c>
      <c r="C168" s="62" t="s">
        <v>1748</v>
      </c>
      <c r="D168" s="62" t="s">
        <v>1842</v>
      </c>
      <c r="E168" s="72" t="s">
        <v>2633</v>
      </c>
      <c r="F168" s="37"/>
    </row>
    <row r="169" ht="15.75" customHeight="1">
      <c r="A169" s="62" t="s">
        <v>1294</v>
      </c>
      <c r="B169" s="51" t="s">
        <v>51</v>
      </c>
      <c r="C169" s="62" t="s">
        <v>1748</v>
      </c>
      <c r="D169" s="62" t="s">
        <v>1842</v>
      </c>
      <c r="E169" s="72" t="s">
        <v>2635</v>
      </c>
      <c r="F169" s="37"/>
    </row>
    <row r="170" ht="15.75" customHeight="1">
      <c r="A170" s="62" t="s">
        <v>1266</v>
      </c>
      <c r="B170" s="51" t="s">
        <v>51</v>
      </c>
      <c r="C170" s="62" t="s">
        <v>1748</v>
      </c>
      <c r="D170" s="62" t="s">
        <v>1833</v>
      </c>
      <c r="E170" s="72" t="s">
        <v>2636</v>
      </c>
      <c r="F170" s="37"/>
    </row>
    <row r="171" ht="15.75" customHeight="1">
      <c r="A171" s="62" t="s">
        <v>855</v>
      </c>
      <c r="B171" s="51" t="s">
        <v>51</v>
      </c>
      <c r="C171" s="62" t="s">
        <v>1748</v>
      </c>
      <c r="D171" s="62" t="s">
        <v>1842</v>
      </c>
      <c r="E171" s="72" t="s">
        <v>2637</v>
      </c>
      <c r="F171" s="37"/>
    </row>
    <row r="172" ht="15.75" customHeight="1">
      <c r="A172" s="62" t="s">
        <v>564</v>
      </c>
      <c r="B172" s="51" t="s">
        <v>51</v>
      </c>
      <c r="C172" s="62" t="s">
        <v>1748</v>
      </c>
      <c r="D172" s="62" t="s">
        <v>1842</v>
      </c>
      <c r="E172" s="72" t="s">
        <v>2638</v>
      </c>
      <c r="F172" s="37"/>
    </row>
    <row r="173" ht="15.75" customHeight="1">
      <c r="A173" s="62" t="s">
        <v>143</v>
      </c>
      <c r="B173" s="51" t="s">
        <v>51</v>
      </c>
      <c r="C173" s="62" t="s">
        <v>1748</v>
      </c>
      <c r="D173" s="62" t="s">
        <v>1842</v>
      </c>
      <c r="E173" s="72" t="s">
        <v>2639</v>
      </c>
      <c r="F173" s="37"/>
    </row>
    <row r="174" ht="15.75" customHeight="1">
      <c r="A174" s="62" t="s">
        <v>512</v>
      </c>
      <c r="B174" s="51" t="s">
        <v>51</v>
      </c>
      <c r="C174" s="62" t="s">
        <v>1782</v>
      </c>
      <c r="D174" s="62" t="s">
        <v>1833</v>
      </c>
      <c r="E174" s="139"/>
      <c r="F174" s="37"/>
    </row>
    <row r="175" ht="15.75" customHeight="1">
      <c r="A175" s="62" t="s">
        <v>683</v>
      </c>
      <c r="B175" s="51" t="s">
        <v>51</v>
      </c>
      <c r="C175" s="62" t="s">
        <v>1782</v>
      </c>
      <c r="D175" s="62" t="s">
        <v>1842</v>
      </c>
      <c r="E175" s="139"/>
      <c r="F175" s="37"/>
    </row>
    <row r="176" ht="15.75" customHeight="1">
      <c r="A176" s="62" t="s">
        <v>611</v>
      </c>
      <c r="B176" s="51" t="s">
        <v>603</v>
      </c>
      <c r="C176" s="62" t="s">
        <v>1752</v>
      </c>
      <c r="D176" s="62" t="s">
        <v>1833</v>
      </c>
      <c r="E176" s="72" t="s">
        <v>2641</v>
      </c>
      <c r="F176" s="37"/>
    </row>
    <row r="177" ht="15.75" customHeight="1">
      <c r="A177" s="62" t="s">
        <v>451</v>
      </c>
      <c r="B177" s="51" t="s">
        <v>603</v>
      </c>
      <c r="C177" s="62" t="s">
        <v>1752</v>
      </c>
      <c r="D177" s="62" t="s">
        <v>1842</v>
      </c>
      <c r="E177" s="72" t="s">
        <v>2642</v>
      </c>
      <c r="F177" s="37"/>
    </row>
    <row r="178" ht="15.75" customHeight="1">
      <c r="A178" s="62" t="s">
        <v>253</v>
      </c>
      <c r="B178" s="51" t="s">
        <v>603</v>
      </c>
      <c r="C178" s="62" t="s">
        <v>1761</v>
      </c>
      <c r="D178" s="62" t="s">
        <v>1842</v>
      </c>
      <c r="E178" s="72" t="s">
        <v>2645</v>
      </c>
      <c r="F178" s="37"/>
    </row>
    <row r="179" ht="15.75" customHeight="1">
      <c r="A179" s="62" t="s">
        <v>18</v>
      </c>
      <c r="B179" s="51" t="s">
        <v>51</v>
      </c>
      <c r="C179" s="62" t="s">
        <v>1748</v>
      </c>
      <c r="D179" s="62" t="s">
        <v>1833</v>
      </c>
      <c r="E179" s="72" t="s">
        <v>2646</v>
      </c>
      <c r="F179" s="37"/>
    </row>
    <row r="180" ht="15.75" customHeight="1">
      <c r="A180" s="62" t="s">
        <v>60</v>
      </c>
      <c r="B180" s="51" t="s">
        <v>51</v>
      </c>
      <c r="C180" s="62" t="s">
        <v>1748</v>
      </c>
      <c r="D180" s="62" t="s">
        <v>1842</v>
      </c>
      <c r="E180" s="72" t="s">
        <v>2647</v>
      </c>
      <c r="F180" s="37"/>
    </row>
    <row r="181" ht="15.75" customHeight="1">
      <c r="A181" s="62" t="s">
        <v>142</v>
      </c>
      <c r="B181" s="51" t="s">
        <v>51</v>
      </c>
      <c r="C181" s="62" t="s">
        <v>1748</v>
      </c>
      <c r="D181" s="62" t="s">
        <v>1833</v>
      </c>
      <c r="E181" s="72" t="s">
        <v>2648</v>
      </c>
      <c r="F181" s="37"/>
    </row>
    <row r="182" ht="15.75" customHeight="1">
      <c r="A182" s="62" t="s">
        <v>969</v>
      </c>
      <c r="B182" s="51" t="s">
        <v>51</v>
      </c>
      <c r="C182" s="62" t="s">
        <v>1748</v>
      </c>
      <c r="D182" s="62" t="s">
        <v>1842</v>
      </c>
      <c r="E182" s="72" t="s">
        <v>2649</v>
      </c>
      <c r="F182" s="37"/>
    </row>
    <row r="183" ht="15.75" customHeight="1">
      <c r="A183" s="62" t="s">
        <v>373</v>
      </c>
      <c r="B183" s="51" t="s">
        <v>51</v>
      </c>
      <c r="C183" s="62" t="s">
        <v>1748</v>
      </c>
      <c r="D183" s="62" t="s">
        <v>1842</v>
      </c>
      <c r="E183" s="72" t="s">
        <v>2650</v>
      </c>
      <c r="F183" s="37"/>
    </row>
    <row r="184" ht="15.75" customHeight="1">
      <c r="A184" s="62" t="s">
        <v>893</v>
      </c>
      <c r="B184" s="51" t="s">
        <v>51</v>
      </c>
      <c r="C184" s="62" t="s">
        <v>1748</v>
      </c>
      <c r="D184" s="62" t="s">
        <v>1842</v>
      </c>
      <c r="E184" s="72" t="s">
        <v>2651</v>
      </c>
      <c r="F184" s="37"/>
    </row>
    <row r="185" ht="15.75" customHeight="1">
      <c r="A185" s="62" t="s">
        <v>212</v>
      </c>
      <c r="B185" s="51" t="s">
        <v>51</v>
      </c>
      <c r="C185" s="62" t="s">
        <v>1748</v>
      </c>
      <c r="D185" s="62" t="s">
        <v>1833</v>
      </c>
      <c r="E185" s="72" t="s">
        <v>2652</v>
      </c>
      <c r="F185" s="37"/>
    </row>
    <row r="186" ht="15.75" customHeight="1">
      <c r="A186" s="62" t="s">
        <v>1087</v>
      </c>
      <c r="B186" s="62" t="s">
        <v>51</v>
      </c>
      <c r="C186" s="62" t="s">
        <v>1748</v>
      </c>
      <c r="D186" s="62" t="s">
        <v>1842</v>
      </c>
      <c r="E186" s="72" t="s">
        <v>2653</v>
      </c>
      <c r="F186" s="37"/>
    </row>
    <row r="187" ht="15.75" customHeight="1">
      <c r="A187" s="62" t="s">
        <v>907</v>
      </c>
      <c r="B187" s="51" t="s">
        <v>51</v>
      </c>
      <c r="C187" s="62" t="s">
        <v>1770</v>
      </c>
      <c r="D187" s="62" t="s">
        <v>1842</v>
      </c>
      <c r="E187" s="72" t="s">
        <v>2654</v>
      </c>
      <c r="F187" s="37"/>
    </row>
    <row r="188" ht="15.75" customHeight="1">
      <c r="A188" s="62" t="s">
        <v>468</v>
      </c>
      <c r="B188" s="51" t="s">
        <v>51</v>
      </c>
      <c r="C188" s="62" t="s">
        <v>1770</v>
      </c>
      <c r="D188" s="62" t="s">
        <v>2156</v>
      </c>
      <c r="E188" s="139"/>
      <c r="F188" s="37"/>
    </row>
    <row r="189" ht="15.75" customHeight="1">
      <c r="A189" s="62" t="s">
        <v>57</v>
      </c>
      <c r="B189" s="51" t="s">
        <v>51</v>
      </c>
      <c r="C189" s="62" t="s">
        <v>2208</v>
      </c>
      <c r="D189" s="62" t="s">
        <v>1842</v>
      </c>
      <c r="E189" s="72" t="s">
        <v>2655</v>
      </c>
      <c r="F189" s="37"/>
    </row>
    <row r="190" ht="15.75" customHeight="1">
      <c r="A190" s="62" t="s">
        <v>560</v>
      </c>
      <c r="B190" s="51" t="s">
        <v>51</v>
      </c>
      <c r="C190" s="62" t="s">
        <v>1770</v>
      </c>
      <c r="D190" s="62" t="s">
        <v>1833</v>
      </c>
      <c r="E190" s="72" t="s">
        <v>2656</v>
      </c>
      <c r="F190" s="37"/>
    </row>
    <row r="191" ht="15.75" customHeight="1">
      <c r="A191" s="62" t="s">
        <v>1100</v>
      </c>
      <c r="B191" s="51" t="s">
        <v>51</v>
      </c>
      <c r="C191" s="62" t="s">
        <v>1770</v>
      </c>
      <c r="D191" s="62" t="s">
        <v>2156</v>
      </c>
      <c r="E191" s="139"/>
      <c r="F191" s="37"/>
    </row>
    <row r="192" ht="15.75" customHeight="1">
      <c r="A192" s="62" t="s">
        <v>226</v>
      </c>
      <c r="B192" s="51" t="s">
        <v>51</v>
      </c>
      <c r="C192" s="62" t="s">
        <v>2208</v>
      </c>
      <c r="D192" s="62" t="s">
        <v>1842</v>
      </c>
      <c r="E192" s="72" t="s">
        <v>2657</v>
      </c>
      <c r="F192" s="37"/>
    </row>
    <row r="193" ht="15.75" customHeight="1">
      <c r="A193" s="62" t="s">
        <v>289</v>
      </c>
      <c r="B193" s="51" t="s">
        <v>51</v>
      </c>
      <c r="C193" s="62" t="s">
        <v>1775</v>
      </c>
      <c r="D193" s="62" t="s">
        <v>1833</v>
      </c>
      <c r="E193" s="72" t="s">
        <v>2658</v>
      </c>
      <c r="F193" s="37"/>
    </row>
    <row r="194" ht="15.75" customHeight="1">
      <c r="A194" s="62" t="s">
        <v>774</v>
      </c>
      <c r="B194" s="62" t="s">
        <v>51</v>
      </c>
      <c r="C194" s="62" t="s">
        <v>1772</v>
      </c>
      <c r="D194" s="62" t="s">
        <v>1842</v>
      </c>
      <c r="E194" s="72" t="s">
        <v>2660</v>
      </c>
      <c r="F194" s="37"/>
    </row>
    <row r="195" ht="15.75" customHeight="1">
      <c r="A195" s="62" t="s">
        <v>337</v>
      </c>
      <c r="B195" s="62" t="s">
        <v>51</v>
      </c>
      <c r="C195" s="62" t="s">
        <v>1772</v>
      </c>
      <c r="D195" s="62" t="s">
        <v>1833</v>
      </c>
      <c r="E195" s="72" t="s">
        <v>2661</v>
      </c>
      <c r="F195" s="37"/>
    </row>
    <row r="196" ht="15.75" customHeight="1">
      <c r="A196" s="62" t="s">
        <v>620</v>
      </c>
      <c r="B196" s="51" t="s">
        <v>603</v>
      </c>
      <c r="C196" s="62" t="s">
        <v>1754</v>
      </c>
      <c r="D196" s="62" t="s">
        <v>1842</v>
      </c>
      <c r="E196" s="72" t="s">
        <v>2662</v>
      </c>
      <c r="F196" s="37"/>
    </row>
    <row r="197" ht="15.75" customHeight="1">
      <c r="A197" s="62" t="s">
        <v>340</v>
      </c>
      <c r="B197" s="51" t="s">
        <v>603</v>
      </c>
      <c r="C197" s="62" t="s">
        <v>1754</v>
      </c>
      <c r="D197" s="62" t="s">
        <v>1842</v>
      </c>
      <c r="E197" s="72" t="s">
        <v>2663</v>
      </c>
      <c r="F197" s="37"/>
    </row>
    <row r="198" ht="15.75" customHeight="1">
      <c r="A198" s="62" t="s">
        <v>949</v>
      </c>
      <c r="B198" s="51" t="s">
        <v>603</v>
      </c>
      <c r="C198" s="62" t="s">
        <v>1754</v>
      </c>
      <c r="D198" s="62" t="s">
        <v>2156</v>
      </c>
      <c r="E198" s="72" t="s">
        <v>2665</v>
      </c>
      <c r="F198" s="37"/>
    </row>
    <row r="199" ht="15.75" customHeight="1">
      <c r="A199" s="62" t="s">
        <v>1189</v>
      </c>
      <c r="B199" s="51" t="s">
        <v>603</v>
      </c>
      <c r="C199" s="62" t="s">
        <v>1754</v>
      </c>
      <c r="D199" s="62" t="s">
        <v>1833</v>
      </c>
      <c r="E199" s="72" t="s">
        <v>2666</v>
      </c>
      <c r="F199" s="37"/>
    </row>
    <row r="200" ht="15.75" customHeight="1">
      <c r="A200" s="62" t="s">
        <v>343</v>
      </c>
      <c r="B200" s="51" t="s">
        <v>603</v>
      </c>
      <c r="C200" s="62" t="s">
        <v>1766</v>
      </c>
      <c r="D200" s="62" t="s">
        <v>1833</v>
      </c>
      <c r="E200" s="72" t="s">
        <v>2669</v>
      </c>
      <c r="F200" s="37"/>
    </row>
    <row r="201" ht="15.75" customHeight="1">
      <c r="A201" s="62" t="s">
        <v>508</v>
      </c>
      <c r="B201" s="51" t="s">
        <v>603</v>
      </c>
      <c r="C201" s="62" t="s">
        <v>1766</v>
      </c>
      <c r="D201" s="62" t="s">
        <v>1833</v>
      </c>
      <c r="E201" s="72" t="s">
        <v>2670</v>
      </c>
      <c r="F201" s="37"/>
    </row>
    <row r="202" ht="15.75" customHeight="1">
      <c r="A202" s="65" t="s">
        <v>65</v>
      </c>
      <c r="B202" s="65" t="s">
        <v>51</v>
      </c>
      <c r="C202" s="65" t="s">
        <v>1748</v>
      </c>
      <c r="D202" s="62" t="s">
        <v>2156</v>
      </c>
      <c r="E202" s="139"/>
      <c r="F202" s="37"/>
    </row>
    <row r="203" ht="15.75" customHeight="1">
      <c r="A203" s="65" t="s">
        <v>567</v>
      </c>
      <c r="B203" s="65" t="s">
        <v>51</v>
      </c>
      <c r="C203" s="65" t="s">
        <v>1748</v>
      </c>
      <c r="D203" s="62" t="s">
        <v>2156</v>
      </c>
      <c r="E203" s="139"/>
      <c r="F203" s="37"/>
    </row>
    <row r="204" ht="15.75" customHeight="1">
      <c r="A204" s="65" t="s">
        <v>782</v>
      </c>
      <c r="B204" s="65" t="s">
        <v>51</v>
      </c>
      <c r="C204" s="65" t="s">
        <v>1748</v>
      </c>
      <c r="D204" s="62" t="s">
        <v>2156</v>
      </c>
      <c r="E204" s="139"/>
      <c r="F204" s="37"/>
    </row>
    <row r="205" ht="15.75" customHeight="1">
      <c r="A205" s="65" t="s">
        <v>852</v>
      </c>
      <c r="B205" s="65" t="s">
        <v>51</v>
      </c>
      <c r="C205" s="65" t="s">
        <v>1748</v>
      </c>
      <c r="D205" s="62" t="s">
        <v>2156</v>
      </c>
      <c r="E205" s="139"/>
      <c r="F205" s="37"/>
    </row>
    <row r="206" ht="15.75" customHeight="1">
      <c r="A206" s="65" t="s">
        <v>239</v>
      </c>
      <c r="B206" s="65" t="s">
        <v>51</v>
      </c>
      <c r="C206" s="65" t="s">
        <v>1748</v>
      </c>
      <c r="D206" s="62" t="s">
        <v>1842</v>
      </c>
      <c r="E206" s="72" t="s">
        <v>2672</v>
      </c>
      <c r="F206" s="37"/>
    </row>
    <row r="207" ht="15.75" customHeight="1">
      <c r="A207" s="65" t="s">
        <v>527</v>
      </c>
      <c r="B207" s="65" t="s">
        <v>51</v>
      </c>
      <c r="C207" s="65" t="s">
        <v>1748</v>
      </c>
      <c r="D207" s="62" t="s">
        <v>2156</v>
      </c>
      <c r="E207" s="139"/>
      <c r="F207" s="37"/>
    </row>
    <row r="208" ht="15.75" customHeight="1">
      <c r="A208" s="65" t="s">
        <v>283</v>
      </c>
      <c r="B208" s="65" t="s">
        <v>51</v>
      </c>
      <c r="C208" s="65" t="s">
        <v>1748</v>
      </c>
      <c r="D208" s="62" t="s">
        <v>2156</v>
      </c>
      <c r="E208" s="139"/>
      <c r="F208" s="37"/>
    </row>
    <row r="209" ht="15.75" customHeight="1">
      <c r="A209" s="65" t="s">
        <v>370</v>
      </c>
      <c r="B209" s="65" t="s">
        <v>51</v>
      </c>
      <c r="C209" s="65" t="s">
        <v>1748</v>
      </c>
      <c r="D209" s="62" t="s">
        <v>2156</v>
      </c>
      <c r="E209" s="139"/>
      <c r="F209" s="37"/>
    </row>
    <row r="210" ht="15.75" customHeight="1">
      <c r="A210" s="65" t="s">
        <v>595</v>
      </c>
      <c r="B210" s="65" t="s">
        <v>51</v>
      </c>
      <c r="C210" s="65" t="s">
        <v>1748</v>
      </c>
      <c r="D210" s="62" t="s">
        <v>1842</v>
      </c>
      <c r="E210" s="72" t="s">
        <v>2675</v>
      </c>
      <c r="F210" s="37"/>
    </row>
    <row r="211" ht="15.75" customHeight="1">
      <c r="A211" s="65" t="s">
        <v>284</v>
      </c>
      <c r="B211" s="65" t="s">
        <v>51</v>
      </c>
      <c r="C211" s="65" t="s">
        <v>1748</v>
      </c>
      <c r="D211" s="62" t="s">
        <v>2156</v>
      </c>
      <c r="E211" s="139"/>
      <c r="F211" s="37"/>
    </row>
    <row r="212" ht="15.75" customHeight="1">
      <c r="A212" s="65" t="s">
        <v>182</v>
      </c>
      <c r="B212" s="65" t="s">
        <v>51</v>
      </c>
      <c r="C212" s="65" t="s">
        <v>1748</v>
      </c>
      <c r="D212" s="62" t="s">
        <v>2156</v>
      </c>
      <c r="E212" s="139"/>
      <c r="F212" s="37"/>
    </row>
    <row r="213" ht="15.75" customHeight="1">
      <c r="A213" s="65" t="s">
        <v>365</v>
      </c>
      <c r="B213" s="65" t="s">
        <v>51</v>
      </c>
      <c r="C213" s="65" t="s">
        <v>1748</v>
      </c>
      <c r="D213" s="62" t="s">
        <v>2156</v>
      </c>
      <c r="E213" s="139"/>
      <c r="F213" s="37"/>
    </row>
    <row r="214" ht="15.75" customHeight="1">
      <c r="A214" s="65" t="s">
        <v>425</v>
      </c>
      <c r="B214" s="65" t="s">
        <v>51</v>
      </c>
      <c r="C214" s="65" t="s">
        <v>1748</v>
      </c>
      <c r="D214" s="62" t="s">
        <v>1842</v>
      </c>
      <c r="E214" s="72" t="s">
        <v>2679</v>
      </c>
      <c r="F214" s="37"/>
    </row>
    <row r="215" ht="15.75" customHeight="1">
      <c r="A215" s="65" t="s">
        <v>476</v>
      </c>
      <c r="B215" s="65" t="s">
        <v>51</v>
      </c>
      <c r="C215" s="65" t="s">
        <v>1748</v>
      </c>
      <c r="D215" s="62" t="s">
        <v>2156</v>
      </c>
      <c r="E215" s="139"/>
      <c r="F215" s="37"/>
    </row>
    <row r="216" ht="15.75" customHeight="1">
      <c r="A216" s="65" t="s">
        <v>156</v>
      </c>
      <c r="B216" s="65" t="s">
        <v>51</v>
      </c>
      <c r="C216" s="65" t="s">
        <v>1748</v>
      </c>
      <c r="D216" s="62" t="s">
        <v>2156</v>
      </c>
      <c r="E216" s="139"/>
      <c r="F216" s="37"/>
    </row>
    <row r="217" ht="15.75" customHeight="1">
      <c r="A217" s="65" t="s">
        <v>68</v>
      </c>
      <c r="B217" s="65" t="s">
        <v>51</v>
      </c>
      <c r="C217" s="65" t="s">
        <v>1748</v>
      </c>
      <c r="D217" s="62" t="s">
        <v>1833</v>
      </c>
      <c r="E217" s="72" t="s">
        <v>2681</v>
      </c>
      <c r="F217" s="37"/>
    </row>
    <row r="218" ht="15.75" customHeight="1">
      <c r="A218" s="65" t="s">
        <v>1266</v>
      </c>
      <c r="B218" s="65" t="s">
        <v>51</v>
      </c>
      <c r="C218" s="65" t="s">
        <v>1748</v>
      </c>
      <c r="D218" s="62" t="s">
        <v>2156</v>
      </c>
      <c r="E218" s="139"/>
      <c r="F218" s="37"/>
    </row>
    <row r="219" ht="15.75" customHeight="1">
      <c r="A219" s="65" t="s">
        <v>18</v>
      </c>
      <c r="B219" s="65" t="s">
        <v>51</v>
      </c>
      <c r="C219" s="65" t="s">
        <v>1748</v>
      </c>
      <c r="D219" s="62" t="s">
        <v>2156</v>
      </c>
      <c r="E219" s="139"/>
      <c r="F219" s="37"/>
    </row>
    <row r="220" ht="15.75" customHeight="1">
      <c r="A220" s="65" t="s">
        <v>142</v>
      </c>
      <c r="B220" s="65" t="s">
        <v>51</v>
      </c>
      <c r="C220" s="65" t="s">
        <v>1748</v>
      </c>
      <c r="D220" s="62" t="s">
        <v>2156</v>
      </c>
      <c r="E220" s="139"/>
      <c r="F220" s="37"/>
    </row>
    <row r="221" ht="15.75" customHeight="1">
      <c r="A221" s="65" t="s">
        <v>212</v>
      </c>
      <c r="B221" s="65" t="s">
        <v>51</v>
      </c>
      <c r="C221" s="65" t="s">
        <v>1748</v>
      </c>
      <c r="D221" s="62" t="s">
        <v>1842</v>
      </c>
      <c r="E221" s="72" t="s">
        <v>2683</v>
      </c>
      <c r="F221" s="37"/>
    </row>
    <row r="222" ht="15.75" customHeight="1">
      <c r="A222" s="62" t="s">
        <v>322</v>
      </c>
      <c r="B222" s="65" t="s">
        <v>51</v>
      </c>
      <c r="C222" s="65" t="s">
        <v>1748</v>
      </c>
      <c r="D222" s="62" t="s">
        <v>2156</v>
      </c>
      <c r="E222" s="139"/>
      <c r="F222" s="37"/>
    </row>
    <row r="223" ht="15.75" customHeight="1">
      <c r="A223" s="62" t="s">
        <v>65</v>
      </c>
      <c r="B223" s="62" t="s">
        <v>51</v>
      </c>
      <c r="C223" s="62" t="s">
        <v>1772</v>
      </c>
      <c r="D223" s="62" t="s">
        <v>1842</v>
      </c>
      <c r="E223" s="72" t="s">
        <v>2684</v>
      </c>
      <c r="F223" s="37"/>
    </row>
    <row r="224" ht="15.75" customHeight="1">
      <c r="A224" s="62" t="s">
        <v>425</v>
      </c>
      <c r="B224" s="62" t="s">
        <v>51</v>
      </c>
      <c r="C224" s="62" t="s">
        <v>1748</v>
      </c>
      <c r="D224" s="62" t="s">
        <v>2156</v>
      </c>
      <c r="E224" s="139"/>
      <c r="F224" s="37"/>
    </row>
    <row r="225" ht="15.75" customHeight="1">
      <c r="A225" s="62" t="s">
        <v>68</v>
      </c>
      <c r="B225" s="62" t="s">
        <v>51</v>
      </c>
      <c r="C225" s="62" t="s">
        <v>1748</v>
      </c>
      <c r="D225" s="62" t="s">
        <v>2156</v>
      </c>
      <c r="E225" s="139"/>
      <c r="F225" s="37"/>
    </row>
    <row r="226" ht="15.75" customHeight="1">
      <c r="A226" s="62" t="s">
        <v>468</v>
      </c>
      <c r="B226" s="62" t="s">
        <v>51</v>
      </c>
      <c r="C226" s="62" t="s">
        <v>1770</v>
      </c>
      <c r="D226" s="62" t="s">
        <v>2156</v>
      </c>
      <c r="E226" s="139"/>
      <c r="F226" s="37"/>
    </row>
    <row r="227" ht="15.75" customHeight="1">
      <c r="A227" s="62" t="s">
        <v>497</v>
      </c>
      <c r="B227" s="62" t="s">
        <v>51</v>
      </c>
      <c r="C227" s="62" t="s">
        <v>1775</v>
      </c>
      <c r="D227" s="62" t="s">
        <v>1842</v>
      </c>
      <c r="E227" s="72" t="s">
        <v>2686</v>
      </c>
      <c r="F227" s="37"/>
    </row>
    <row r="228" ht="15.75" customHeight="1">
      <c r="A228" s="62" t="s">
        <v>532</v>
      </c>
      <c r="B228" s="62" t="s">
        <v>51</v>
      </c>
      <c r="C228" s="62" t="s">
        <v>1748</v>
      </c>
      <c r="D228" s="62" t="s">
        <v>1842</v>
      </c>
      <c r="E228" s="72" t="s">
        <v>2688</v>
      </c>
      <c r="F228" s="37"/>
    </row>
    <row r="229" ht="15.75" customHeight="1">
      <c r="A229" s="62" t="s">
        <v>18</v>
      </c>
      <c r="B229" s="62" t="s">
        <v>51</v>
      </c>
      <c r="C229" s="62" t="s">
        <v>1748</v>
      </c>
      <c r="D229" s="62" t="s">
        <v>1833</v>
      </c>
      <c r="E229" s="72" t="s">
        <v>2689</v>
      </c>
      <c r="F229" s="37"/>
    </row>
    <row r="230" ht="15.75" customHeight="1">
      <c r="A230" s="62" t="s">
        <v>370</v>
      </c>
      <c r="B230" s="62" t="s">
        <v>51</v>
      </c>
      <c r="C230" s="62" t="s">
        <v>1770</v>
      </c>
      <c r="D230" s="62" t="s">
        <v>2156</v>
      </c>
      <c r="E230" s="139"/>
      <c r="F230" s="37"/>
    </row>
    <row r="231" ht="15.75" customHeight="1">
      <c r="A231" s="62" t="s">
        <v>156</v>
      </c>
      <c r="B231" s="62" t="s">
        <v>51</v>
      </c>
      <c r="C231" s="62" t="s">
        <v>1775</v>
      </c>
      <c r="D231" s="62" t="s">
        <v>1842</v>
      </c>
      <c r="E231" s="72" t="s">
        <v>2692</v>
      </c>
      <c r="F231" s="37"/>
    </row>
    <row r="232" ht="15.75" customHeight="1">
      <c r="A232" s="62" t="s">
        <v>560</v>
      </c>
      <c r="B232" s="51" t="s">
        <v>51</v>
      </c>
      <c r="C232" s="62" t="s">
        <v>1748</v>
      </c>
      <c r="D232" s="62" t="s">
        <v>1833</v>
      </c>
      <c r="E232" s="72" t="s">
        <v>2693</v>
      </c>
      <c r="F232" s="37"/>
    </row>
    <row r="233" ht="15.75" customHeight="1">
      <c r="A233" s="62" t="s">
        <v>76</v>
      </c>
      <c r="B233" s="62" t="s">
        <v>51</v>
      </c>
      <c r="C233" s="62" t="s">
        <v>2208</v>
      </c>
      <c r="D233" s="62" t="s">
        <v>1833</v>
      </c>
      <c r="E233" s="139"/>
      <c r="F233" s="37"/>
    </row>
    <row r="234" ht="15.75" customHeight="1">
      <c r="A234" s="62" t="s">
        <v>239</v>
      </c>
      <c r="B234" s="62" t="s">
        <v>51</v>
      </c>
      <c r="C234" s="62" t="s">
        <v>1748</v>
      </c>
      <c r="D234" s="62" t="s">
        <v>2156</v>
      </c>
      <c r="E234" s="139"/>
      <c r="F234" s="37"/>
    </row>
    <row r="235" ht="15.75" customHeight="1">
      <c r="A235" s="62" t="s">
        <v>212</v>
      </c>
      <c r="B235" s="62" t="s">
        <v>51</v>
      </c>
      <c r="C235" s="62" t="s">
        <v>1748</v>
      </c>
      <c r="D235" s="62" t="s">
        <v>2156</v>
      </c>
      <c r="E235" s="139"/>
      <c r="F235" s="37"/>
    </row>
    <row r="236" ht="15.75" customHeight="1">
      <c r="A236" s="62" t="s">
        <v>338</v>
      </c>
      <c r="B236" s="62" t="s">
        <v>51</v>
      </c>
      <c r="C236" s="62" t="s">
        <v>1775</v>
      </c>
      <c r="D236" s="62" t="s">
        <v>1842</v>
      </c>
      <c r="E236" s="72" t="s">
        <v>2695</v>
      </c>
      <c r="F236" s="37"/>
    </row>
    <row r="237" ht="15.75" customHeight="1">
      <c r="A237" s="62" t="s">
        <v>182</v>
      </c>
      <c r="B237" s="62" t="s">
        <v>51</v>
      </c>
      <c r="C237" s="62" t="s">
        <v>1775</v>
      </c>
      <c r="D237" s="62" t="s">
        <v>1842</v>
      </c>
      <c r="E237" s="72" t="s">
        <v>2696</v>
      </c>
      <c r="F237" s="37"/>
    </row>
    <row r="238" ht="15.75" customHeight="1">
      <c r="A238" s="62" t="s">
        <v>149</v>
      </c>
      <c r="B238" s="62" t="s">
        <v>51</v>
      </c>
      <c r="C238" s="62" t="s">
        <v>2208</v>
      </c>
      <c r="D238" s="62" t="s">
        <v>1842</v>
      </c>
      <c r="E238" s="139"/>
      <c r="F238" s="37"/>
    </row>
    <row r="239" ht="15.75" customHeight="1">
      <c r="A239" s="62" t="s">
        <v>267</v>
      </c>
      <c r="B239" s="62" t="s">
        <v>51</v>
      </c>
      <c r="C239" s="62" t="s">
        <v>2208</v>
      </c>
      <c r="D239" s="62" t="s">
        <v>1833</v>
      </c>
      <c r="E239" s="139"/>
      <c r="F239" s="37"/>
    </row>
    <row r="240" ht="15.75" customHeight="1">
      <c r="A240" s="62" t="s">
        <v>284</v>
      </c>
      <c r="B240" s="62" t="s">
        <v>51</v>
      </c>
      <c r="C240" s="62" t="s">
        <v>1775</v>
      </c>
      <c r="D240" s="62" t="s">
        <v>1833</v>
      </c>
      <c r="E240" s="72" t="s">
        <v>2698</v>
      </c>
      <c r="F240" s="37"/>
    </row>
    <row r="241" ht="15.75" customHeight="1">
      <c r="A241" s="62" t="s">
        <v>66</v>
      </c>
      <c r="B241" s="62" t="s">
        <v>51</v>
      </c>
      <c r="C241" s="62" t="s">
        <v>1775</v>
      </c>
      <c r="D241" s="62" t="s">
        <v>1842</v>
      </c>
      <c r="E241" s="72" t="s">
        <v>2699</v>
      </c>
      <c r="F241" s="37"/>
    </row>
    <row r="242" ht="15.75" customHeight="1">
      <c r="A242" s="62" t="s">
        <v>584</v>
      </c>
      <c r="B242" s="62" t="s">
        <v>603</v>
      </c>
      <c r="C242" s="62" t="s">
        <v>1754</v>
      </c>
      <c r="D242" s="62" t="s">
        <v>1833</v>
      </c>
      <c r="E242" s="72" t="s">
        <v>2701</v>
      </c>
      <c r="F242" s="37"/>
    </row>
    <row r="243" ht="15.75" customHeight="1">
      <c r="A243" s="62" t="s">
        <v>622</v>
      </c>
      <c r="B243" s="62" t="s">
        <v>603</v>
      </c>
      <c r="C243" s="62" t="s">
        <v>1754</v>
      </c>
      <c r="D243" s="62" t="s">
        <v>1833</v>
      </c>
      <c r="E243" s="72" t="s">
        <v>2702</v>
      </c>
      <c r="F243" s="37"/>
    </row>
    <row r="244" ht="15.75" customHeight="1">
      <c r="A244" s="62" t="s">
        <v>399</v>
      </c>
      <c r="B244" s="62" t="s">
        <v>51</v>
      </c>
      <c r="C244" s="62" t="s">
        <v>1772</v>
      </c>
      <c r="D244" s="62" t="s">
        <v>1842</v>
      </c>
      <c r="E244" s="72" t="s">
        <v>2703</v>
      </c>
      <c r="F244" s="37"/>
    </row>
    <row r="245" ht="15.75" customHeight="1">
      <c r="A245" s="62" t="s">
        <v>1266</v>
      </c>
      <c r="B245" s="62" t="s">
        <v>51</v>
      </c>
      <c r="C245" s="62" t="s">
        <v>1772</v>
      </c>
      <c r="D245" s="62" t="s">
        <v>1842</v>
      </c>
      <c r="E245" s="72" t="s">
        <v>2704</v>
      </c>
      <c r="F245" s="37"/>
    </row>
    <row r="246" ht="15.75" customHeight="1">
      <c r="A246" s="62" t="s">
        <v>322</v>
      </c>
      <c r="B246" s="62" t="s">
        <v>51</v>
      </c>
      <c r="C246" s="62" t="s">
        <v>2208</v>
      </c>
      <c r="D246" s="62" t="s">
        <v>1842</v>
      </c>
      <c r="E246" s="139"/>
      <c r="F246" s="37"/>
    </row>
    <row r="247" ht="15.75" customHeight="1">
      <c r="A247" s="62" t="s">
        <v>838</v>
      </c>
      <c r="B247" s="62" t="s">
        <v>51</v>
      </c>
      <c r="C247" s="62" t="s">
        <v>1748</v>
      </c>
      <c r="D247" s="62" t="s">
        <v>1842</v>
      </c>
      <c r="E247" s="72" t="s">
        <v>2705</v>
      </c>
      <c r="F247" s="37"/>
    </row>
    <row r="248" ht="15.75" customHeight="1">
      <c r="A248" s="62" t="s">
        <v>142</v>
      </c>
      <c r="B248" s="62" t="s">
        <v>51</v>
      </c>
      <c r="C248" s="62" t="s">
        <v>1748</v>
      </c>
      <c r="D248" s="62" t="s">
        <v>1833</v>
      </c>
      <c r="E248" s="72" t="s">
        <v>2706</v>
      </c>
      <c r="F248" s="37"/>
    </row>
    <row r="249" ht="15.75" customHeight="1">
      <c r="A249" s="62" t="s">
        <v>793</v>
      </c>
      <c r="B249" s="62" t="s">
        <v>51</v>
      </c>
      <c r="C249" s="62" t="s">
        <v>1748</v>
      </c>
      <c r="D249" s="62" t="s">
        <v>1842</v>
      </c>
      <c r="E249" s="72" t="s">
        <v>2707</v>
      </c>
      <c r="F249" s="37"/>
    </row>
    <row r="250" ht="15.75" customHeight="1">
      <c r="A250" s="62" t="s">
        <v>246</v>
      </c>
      <c r="B250" s="62" t="s">
        <v>51</v>
      </c>
      <c r="C250" s="62" t="s">
        <v>1748</v>
      </c>
      <c r="D250" s="62" t="s">
        <v>1833</v>
      </c>
      <c r="E250" s="72" t="s">
        <v>2709</v>
      </c>
      <c r="F250" s="37"/>
    </row>
    <row r="251" ht="15.75" customHeight="1">
      <c r="A251" s="62" t="s">
        <v>283</v>
      </c>
      <c r="B251" s="62" t="s">
        <v>51</v>
      </c>
      <c r="C251" s="62" t="s">
        <v>1748</v>
      </c>
      <c r="D251" s="62" t="s">
        <v>1842</v>
      </c>
      <c r="E251" s="72" t="s">
        <v>2710</v>
      </c>
      <c r="F251" s="37"/>
    </row>
    <row r="252" ht="15.75" customHeight="1">
      <c r="A252" s="62" t="s">
        <v>365</v>
      </c>
      <c r="B252" s="62" t="s">
        <v>51</v>
      </c>
      <c r="C252" s="62" t="s">
        <v>1748</v>
      </c>
      <c r="D252" s="62" t="s">
        <v>1842</v>
      </c>
      <c r="E252" s="72" t="s">
        <v>2711</v>
      </c>
      <c r="F252" s="37"/>
    </row>
    <row r="253" ht="15.75" customHeight="1">
      <c r="A253" s="62" t="s">
        <v>690</v>
      </c>
      <c r="B253" s="62" t="s">
        <v>51</v>
      </c>
      <c r="C253" s="62" t="s">
        <v>1748</v>
      </c>
      <c r="D253" s="62" t="s">
        <v>1842</v>
      </c>
      <c r="E253" s="72" t="s">
        <v>2713</v>
      </c>
      <c r="F253" s="37"/>
    </row>
    <row r="254" ht="15.75" customHeight="1">
      <c r="A254" s="62" t="s">
        <v>566</v>
      </c>
      <c r="B254" s="62" t="s">
        <v>51</v>
      </c>
      <c r="C254" s="62" t="s">
        <v>1748</v>
      </c>
      <c r="D254" s="62" t="s">
        <v>1842</v>
      </c>
      <c r="E254" s="72" t="s">
        <v>2714</v>
      </c>
    </row>
    <row r="255" ht="15.75" customHeight="1">
      <c r="A255" s="62" t="s">
        <v>280</v>
      </c>
      <c r="B255" s="62" t="s">
        <v>51</v>
      </c>
      <c r="C255" s="62" t="s">
        <v>1748</v>
      </c>
      <c r="D255" s="62" t="s">
        <v>1833</v>
      </c>
      <c r="E255" s="72" t="s">
        <v>2715</v>
      </c>
    </row>
    <row r="256" ht="15.75" customHeight="1">
      <c r="A256" s="62" t="s">
        <v>826</v>
      </c>
      <c r="B256" s="62" t="s">
        <v>51</v>
      </c>
      <c r="C256" s="62" t="s">
        <v>1748</v>
      </c>
      <c r="D256" s="62" t="s">
        <v>1833</v>
      </c>
      <c r="E256" s="72" t="s">
        <v>2716</v>
      </c>
    </row>
    <row r="257" ht="15.75" customHeight="1">
      <c r="A257" s="62" t="s">
        <v>370</v>
      </c>
      <c r="B257" s="62" t="s">
        <v>51</v>
      </c>
      <c r="C257" s="62" t="s">
        <v>1748</v>
      </c>
      <c r="D257" s="62" t="s">
        <v>1842</v>
      </c>
      <c r="E257" s="72" t="s">
        <v>2718</v>
      </c>
    </row>
    <row r="258" ht="15.75" customHeight="1">
      <c r="A258" s="62" t="s">
        <v>31</v>
      </c>
      <c r="B258" s="62" t="s">
        <v>51</v>
      </c>
      <c r="C258" s="62" t="s">
        <v>1748</v>
      </c>
      <c r="D258" s="62" t="s">
        <v>1842</v>
      </c>
      <c r="E258" s="72" t="s">
        <v>2720</v>
      </c>
    </row>
    <row r="259" ht="15.75" customHeight="1">
      <c r="A259" s="62" t="s">
        <v>464</v>
      </c>
      <c r="B259" s="62" t="s">
        <v>51</v>
      </c>
      <c r="C259" s="62" t="s">
        <v>1748</v>
      </c>
      <c r="D259" s="62" t="s">
        <v>1842</v>
      </c>
      <c r="E259" s="72" t="s">
        <v>2723</v>
      </c>
    </row>
    <row r="260" ht="15.75" customHeight="1">
      <c r="A260" s="62" t="s">
        <v>412</v>
      </c>
      <c r="B260" s="62" t="s">
        <v>51</v>
      </c>
      <c r="C260" s="62" t="s">
        <v>1784</v>
      </c>
      <c r="D260" s="62" t="s">
        <v>1842</v>
      </c>
      <c r="E260" s="72" t="s">
        <v>2725</v>
      </c>
    </row>
    <row r="261" ht="15.75" customHeight="1">
      <c r="A261" s="62" t="s">
        <v>192</v>
      </c>
      <c r="B261" s="62" t="s">
        <v>51</v>
      </c>
      <c r="C261" s="62" t="s">
        <v>2208</v>
      </c>
      <c r="D261" s="62" t="s">
        <v>1842</v>
      </c>
      <c r="E261" s="72"/>
    </row>
    <row r="262" ht="15.75" customHeight="1">
      <c r="A262" s="62" t="s">
        <v>706</v>
      </c>
      <c r="B262" s="62" t="s">
        <v>51</v>
      </c>
      <c r="C262" s="62" t="s">
        <v>1775</v>
      </c>
      <c r="D262" s="62" t="s">
        <v>1833</v>
      </c>
      <c r="E262" s="72" t="s">
        <v>2727</v>
      </c>
    </row>
    <row r="263" ht="15.75" customHeight="1">
      <c r="A263" s="62" t="s">
        <v>302</v>
      </c>
      <c r="B263" s="62" t="s">
        <v>51</v>
      </c>
      <c r="C263" s="62" t="s">
        <v>2208</v>
      </c>
      <c r="D263" s="62" t="s">
        <v>1833</v>
      </c>
      <c r="E263" s="72"/>
    </row>
    <row r="264" ht="15.75" customHeight="1">
      <c r="A264" s="62" t="s">
        <v>402</v>
      </c>
      <c r="B264" s="62" t="s">
        <v>51</v>
      </c>
      <c r="C264" s="62" t="s">
        <v>1775</v>
      </c>
      <c r="D264" s="62" t="s">
        <v>1842</v>
      </c>
      <c r="E264" s="72" t="s">
        <v>2729</v>
      </c>
    </row>
    <row r="265" ht="15.75" customHeight="1">
      <c r="A265" s="62" t="s">
        <v>759</v>
      </c>
      <c r="B265" s="62" t="s">
        <v>51</v>
      </c>
      <c r="C265" s="62" t="s">
        <v>1784</v>
      </c>
      <c r="D265" s="62" t="s">
        <v>1842</v>
      </c>
      <c r="E265" s="72" t="s">
        <v>2730</v>
      </c>
    </row>
    <row r="266" ht="15.75" customHeight="1">
      <c r="A266" s="62" t="s">
        <v>567</v>
      </c>
      <c r="B266" s="62" t="s">
        <v>51</v>
      </c>
      <c r="C266" s="62" t="s">
        <v>1748</v>
      </c>
      <c r="D266" s="62" t="s">
        <v>1842</v>
      </c>
      <c r="E266" s="72" t="s">
        <v>2731</v>
      </c>
    </row>
    <row r="267" ht="15.75" customHeight="1">
      <c r="A267" s="62" t="s">
        <v>337</v>
      </c>
      <c r="B267" s="62" t="s">
        <v>51</v>
      </c>
      <c r="C267" s="62" t="s">
        <v>1748</v>
      </c>
      <c r="D267" s="62" t="s">
        <v>1842</v>
      </c>
      <c r="E267" s="72" t="s">
        <v>2734</v>
      </c>
    </row>
    <row r="268" ht="15.75" customHeight="1">
      <c r="A268" s="62" t="s">
        <v>181</v>
      </c>
      <c r="B268" s="62" t="s">
        <v>51</v>
      </c>
      <c r="C268" s="62" t="s">
        <v>1748</v>
      </c>
      <c r="D268" s="62" t="s">
        <v>1842</v>
      </c>
      <c r="E268" s="72" t="s">
        <v>2735</v>
      </c>
    </row>
    <row r="269" ht="15.75" customHeight="1">
      <c r="A269" s="62" t="s">
        <v>39</v>
      </c>
      <c r="B269" s="62" t="s">
        <v>51</v>
      </c>
      <c r="C269" s="62" t="s">
        <v>1784</v>
      </c>
      <c r="D269" s="62" t="s">
        <v>1833</v>
      </c>
      <c r="E269" s="72" t="s">
        <v>2736</v>
      </c>
    </row>
    <row r="270" ht="15.75" customHeight="1">
      <c r="A270" s="62" t="s">
        <v>396</v>
      </c>
      <c r="B270" s="62" t="s">
        <v>51</v>
      </c>
      <c r="C270" s="62" t="s">
        <v>2208</v>
      </c>
      <c r="D270" s="62" t="s">
        <v>1842</v>
      </c>
      <c r="E270" s="72"/>
    </row>
    <row r="271" ht="15.75" customHeight="1">
      <c r="A271" s="62" t="s">
        <v>68</v>
      </c>
      <c r="B271" s="62" t="s">
        <v>51</v>
      </c>
      <c r="C271" s="62" t="s">
        <v>1784</v>
      </c>
      <c r="D271" s="62" t="s">
        <v>1833</v>
      </c>
      <c r="E271" s="72" t="s">
        <v>2738</v>
      </c>
    </row>
    <row r="272" ht="15.75" customHeight="1">
      <c r="A272" s="62" t="s">
        <v>167</v>
      </c>
      <c r="B272" s="62" t="s">
        <v>51</v>
      </c>
      <c r="C272" s="62" t="s">
        <v>2208</v>
      </c>
      <c r="D272" s="62" t="s">
        <v>1833</v>
      </c>
      <c r="E272" s="72"/>
    </row>
    <row r="273" ht="15.75" customHeight="1">
      <c r="A273" s="62" t="s">
        <v>512</v>
      </c>
      <c r="B273" s="62" t="s">
        <v>51</v>
      </c>
      <c r="C273" s="62" t="s">
        <v>1748</v>
      </c>
      <c r="D273" s="62" t="s">
        <v>1842</v>
      </c>
      <c r="E273" s="72" t="s">
        <v>2739</v>
      </c>
    </row>
    <row r="274" ht="15.75" customHeight="1">
      <c r="A274" s="62" t="s">
        <v>405</v>
      </c>
      <c r="B274" s="62" t="s">
        <v>51</v>
      </c>
      <c r="C274" s="62" t="s">
        <v>1748</v>
      </c>
      <c r="D274" s="62" t="s">
        <v>1842</v>
      </c>
      <c r="E274" s="72" t="s">
        <v>2740</v>
      </c>
    </row>
    <row r="275" ht="15.75" customHeight="1">
      <c r="A275" s="62" t="s">
        <v>167</v>
      </c>
      <c r="B275" s="62" t="s">
        <v>51</v>
      </c>
      <c r="C275" s="62" t="s">
        <v>1748</v>
      </c>
      <c r="D275" s="62" t="s">
        <v>1842</v>
      </c>
      <c r="E275" s="72" t="s">
        <v>2741</v>
      </c>
    </row>
    <row r="276" ht="15.75" customHeight="1">
      <c r="A276" s="62" t="s">
        <v>827</v>
      </c>
      <c r="B276" s="62" t="s">
        <v>51</v>
      </c>
      <c r="C276" s="62" t="s">
        <v>1748</v>
      </c>
      <c r="D276" s="62" t="s">
        <v>1842</v>
      </c>
      <c r="E276" s="72" t="s">
        <v>2742</v>
      </c>
    </row>
    <row r="277" ht="15.75" customHeight="1">
      <c r="A277" s="62" t="s">
        <v>494</v>
      </c>
      <c r="B277" s="62" t="s">
        <v>51</v>
      </c>
      <c r="C277" s="62" t="s">
        <v>1748</v>
      </c>
      <c r="D277" s="62" t="s">
        <v>1842</v>
      </c>
      <c r="E277" s="72" t="s">
        <v>2743</v>
      </c>
    </row>
    <row r="278" ht="15.75" customHeight="1">
      <c r="A278" s="62" t="s">
        <v>275</v>
      </c>
      <c r="B278" s="62" t="s">
        <v>51</v>
      </c>
      <c r="C278" s="62" t="s">
        <v>1748</v>
      </c>
      <c r="D278" s="62" t="s">
        <v>1842</v>
      </c>
      <c r="E278" s="72" t="s">
        <v>2744</v>
      </c>
    </row>
    <row r="279" ht="15.75" customHeight="1">
      <c r="A279" s="62" t="s">
        <v>508</v>
      </c>
      <c r="B279" s="62" t="s">
        <v>603</v>
      </c>
      <c r="C279" s="62" t="s">
        <v>2745</v>
      </c>
      <c r="D279" s="62" t="s">
        <v>1842</v>
      </c>
      <c r="E279" s="72" t="s">
        <v>2746</v>
      </c>
    </row>
    <row r="280" ht="15.75" customHeight="1">
      <c r="A280" s="62" t="s">
        <v>1132</v>
      </c>
      <c r="B280" s="62" t="s">
        <v>603</v>
      </c>
      <c r="C280" s="62" t="s">
        <v>1754</v>
      </c>
      <c r="D280" s="62" t="s">
        <v>1842</v>
      </c>
      <c r="E280" s="72" t="s">
        <v>2748</v>
      </c>
    </row>
    <row r="281" ht="15.75" customHeight="1">
      <c r="A281" s="62" t="s">
        <v>622</v>
      </c>
      <c r="B281" s="62" t="s">
        <v>603</v>
      </c>
      <c r="C281" s="62" t="s">
        <v>1754</v>
      </c>
      <c r="D281" s="62" t="s">
        <v>1833</v>
      </c>
      <c r="E281" s="72" t="s">
        <v>2749</v>
      </c>
    </row>
    <row r="282" ht="15.75" customHeight="1">
      <c r="A282" s="62" t="s">
        <v>642</v>
      </c>
      <c r="B282" s="62" t="s">
        <v>603</v>
      </c>
      <c r="C282" s="62" t="s">
        <v>1758</v>
      </c>
      <c r="D282" s="62" t="s">
        <v>1842</v>
      </c>
      <c r="E282" s="72" t="s">
        <v>2750</v>
      </c>
    </row>
    <row r="283" ht="15.75" customHeight="1">
      <c r="A283" s="62" t="s">
        <v>1015</v>
      </c>
      <c r="B283" s="62" t="s">
        <v>51</v>
      </c>
      <c r="C283" s="62" t="s">
        <v>1748</v>
      </c>
      <c r="D283" s="62" t="s">
        <v>1833</v>
      </c>
      <c r="E283" s="72" t="s">
        <v>2751</v>
      </c>
    </row>
    <row r="284" ht="15.75" customHeight="1">
      <c r="A284" s="62" t="s">
        <v>826</v>
      </c>
      <c r="B284" s="62" t="s">
        <v>51</v>
      </c>
      <c r="C284" s="62" t="s">
        <v>1748</v>
      </c>
      <c r="D284" s="62" t="s">
        <v>1833</v>
      </c>
      <c r="E284" s="72" t="s">
        <v>2752</v>
      </c>
    </row>
    <row r="285" ht="15.75" customHeight="1">
      <c r="A285" s="62" t="s">
        <v>1046</v>
      </c>
      <c r="B285" s="62" t="s">
        <v>51</v>
      </c>
      <c r="C285" s="62" t="s">
        <v>1748</v>
      </c>
      <c r="D285" s="62" t="s">
        <v>1842</v>
      </c>
      <c r="E285" s="72" t="s">
        <v>2753</v>
      </c>
    </row>
    <row r="286" ht="15.75" customHeight="1">
      <c r="A286" s="62" t="s">
        <v>795</v>
      </c>
      <c r="B286" s="62" t="s">
        <v>51</v>
      </c>
      <c r="C286" s="62" t="s">
        <v>1748</v>
      </c>
      <c r="D286" s="62" t="s">
        <v>1842</v>
      </c>
      <c r="E286" s="72" t="s">
        <v>2756</v>
      </c>
    </row>
    <row r="287" ht="15.75" customHeight="1">
      <c r="A287" s="62" t="s">
        <v>302</v>
      </c>
      <c r="B287" s="62" t="s">
        <v>51</v>
      </c>
      <c r="C287" s="62" t="s">
        <v>1748</v>
      </c>
      <c r="D287" s="62" t="s">
        <v>1842</v>
      </c>
      <c r="E287" s="72" t="s">
        <v>2757</v>
      </c>
    </row>
    <row r="288" ht="15.75" customHeight="1">
      <c r="A288" s="62" t="s">
        <v>108</v>
      </c>
      <c r="B288" s="62" t="s">
        <v>51</v>
      </c>
      <c r="C288" s="62" t="s">
        <v>1748</v>
      </c>
      <c r="D288" s="62" t="s">
        <v>1842</v>
      </c>
      <c r="E288" s="72" t="s">
        <v>2758</v>
      </c>
    </row>
    <row r="289" ht="15.75" customHeight="1">
      <c r="A289" s="62" t="s">
        <v>984</v>
      </c>
      <c r="B289" s="62" t="s">
        <v>51</v>
      </c>
      <c r="C289" s="62" t="s">
        <v>1748</v>
      </c>
      <c r="D289" s="62" t="s">
        <v>1842</v>
      </c>
      <c r="E289" s="72" t="s">
        <v>2759</v>
      </c>
    </row>
    <row r="290" ht="15.75" customHeight="1">
      <c r="A290" s="62" t="s">
        <v>477</v>
      </c>
      <c r="B290" s="62" t="s">
        <v>51</v>
      </c>
      <c r="C290" s="62" t="s">
        <v>1748</v>
      </c>
      <c r="D290" s="62" t="s">
        <v>1833</v>
      </c>
      <c r="E290" s="72" t="s">
        <v>2760</v>
      </c>
    </row>
    <row r="291" ht="15.75" customHeight="1">
      <c r="A291" s="62" t="s">
        <v>949</v>
      </c>
      <c r="B291" s="62" t="s">
        <v>603</v>
      </c>
      <c r="C291" s="62" t="s">
        <v>1761</v>
      </c>
      <c r="D291" s="62" t="s">
        <v>1842</v>
      </c>
      <c r="E291" s="72" t="s">
        <v>2761</v>
      </c>
    </row>
    <row r="292" ht="15.75" customHeight="1">
      <c r="A292" s="62" t="s">
        <v>1189</v>
      </c>
      <c r="B292" s="62" t="s">
        <v>603</v>
      </c>
      <c r="C292" s="62" t="s">
        <v>1754</v>
      </c>
      <c r="D292" s="62" t="s">
        <v>1842</v>
      </c>
      <c r="E292" s="72" t="s">
        <v>2763</v>
      </c>
    </row>
    <row r="293" ht="15.75" customHeight="1">
      <c r="A293" s="62" t="s">
        <v>1277</v>
      </c>
      <c r="B293" s="62" t="s">
        <v>603</v>
      </c>
      <c r="C293" s="62" t="s">
        <v>1756</v>
      </c>
      <c r="D293" s="62" t="s">
        <v>1842</v>
      </c>
      <c r="E293" s="72" t="s">
        <v>2764</v>
      </c>
    </row>
    <row r="294" ht="15.75" customHeight="1">
      <c r="A294" s="62" t="s">
        <v>421</v>
      </c>
      <c r="B294" s="62" t="s">
        <v>603</v>
      </c>
      <c r="C294" s="62" t="s">
        <v>2745</v>
      </c>
      <c r="D294" s="62" t="s">
        <v>1842</v>
      </c>
      <c r="E294" s="72" t="s">
        <v>2766</v>
      </c>
    </row>
    <row r="295" ht="15.75" customHeight="1">
      <c r="A295" s="62" t="s">
        <v>343</v>
      </c>
      <c r="B295" s="62" t="s">
        <v>603</v>
      </c>
      <c r="C295" s="62" t="s">
        <v>1768</v>
      </c>
      <c r="D295" s="62" t="s">
        <v>1833</v>
      </c>
      <c r="E295" s="72" t="s">
        <v>2767</v>
      </c>
    </row>
    <row r="296" ht="15.75" customHeight="1">
      <c r="A296" s="62" t="s">
        <v>469</v>
      </c>
      <c r="B296" s="62" t="s">
        <v>603</v>
      </c>
      <c r="C296" s="62" t="s">
        <v>1768</v>
      </c>
      <c r="D296" s="62" t="s">
        <v>1842</v>
      </c>
      <c r="E296" s="72" t="s">
        <v>2768</v>
      </c>
    </row>
    <row r="297" ht="15.75" customHeight="1">
      <c r="A297" s="62" t="s">
        <v>653</v>
      </c>
      <c r="B297" s="62" t="s">
        <v>603</v>
      </c>
      <c r="C297" s="62" t="s">
        <v>1768</v>
      </c>
      <c r="D297" s="62" t="s">
        <v>1842</v>
      </c>
      <c r="E297" s="72" t="s">
        <v>2769</v>
      </c>
    </row>
    <row r="298" ht="15.75" customHeight="1">
      <c r="A298" s="62" t="s">
        <v>267</v>
      </c>
      <c r="B298" s="62" t="s">
        <v>51</v>
      </c>
      <c r="C298" s="62" t="s">
        <v>1748</v>
      </c>
      <c r="D298" s="62" t="s">
        <v>2156</v>
      </c>
      <c r="E298" s="139"/>
    </row>
    <row r="299" ht="15.75" customHeight="1">
      <c r="A299" s="62" t="s">
        <v>246</v>
      </c>
      <c r="B299" s="62" t="s">
        <v>51</v>
      </c>
      <c r="C299" s="62" t="s">
        <v>1748</v>
      </c>
      <c r="D299" s="62" t="s">
        <v>2156</v>
      </c>
      <c r="E299" s="139"/>
    </row>
    <row r="300" ht="15.75" customHeight="1">
      <c r="A300" s="62" t="s">
        <v>89</v>
      </c>
      <c r="B300" s="62" t="s">
        <v>51</v>
      </c>
      <c r="C300" s="62" t="s">
        <v>1748</v>
      </c>
      <c r="D300" s="62" t="s">
        <v>2156</v>
      </c>
      <c r="E300" s="72"/>
    </row>
    <row r="301" ht="15.75" customHeight="1">
      <c r="A301" s="62" t="s">
        <v>527</v>
      </c>
      <c r="B301" s="62" t="s">
        <v>51</v>
      </c>
      <c r="C301" s="62" t="s">
        <v>1748</v>
      </c>
      <c r="D301" s="62" t="s">
        <v>1842</v>
      </c>
      <c r="E301" s="72" t="s">
        <v>2771</v>
      </c>
    </row>
    <row r="302" ht="15.75" customHeight="1">
      <c r="A302" s="62" t="s">
        <v>18</v>
      </c>
      <c r="B302" s="62" t="s">
        <v>51</v>
      </c>
      <c r="C302" s="62" t="s">
        <v>1748</v>
      </c>
      <c r="D302" s="62" t="s">
        <v>1833</v>
      </c>
      <c r="E302" s="72" t="s">
        <v>2772</v>
      </c>
    </row>
    <row r="303" ht="15.75" customHeight="1">
      <c r="A303" s="62" t="s">
        <v>39</v>
      </c>
      <c r="B303" s="62" t="s">
        <v>51</v>
      </c>
      <c r="C303" s="62" t="s">
        <v>1748</v>
      </c>
      <c r="D303" s="62" t="s">
        <v>1842</v>
      </c>
      <c r="E303" s="72" t="s">
        <v>2774</v>
      </c>
    </row>
    <row r="304" ht="15.75" customHeight="1">
      <c r="A304" s="62" t="s">
        <v>142</v>
      </c>
      <c r="B304" s="62" t="s">
        <v>51</v>
      </c>
      <c r="C304" s="62" t="s">
        <v>1748</v>
      </c>
      <c r="D304" s="62" t="s">
        <v>1842</v>
      </c>
      <c r="E304" s="72" t="s">
        <v>2775</v>
      </c>
    </row>
    <row r="305" ht="15.75" customHeight="1">
      <c r="A305" s="62" t="s">
        <v>782</v>
      </c>
      <c r="B305" s="62" t="s">
        <v>51</v>
      </c>
      <c r="C305" s="62" t="s">
        <v>1748</v>
      </c>
      <c r="D305" s="62" t="s">
        <v>1842</v>
      </c>
      <c r="E305" s="72" t="s">
        <v>2776</v>
      </c>
    </row>
    <row r="306">
      <c r="A306" s="62" t="s">
        <v>897</v>
      </c>
      <c r="B306" s="62" t="s">
        <v>51</v>
      </c>
      <c r="C306" s="62" t="s">
        <v>1748</v>
      </c>
      <c r="D306" s="62" t="s">
        <v>1842</v>
      </c>
      <c r="E306" s="72" t="s">
        <v>2777</v>
      </c>
    </row>
    <row r="307">
      <c r="A307" s="62" t="s">
        <v>897</v>
      </c>
      <c r="B307" s="62" t="s">
        <v>51</v>
      </c>
      <c r="C307" s="62" t="s">
        <v>1748</v>
      </c>
      <c r="D307" s="62" t="s">
        <v>1842</v>
      </c>
      <c r="E307" s="72" t="s">
        <v>2778</v>
      </c>
    </row>
    <row r="308">
      <c r="A308" s="62" t="s">
        <v>219</v>
      </c>
      <c r="B308" s="62" t="s">
        <v>51</v>
      </c>
      <c r="C308" s="62" t="s">
        <v>1748</v>
      </c>
      <c r="D308" s="62" t="s">
        <v>1842</v>
      </c>
      <c r="E308" s="72" t="s">
        <v>2779</v>
      </c>
    </row>
    <row r="309">
      <c r="A309" s="62" t="s">
        <v>289</v>
      </c>
      <c r="B309" s="62" t="s">
        <v>51</v>
      </c>
      <c r="C309" s="62" t="s">
        <v>1748</v>
      </c>
      <c r="D309" s="62" t="s">
        <v>1842</v>
      </c>
      <c r="E309" s="72" t="s">
        <v>2780</v>
      </c>
    </row>
    <row r="310">
      <c r="A310" s="62" t="s">
        <v>34</v>
      </c>
      <c r="B310" s="62" t="s">
        <v>51</v>
      </c>
      <c r="C310" s="62" t="s">
        <v>1748</v>
      </c>
      <c r="D310" s="62" t="s">
        <v>1842</v>
      </c>
      <c r="E310" s="72" t="s">
        <v>2781</v>
      </c>
    </row>
    <row r="311">
      <c r="A311" s="62" t="s">
        <v>1330</v>
      </c>
      <c r="B311" s="62" t="s">
        <v>51</v>
      </c>
      <c r="C311" s="62" t="s">
        <v>1748</v>
      </c>
      <c r="D311" s="62" t="s">
        <v>1842</v>
      </c>
      <c r="E311" s="72" t="s">
        <v>2782</v>
      </c>
    </row>
    <row r="312">
      <c r="A312" s="62" t="s">
        <v>1261</v>
      </c>
      <c r="B312" s="62" t="s">
        <v>51</v>
      </c>
      <c r="C312" s="62" t="s">
        <v>1748</v>
      </c>
      <c r="D312" s="62" t="s">
        <v>1842</v>
      </c>
      <c r="E312" s="72" t="s">
        <v>2783</v>
      </c>
    </row>
    <row r="313">
      <c r="A313" s="62" t="s">
        <v>145</v>
      </c>
      <c r="B313" s="62" t="s">
        <v>51</v>
      </c>
      <c r="C313" s="62" t="s">
        <v>1748</v>
      </c>
      <c r="D313" s="62" t="s">
        <v>1842</v>
      </c>
      <c r="E313" s="72" t="s">
        <v>2784</v>
      </c>
    </row>
    <row r="314">
      <c r="A314" s="62" t="s">
        <v>1396</v>
      </c>
      <c r="B314" s="62" t="s">
        <v>51</v>
      </c>
      <c r="C314" s="62" t="s">
        <v>1748</v>
      </c>
      <c r="D314" s="62" t="s">
        <v>1842</v>
      </c>
      <c r="E314" s="72" t="s">
        <v>2785</v>
      </c>
    </row>
    <row r="315">
      <c r="A315" s="62" t="s">
        <v>799</v>
      </c>
      <c r="B315" s="62" t="s">
        <v>51</v>
      </c>
      <c r="C315" s="62" t="s">
        <v>1748</v>
      </c>
      <c r="D315" s="62" t="s">
        <v>1842</v>
      </c>
      <c r="E315" s="72" t="s">
        <v>2786</v>
      </c>
    </row>
    <row r="316">
      <c r="A316" s="62" t="s">
        <v>1249</v>
      </c>
      <c r="B316" s="62" t="s">
        <v>51</v>
      </c>
      <c r="C316" s="62" t="s">
        <v>1748</v>
      </c>
      <c r="D316" s="62" t="s">
        <v>1842</v>
      </c>
      <c r="E316" s="72" t="s">
        <v>2787</v>
      </c>
    </row>
    <row r="317">
      <c r="A317" s="62" t="s">
        <v>880</v>
      </c>
      <c r="B317" s="62" t="s">
        <v>51</v>
      </c>
      <c r="C317" s="62" t="s">
        <v>1748</v>
      </c>
      <c r="D317" s="62" t="s">
        <v>1833</v>
      </c>
      <c r="E317" s="72" t="s">
        <v>2788</v>
      </c>
    </row>
    <row r="318">
      <c r="A318" s="62" t="s">
        <v>477</v>
      </c>
      <c r="B318" s="62" t="s">
        <v>51</v>
      </c>
      <c r="C318" s="62" t="s">
        <v>1748</v>
      </c>
      <c r="D318" s="62" t="s">
        <v>1842</v>
      </c>
      <c r="E318" s="139"/>
    </row>
    <row r="319">
      <c r="E319" s="151"/>
    </row>
    <row r="320">
      <c r="E320" s="151"/>
    </row>
    <row r="321">
      <c r="E321" s="151"/>
    </row>
    <row r="322">
      <c r="E322" s="151"/>
    </row>
    <row r="323">
      <c r="E323" s="151"/>
    </row>
    <row r="324">
      <c r="E324" s="151"/>
    </row>
    <row r="325">
      <c r="E325" s="151"/>
    </row>
    <row r="326">
      <c r="E326" s="151"/>
    </row>
    <row r="327">
      <c r="E327" s="151"/>
    </row>
    <row r="328">
      <c r="E328" s="151"/>
    </row>
    <row r="329">
      <c r="E329" s="151"/>
    </row>
    <row r="330">
      <c r="E330" s="151"/>
    </row>
    <row r="331">
      <c r="E331" s="151"/>
    </row>
    <row r="332">
      <c r="E332" s="151"/>
    </row>
    <row r="333">
      <c r="E333" s="151"/>
    </row>
    <row r="334">
      <c r="E334" s="151"/>
    </row>
    <row r="335">
      <c r="E335" s="151"/>
    </row>
    <row r="336">
      <c r="E336" s="151"/>
    </row>
    <row r="337">
      <c r="E337" s="151"/>
    </row>
    <row r="338">
      <c r="E338" s="151"/>
    </row>
    <row r="339">
      <c r="E339" s="151"/>
    </row>
    <row r="340">
      <c r="E340" s="151"/>
    </row>
    <row r="341">
      <c r="E341" s="151"/>
    </row>
    <row r="342">
      <c r="E342" s="151"/>
    </row>
    <row r="343">
      <c r="E343" s="151"/>
    </row>
    <row r="344">
      <c r="E344" s="151"/>
    </row>
    <row r="345">
      <c r="E345" s="151"/>
    </row>
    <row r="346">
      <c r="E346" s="151"/>
    </row>
    <row r="347">
      <c r="E347" s="151"/>
    </row>
    <row r="348">
      <c r="E348" s="151"/>
    </row>
    <row r="349">
      <c r="E349" s="151"/>
    </row>
    <row r="350">
      <c r="E350" s="151"/>
    </row>
    <row r="351">
      <c r="E351" s="151"/>
    </row>
    <row r="352">
      <c r="E352" s="151"/>
    </row>
    <row r="353">
      <c r="E353" s="151"/>
    </row>
    <row r="354">
      <c r="E354" s="151"/>
    </row>
    <row r="355">
      <c r="E355" s="151"/>
    </row>
    <row r="356">
      <c r="E356" s="151"/>
    </row>
    <row r="357">
      <c r="E357" s="151"/>
    </row>
    <row r="358">
      <c r="E358" s="151"/>
    </row>
    <row r="359">
      <c r="E359" s="151"/>
    </row>
    <row r="360">
      <c r="E360" s="151"/>
    </row>
    <row r="361">
      <c r="E361" s="151"/>
    </row>
    <row r="362">
      <c r="E362" s="151"/>
    </row>
    <row r="363">
      <c r="E363" s="151"/>
    </row>
    <row r="364">
      <c r="E364" s="151"/>
    </row>
    <row r="365">
      <c r="E365" s="151"/>
    </row>
    <row r="366">
      <c r="E366" s="151"/>
    </row>
    <row r="367">
      <c r="E367" s="151"/>
    </row>
    <row r="368">
      <c r="E368" s="151"/>
    </row>
    <row r="369">
      <c r="E369" s="151"/>
    </row>
    <row r="370">
      <c r="E370" s="151"/>
    </row>
    <row r="371">
      <c r="E371" s="151"/>
    </row>
    <row r="372">
      <c r="E372" s="151"/>
    </row>
    <row r="373">
      <c r="E373" s="151"/>
    </row>
    <row r="374">
      <c r="E374" s="151"/>
    </row>
    <row r="375">
      <c r="E375" s="151"/>
    </row>
    <row r="376">
      <c r="E376" s="151"/>
    </row>
    <row r="377">
      <c r="E377" s="151"/>
    </row>
    <row r="378">
      <c r="E378" s="151"/>
    </row>
    <row r="379">
      <c r="E379" s="151"/>
    </row>
    <row r="380">
      <c r="E380" s="151"/>
    </row>
    <row r="381">
      <c r="E381" s="151"/>
    </row>
    <row r="382">
      <c r="E382" s="151"/>
    </row>
    <row r="383">
      <c r="E383" s="151"/>
    </row>
    <row r="384">
      <c r="E384" s="151"/>
    </row>
    <row r="385">
      <c r="E385" s="151"/>
    </row>
    <row r="386">
      <c r="E386" s="151"/>
    </row>
    <row r="387">
      <c r="E387" s="151"/>
    </row>
    <row r="388">
      <c r="E388" s="151"/>
    </row>
    <row r="389">
      <c r="E389" s="151"/>
    </row>
    <row r="390">
      <c r="E390" s="151"/>
    </row>
    <row r="391">
      <c r="E391" s="151"/>
    </row>
    <row r="392">
      <c r="E392" s="151"/>
    </row>
    <row r="393">
      <c r="E393" s="151"/>
    </row>
    <row r="394">
      <c r="E394" s="151"/>
    </row>
    <row r="395">
      <c r="E395" s="151"/>
    </row>
    <row r="396">
      <c r="E396" s="151"/>
    </row>
    <row r="397">
      <c r="E397" s="151"/>
    </row>
    <row r="398">
      <c r="E398" s="151"/>
    </row>
    <row r="399">
      <c r="E399" s="151"/>
    </row>
    <row r="400">
      <c r="E400" s="151"/>
    </row>
    <row r="401">
      <c r="E401" s="151"/>
    </row>
    <row r="402">
      <c r="E402" s="151"/>
    </row>
    <row r="403">
      <c r="E403" s="151"/>
    </row>
    <row r="404">
      <c r="E404" s="151"/>
    </row>
    <row r="405">
      <c r="E405" s="151"/>
    </row>
    <row r="406">
      <c r="E406" s="151"/>
    </row>
    <row r="407">
      <c r="E407" s="151"/>
    </row>
    <row r="408">
      <c r="E408" s="151"/>
    </row>
    <row r="409">
      <c r="E409" s="151"/>
    </row>
    <row r="410">
      <c r="E410" s="151"/>
    </row>
    <row r="411">
      <c r="E411" s="151"/>
    </row>
    <row r="412">
      <c r="E412" s="151"/>
    </row>
    <row r="413">
      <c r="E413" s="151"/>
    </row>
    <row r="414">
      <c r="E414" s="151"/>
    </row>
    <row r="415">
      <c r="E415" s="151"/>
    </row>
    <row r="416">
      <c r="E416" s="151"/>
    </row>
    <row r="417">
      <c r="E417" s="151"/>
    </row>
    <row r="418">
      <c r="E418" s="151"/>
    </row>
    <row r="419">
      <c r="E419" s="151"/>
    </row>
    <row r="420">
      <c r="E420" s="151"/>
    </row>
    <row r="421">
      <c r="E421" s="151"/>
    </row>
    <row r="422">
      <c r="E422" s="151"/>
    </row>
    <row r="423">
      <c r="E423" s="151"/>
    </row>
    <row r="424">
      <c r="E424" s="151"/>
    </row>
    <row r="425">
      <c r="E425" s="151"/>
    </row>
    <row r="426">
      <c r="E426" s="151"/>
    </row>
    <row r="427">
      <c r="E427" s="151"/>
    </row>
    <row r="428">
      <c r="E428" s="151"/>
    </row>
    <row r="429">
      <c r="E429" s="151"/>
    </row>
    <row r="430">
      <c r="E430" s="151"/>
    </row>
    <row r="431">
      <c r="E431" s="151"/>
    </row>
    <row r="432">
      <c r="E432" s="151"/>
    </row>
    <row r="433">
      <c r="E433" s="151"/>
    </row>
    <row r="434">
      <c r="E434" s="151"/>
    </row>
    <row r="435">
      <c r="E435" s="151"/>
    </row>
    <row r="436">
      <c r="E436" s="151"/>
    </row>
    <row r="437">
      <c r="E437" s="151"/>
    </row>
    <row r="438">
      <c r="E438" s="151"/>
    </row>
    <row r="439">
      <c r="E439" s="151"/>
    </row>
    <row r="440">
      <c r="E440" s="151"/>
    </row>
    <row r="441">
      <c r="E441" s="151"/>
    </row>
    <row r="442">
      <c r="E442" s="151"/>
    </row>
    <row r="443">
      <c r="E443" s="151"/>
    </row>
    <row r="444">
      <c r="E444" s="151"/>
    </row>
    <row r="445">
      <c r="E445" s="151"/>
    </row>
    <row r="446">
      <c r="E446" s="151"/>
    </row>
    <row r="447">
      <c r="E447" s="151"/>
    </row>
    <row r="448">
      <c r="E448" s="151"/>
    </row>
    <row r="449">
      <c r="E449" s="151"/>
    </row>
    <row r="450">
      <c r="E450" s="151"/>
    </row>
    <row r="451">
      <c r="E451" s="151"/>
    </row>
    <row r="452">
      <c r="E452" s="151"/>
    </row>
    <row r="453">
      <c r="E453" s="151"/>
    </row>
    <row r="454">
      <c r="E454" s="151"/>
    </row>
    <row r="455">
      <c r="E455" s="151"/>
    </row>
    <row r="456">
      <c r="E456" s="151"/>
    </row>
    <row r="457">
      <c r="E457" s="151"/>
    </row>
    <row r="458">
      <c r="E458" s="151"/>
    </row>
    <row r="459">
      <c r="E459" s="151"/>
    </row>
    <row r="460">
      <c r="E460" s="151"/>
    </row>
    <row r="461">
      <c r="E461" s="151"/>
    </row>
    <row r="462">
      <c r="E462" s="151"/>
    </row>
    <row r="463">
      <c r="E463" s="151"/>
    </row>
    <row r="464">
      <c r="E464" s="151"/>
    </row>
    <row r="465">
      <c r="E465" s="151"/>
    </row>
    <row r="466">
      <c r="E466" s="151"/>
    </row>
    <row r="467">
      <c r="E467" s="151"/>
    </row>
    <row r="468">
      <c r="E468" s="151"/>
    </row>
    <row r="469">
      <c r="E469" s="151"/>
    </row>
    <row r="470">
      <c r="E470" s="151"/>
    </row>
    <row r="471">
      <c r="E471" s="151"/>
    </row>
    <row r="472">
      <c r="E472" s="151"/>
    </row>
    <row r="473">
      <c r="E473" s="151"/>
    </row>
    <row r="474">
      <c r="E474" s="151"/>
    </row>
    <row r="475">
      <c r="E475" s="151"/>
    </row>
    <row r="476">
      <c r="E476" s="151"/>
    </row>
    <row r="477">
      <c r="E477" s="151"/>
    </row>
    <row r="478">
      <c r="E478" s="151"/>
    </row>
    <row r="479">
      <c r="E479" s="151"/>
    </row>
    <row r="480">
      <c r="E480" s="151"/>
    </row>
    <row r="481">
      <c r="E481" s="151"/>
    </row>
    <row r="482">
      <c r="E482" s="151"/>
    </row>
    <row r="483">
      <c r="E483" s="151"/>
    </row>
    <row r="484">
      <c r="E484" s="151"/>
    </row>
    <row r="485">
      <c r="E485" s="151"/>
    </row>
    <row r="486">
      <c r="E486" s="151"/>
    </row>
    <row r="487">
      <c r="E487" s="151"/>
    </row>
    <row r="488">
      <c r="E488" s="151"/>
    </row>
    <row r="489">
      <c r="E489" s="151"/>
    </row>
    <row r="490">
      <c r="E490" s="151"/>
    </row>
    <row r="491">
      <c r="E491" s="151"/>
    </row>
    <row r="492">
      <c r="E492" s="151"/>
    </row>
    <row r="493">
      <c r="E493" s="151"/>
    </row>
    <row r="494">
      <c r="E494" s="151"/>
    </row>
    <row r="495">
      <c r="E495" s="151"/>
    </row>
    <row r="496">
      <c r="E496" s="151"/>
    </row>
    <row r="497">
      <c r="E497" s="151"/>
    </row>
    <row r="498">
      <c r="E498" s="151"/>
    </row>
    <row r="499">
      <c r="E499" s="151"/>
    </row>
    <row r="500">
      <c r="E500" s="151"/>
    </row>
    <row r="501">
      <c r="E501" s="151"/>
    </row>
    <row r="502">
      <c r="E502" s="151"/>
    </row>
    <row r="503">
      <c r="E503" s="151"/>
    </row>
    <row r="504">
      <c r="E504" s="151"/>
    </row>
    <row r="505">
      <c r="E505" s="151"/>
    </row>
    <row r="506">
      <c r="E506" s="151"/>
    </row>
    <row r="507">
      <c r="E507" s="151"/>
    </row>
    <row r="508">
      <c r="E508" s="151"/>
    </row>
    <row r="509">
      <c r="E509" s="151"/>
    </row>
    <row r="510">
      <c r="E510" s="151"/>
    </row>
    <row r="511">
      <c r="E511" s="151"/>
    </row>
    <row r="512">
      <c r="E512" s="151"/>
    </row>
    <row r="513">
      <c r="E513" s="151"/>
    </row>
    <row r="514">
      <c r="E514" s="151"/>
    </row>
    <row r="515">
      <c r="E515" s="151"/>
    </row>
    <row r="516">
      <c r="E516" s="151"/>
    </row>
    <row r="517">
      <c r="E517" s="151"/>
    </row>
    <row r="518">
      <c r="E518" s="151"/>
    </row>
    <row r="519">
      <c r="E519" s="151"/>
    </row>
    <row r="520">
      <c r="E520" s="151"/>
    </row>
    <row r="521">
      <c r="E521" s="151"/>
    </row>
    <row r="522">
      <c r="E522" s="151"/>
    </row>
    <row r="523">
      <c r="E523" s="151"/>
    </row>
    <row r="524">
      <c r="E524" s="151"/>
    </row>
    <row r="525">
      <c r="E525" s="151"/>
    </row>
    <row r="526">
      <c r="E526" s="151"/>
    </row>
    <row r="527">
      <c r="E527" s="151"/>
    </row>
    <row r="528">
      <c r="E528" s="151"/>
    </row>
    <row r="529">
      <c r="E529" s="151"/>
    </row>
    <row r="530">
      <c r="E530" s="151"/>
    </row>
    <row r="531">
      <c r="E531" s="151"/>
    </row>
    <row r="532">
      <c r="E532" s="151"/>
    </row>
    <row r="533">
      <c r="E533" s="151"/>
    </row>
    <row r="534">
      <c r="E534" s="151"/>
    </row>
    <row r="535">
      <c r="E535" s="151"/>
    </row>
    <row r="536">
      <c r="E536" s="151"/>
    </row>
    <row r="537">
      <c r="E537" s="151"/>
    </row>
    <row r="538">
      <c r="E538" s="151"/>
    </row>
    <row r="539">
      <c r="E539" s="151"/>
    </row>
    <row r="540">
      <c r="E540" s="151"/>
    </row>
    <row r="541">
      <c r="E541" s="151"/>
    </row>
    <row r="542">
      <c r="E542" s="151"/>
    </row>
    <row r="543">
      <c r="E543" s="151"/>
    </row>
    <row r="544">
      <c r="E544" s="151"/>
    </row>
    <row r="545">
      <c r="E545" s="151"/>
    </row>
    <row r="546">
      <c r="E546" s="151"/>
    </row>
    <row r="547">
      <c r="E547" s="151"/>
    </row>
    <row r="548">
      <c r="E548" s="151"/>
    </row>
    <row r="549">
      <c r="E549" s="151"/>
    </row>
    <row r="550">
      <c r="E550" s="151"/>
    </row>
    <row r="551">
      <c r="E551" s="151"/>
    </row>
    <row r="552">
      <c r="E552" s="151"/>
    </row>
    <row r="553">
      <c r="E553" s="151"/>
    </row>
    <row r="554">
      <c r="E554" s="151"/>
    </row>
    <row r="555">
      <c r="E555" s="151"/>
    </row>
    <row r="556">
      <c r="E556" s="151"/>
    </row>
    <row r="557">
      <c r="E557" s="151"/>
    </row>
    <row r="558">
      <c r="E558" s="151"/>
    </row>
    <row r="559">
      <c r="E559" s="151"/>
    </row>
    <row r="560">
      <c r="E560" s="151"/>
    </row>
    <row r="561">
      <c r="E561" s="151"/>
    </row>
    <row r="562">
      <c r="E562" s="151"/>
    </row>
    <row r="563">
      <c r="E563" s="151"/>
    </row>
    <row r="564">
      <c r="E564" s="151"/>
    </row>
    <row r="565">
      <c r="E565" s="151"/>
    </row>
    <row r="566">
      <c r="E566" s="151"/>
    </row>
    <row r="567">
      <c r="E567" s="151"/>
    </row>
    <row r="568">
      <c r="E568" s="151"/>
    </row>
    <row r="569">
      <c r="E569" s="151"/>
    </row>
    <row r="570">
      <c r="E570" s="151"/>
    </row>
    <row r="571">
      <c r="E571" s="151"/>
    </row>
    <row r="572">
      <c r="E572" s="151"/>
    </row>
    <row r="573">
      <c r="E573" s="151"/>
    </row>
    <row r="574">
      <c r="E574" s="151"/>
    </row>
    <row r="575">
      <c r="E575" s="151"/>
    </row>
    <row r="576">
      <c r="E576" s="151"/>
    </row>
    <row r="577">
      <c r="E577" s="151"/>
    </row>
    <row r="578">
      <c r="E578" s="151"/>
    </row>
    <row r="579">
      <c r="E579" s="151"/>
    </row>
    <row r="580">
      <c r="E580" s="151"/>
    </row>
    <row r="581">
      <c r="E581" s="151"/>
    </row>
    <row r="582">
      <c r="E582" s="151"/>
    </row>
    <row r="583">
      <c r="E583" s="151"/>
    </row>
    <row r="584">
      <c r="E584" s="151"/>
    </row>
    <row r="585">
      <c r="E585" s="151"/>
    </row>
    <row r="586">
      <c r="E586" s="151"/>
    </row>
    <row r="587">
      <c r="E587" s="151"/>
    </row>
    <row r="588">
      <c r="E588" s="151"/>
    </row>
    <row r="589">
      <c r="E589" s="151"/>
    </row>
    <row r="590">
      <c r="E590" s="151"/>
    </row>
    <row r="591">
      <c r="E591" s="151"/>
    </row>
    <row r="592">
      <c r="E592" s="151"/>
    </row>
    <row r="593">
      <c r="E593" s="151"/>
    </row>
    <row r="594">
      <c r="E594" s="151"/>
    </row>
    <row r="595">
      <c r="E595" s="151"/>
    </row>
    <row r="596">
      <c r="E596" s="151"/>
    </row>
    <row r="597">
      <c r="E597" s="151"/>
    </row>
    <row r="598">
      <c r="E598" s="151"/>
    </row>
    <row r="599">
      <c r="E599" s="151"/>
    </row>
    <row r="600">
      <c r="E600" s="151"/>
    </row>
    <row r="601">
      <c r="E601" s="151"/>
    </row>
    <row r="602">
      <c r="E602" s="151"/>
    </row>
    <row r="603">
      <c r="E603" s="151"/>
    </row>
    <row r="604">
      <c r="E604" s="151"/>
    </row>
    <row r="605">
      <c r="E605" s="151"/>
    </row>
    <row r="606">
      <c r="E606" s="151"/>
    </row>
    <row r="607">
      <c r="E607" s="151"/>
    </row>
    <row r="608">
      <c r="E608" s="151"/>
    </row>
    <row r="609">
      <c r="E609" s="151"/>
    </row>
    <row r="610">
      <c r="E610" s="151"/>
    </row>
    <row r="611">
      <c r="E611" s="151"/>
    </row>
    <row r="612">
      <c r="E612" s="151"/>
    </row>
    <row r="613">
      <c r="E613" s="151"/>
    </row>
    <row r="614">
      <c r="E614" s="151"/>
    </row>
    <row r="615">
      <c r="E615" s="151"/>
    </row>
    <row r="616">
      <c r="E616" s="151"/>
    </row>
    <row r="617">
      <c r="E617" s="151"/>
    </row>
    <row r="618">
      <c r="E618" s="151"/>
    </row>
    <row r="619">
      <c r="E619" s="151"/>
    </row>
    <row r="620">
      <c r="E620" s="151"/>
    </row>
    <row r="621">
      <c r="E621" s="151"/>
    </row>
    <row r="622">
      <c r="E622" s="151"/>
    </row>
    <row r="623">
      <c r="E623" s="151"/>
    </row>
    <row r="624">
      <c r="E624" s="151"/>
    </row>
    <row r="625">
      <c r="E625" s="151"/>
    </row>
    <row r="626">
      <c r="E626" s="151"/>
    </row>
    <row r="627">
      <c r="E627" s="151"/>
    </row>
    <row r="628">
      <c r="E628" s="151"/>
    </row>
    <row r="629">
      <c r="E629" s="151"/>
    </row>
    <row r="630">
      <c r="E630" s="151"/>
    </row>
    <row r="631">
      <c r="E631" s="151"/>
    </row>
    <row r="632">
      <c r="E632" s="151"/>
    </row>
    <row r="633">
      <c r="E633" s="151"/>
    </row>
    <row r="634">
      <c r="E634" s="151"/>
    </row>
    <row r="635">
      <c r="E635" s="151"/>
    </row>
    <row r="636">
      <c r="E636" s="151"/>
    </row>
    <row r="637">
      <c r="E637" s="151"/>
    </row>
    <row r="638">
      <c r="E638" s="151"/>
    </row>
    <row r="639">
      <c r="E639" s="151"/>
    </row>
    <row r="640">
      <c r="E640" s="151"/>
    </row>
    <row r="641">
      <c r="E641" s="151"/>
    </row>
    <row r="642">
      <c r="E642" s="151"/>
    </row>
    <row r="643">
      <c r="E643" s="151"/>
    </row>
    <row r="644">
      <c r="E644" s="151"/>
    </row>
    <row r="645">
      <c r="E645" s="151"/>
    </row>
    <row r="646">
      <c r="E646" s="151"/>
    </row>
    <row r="647">
      <c r="E647" s="151"/>
    </row>
    <row r="648">
      <c r="E648" s="151"/>
    </row>
    <row r="649">
      <c r="E649" s="151"/>
    </row>
    <row r="650">
      <c r="E650" s="151"/>
    </row>
    <row r="651">
      <c r="E651" s="151"/>
    </row>
    <row r="652">
      <c r="E652" s="151"/>
    </row>
    <row r="653">
      <c r="E653" s="151"/>
    </row>
    <row r="654">
      <c r="E654" s="151"/>
    </row>
    <row r="655">
      <c r="E655" s="151"/>
    </row>
    <row r="656">
      <c r="E656" s="151"/>
    </row>
    <row r="657">
      <c r="E657" s="151"/>
    </row>
    <row r="658">
      <c r="E658" s="151"/>
    </row>
    <row r="659">
      <c r="E659" s="151"/>
    </row>
    <row r="660">
      <c r="E660" s="151"/>
    </row>
    <row r="661">
      <c r="E661" s="151"/>
    </row>
    <row r="662">
      <c r="E662" s="151"/>
    </row>
    <row r="663">
      <c r="E663" s="151"/>
    </row>
    <row r="664">
      <c r="E664" s="151"/>
    </row>
    <row r="665">
      <c r="E665" s="151"/>
    </row>
    <row r="666">
      <c r="E666" s="151"/>
    </row>
    <row r="667">
      <c r="E667" s="151"/>
    </row>
    <row r="668">
      <c r="E668" s="151"/>
    </row>
    <row r="669">
      <c r="E669" s="151"/>
    </row>
    <row r="670">
      <c r="E670" s="151"/>
    </row>
    <row r="671">
      <c r="E671" s="151"/>
    </row>
    <row r="672">
      <c r="E672" s="151"/>
    </row>
    <row r="673">
      <c r="E673" s="151"/>
    </row>
    <row r="674">
      <c r="E674" s="151"/>
    </row>
    <row r="675">
      <c r="E675" s="151"/>
    </row>
    <row r="676">
      <c r="E676" s="151"/>
    </row>
    <row r="677">
      <c r="E677" s="151"/>
    </row>
    <row r="678">
      <c r="E678" s="151"/>
    </row>
    <row r="679">
      <c r="E679" s="151"/>
    </row>
    <row r="680">
      <c r="E680" s="151"/>
    </row>
    <row r="681">
      <c r="E681" s="151"/>
    </row>
    <row r="682">
      <c r="E682" s="151"/>
    </row>
    <row r="683">
      <c r="E683" s="151"/>
    </row>
    <row r="684">
      <c r="E684" s="151"/>
    </row>
    <row r="685">
      <c r="E685" s="151"/>
    </row>
    <row r="686">
      <c r="E686" s="151"/>
    </row>
    <row r="687">
      <c r="E687" s="151"/>
    </row>
    <row r="688">
      <c r="E688" s="151"/>
    </row>
    <row r="689">
      <c r="E689" s="151"/>
    </row>
    <row r="690">
      <c r="E690" s="151"/>
    </row>
    <row r="691">
      <c r="E691" s="151"/>
    </row>
    <row r="692">
      <c r="E692" s="151"/>
    </row>
    <row r="693">
      <c r="E693" s="151"/>
    </row>
    <row r="694">
      <c r="E694" s="151"/>
    </row>
    <row r="695">
      <c r="E695" s="151"/>
    </row>
    <row r="696">
      <c r="E696" s="151"/>
    </row>
    <row r="697">
      <c r="E697" s="151"/>
    </row>
    <row r="698">
      <c r="E698" s="151"/>
    </row>
    <row r="699">
      <c r="E699" s="151"/>
    </row>
    <row r="700">
      <c r="E700" s="151"/>
    </row>
    <row r="701">
      <c r="E701" s="151"/>
    </row>
    <row r="702">
      <c r="E702" s="151"/>
    </row>
    <row r="703">
      <c r="E703" s="151"/>
    </row>
    <row r="704">
      <c r="E704" s="151"/>
    </row>
    <row r="705">
      <c r="E705" s="151"/>
    </row>
    <row r="706">
      <c r="E706" s="151"/>
    </row>
    <row r="707">
      <c r="E707" s="151"/>
    </row>
    <row r="708">
      <c r="E708" s="151"/>
    </row>
    <row r="709">
      <c r="E709" s="151"/>
    </row>
    <row r="710">
      <c r="E710" s="151"/>
    </row>
    <row r="711">
      <c r="E711" s="151"/>
    </row>
    <row r="712">
      <c r="E712" s="151"/>
    </row>
    <row r="713">
      <c r="E713" s="151"/>
    </row>
    <row r="714">
      <c r="E714" s="151"/>
    </row>
    <row r="715">
      <c r="E715" s="151"/>
    </row>
    <row r="716">
      <c r="E716" s="151"/>
    </row>
    <row r="717">
      <c r="E717" s="151"/>
    </row>
    <row r="718">
      <c r="E718" s="151"/>
    </row>
    <row r="719">
      <c r="E719" s="151"/>
    </row>
    <row r="720">
      <c r="E720" s="151"/>
    </row>
    <row r="721">
      <c r="E721" s="151"/>
    </row>
    <row r="722">
      <c r="E722" s="151"/>
    </row>
    <row r="723">
      <c r="E723" s="151"/>
    </row>
    <row r="724">
      <c r="E724" s="151"/>
    </row>
    <row r="725">
      <c r="E725" s="151"/>
    </row>
    <row r="726">
      <c r="E726" s="151"/>
    </row>
    <row r="727">
      <c r="E727" s="151"/>
    </row>
    <row r="728">
      <c r="E728" s="151"/>
    </row>
    <row r="729">
      <c r="E729" s="151"/>
    </row>
    <row r="730">
      <c r="E730" s="151"/>
    </row>
    <row r="731">
      <c r="E731" s="151"/>
    </row>
    <row r="732">
      <c r="E732" s="151"/>
    </row>
    <row r="733">
      <c r="E733" s="151"/>
    </row>
    <row r="734">
      <c r="E734" s="151"/>
    </row>
    <row r="735">
      <c r="E735" s="151"/>
    </row>
    <row r="736">
      <c r="E736" s="151"/>
    </row>
    <row r="737">
      <c r="E737" s="151"/>
    </row>
    <row r="738">
      <c r="E738" s="151"/>
    </row>
    <row r="739">
      <c r="E739" s="151"/>
    </row>
    <row r="740">
      <c r="E740" s="151"/>
    </row>
    <row r="741">
      <c r="E741" s="151"/>
    </row>
    <row r="742">
      <c r="E742" s="151"/>
    </row>
    <row r="743">
      <c r="E743" s="151"/>
    </row>
    <row r="744">
      <c r="E744" s="151"/>
    </row>
    <row r="745">
      <c r="E745" s="151"/>
    </row>
    <row r="746">
      <c r="E746" s="151"/>
    </row>
    <row r="747">
      <c r="E747" s="151"/>
    </row>
    <row r="748">
      <c r="E748" s="151"/>
    </row>
    <row r="749">
      <c r="E749" s="151"/>
    </row>
    <row r="750">
      <c r="E750" s="151"/>
    </row>
    <row r="751">
      <c r="E751" s="151"/>
    </row>
    <row r="752">
      <c r="E752" s="151"/>
    </row>
    <row r="753">
      <c r="E753" s="151"/>
    </row>
    <row r="754">
      <c r="E754" s="151"/>
    </row>
    <row r="755">
      <c r="E755" s="151"/>
    </row>
    <row r="756">
      <c r="E756" s="151"/>
    </row>
    <row r="757">
      <c r="E757" s="151"/>
    </row>
    <row r="758">
      <c r="E758" s="151"/>
    </row>
    <row r="759">
      <c r="E759" s="151"/>
    </row>
    <row r="760">
      <c r="E760" s="151"/>
    </row>
    <row r="761">
      <c r="E761" s="151"/>
    </row>
    <row r="762">
      <c r="E762" s="151"/>
    </row>
    <row r="763">
      <c r="E763" s="151"/>
    </row>
    <row r="764">
      <c r="E764" s="151"/>
    </row>
    <row r="765">
      <c r="E765" s="151"/>
    </row>
    <row r="766">
      <c r="E766" s="151"/>
    </row>
    <row r="767">
      <c r="E767" s="151"/>
    </row>
    <row r="768">
      <c r="E768" s="151"/>
    </row>
    <row r="769">
      <c r="E769" s="151"/>
    </row>
    <row r="770">
      <c r="E770" s="151"/>
    </row>
    <row r="771">
      <c r="E771" s="151"/>
    </row>
    <row r="772">
      <c r="E772" s="151"/>
    </row>
    <row r="773">
      <c r="E773" s="151"/>
    </row>
    <row r="774">
      <c r="E774" s="151"/>
    </row>
    <row r="775">
      <c r="E775" s="151"/>
    </row>
    <row r="776">
      <c r="E776" s="151"/>
    </row>
    <row r="777">
      <c r="E777" s="151"/>
    </row>
    <row r="778">
      <c r="E778" s="151"/>
    </row>
    <row r="779">
      <c r="E779" s="151"/>
    </row>
    <row r="780">
      <c r="E780" s="151"/>
    </row>
    <row r="781">
      <c r="E781" s="151"/>
    </row>
    <row r="782">
      <c r="E782" s="151"/>
    </row>
    <row r="783">
      <c r="E783" s="151"/>
    </row>
    <row r="784">
      <c r="E784" s="151"/>
    </row>
    <row r="785">
      <c r="E785" s="151"/>
    </row>
    <row r="786">
      <c r="E786" s="151"/>
    </row>
    <row r="787">
      <c r="E787" s="151"/>
    </row>
    <row r="788">
      <c r="E788" s="151"/>
    </row>
    <row r="789">
      <c r="E789" s="151"/>
    </row>
    <row r="790">
      <c r="E790" s="151"/>
    </row>
    <row r="791">
      <c r="E791" s="151"/>
    </row>
    <row r="792">
      <c r="E792" s="151"/>
    </row>
    <row r="793">
      <c r="E793" s="151"/>
    </row>
    <row r="794">
      <c r="E794" s="151"/>
    </row>
    <row r="795">
      <c r="E795" s="151"/>
    </row>
    <row r="796">
      <c r="E796" s="151"/>
    </row>
    <row r="797">
      <c r="E797" s="151"/>
    </row>
    <row r="798">
      <c r="E798" s="151"/>
    </row>
    <row r="799">
      <c r="E799" s="151"/>
    </row>
    <row r="800">
      <c r="E800" s="151"/>
    </row>
    <row r="801">
      <c r="E801" s="151"/>
    </row>
    <row r="802">
      <c r="E802" s="151"/>
    </row>
    <row r="803">
      <c r="E803" s="151"/>
    </row>
    <row r="804">
      <c r="E804" s="151"/>
    </row>
    <row r="805">
      <c r="E805" s="151"/>
    </row>
    <row r="806">
      <c r="E806" s="151"/>
    </row>
    <row r="807">
      <c r="E807" s="151"/>
    </row>
    <row r="808">
      <c r="E808" s="151"/>
    </row>
    <row r="809">
      <c r="E809" s="151"/>
    </row>
    <row r="810">
      <c r="E810" s="151"/>
    </row>
    <row r="811">
      <c r="E811" s="151"/>
    </row>
    <row r="812">
      <c r="E812" s="151"/>
    </row>
    <row r="813">
      <c r="E813" s="151"/>
    </row>
    <row r="814">
      <c r="E814" s="151"/>
    </row>
    <row r="815">
      <c r="E815" s="151"/>
    </row>
    <row r="816">
      <c r="E816" s="151"/>
    </row>
    <row r="817">
      <c r="E817" s="151"/>
    </row>
    <row r="818">
      <c r="E818" s="151"/>
    </row>
    <row r="819">
      <c r="E819" s="151"/>
    </row>
    <row r="820">
      <c r="E820" s="151"/>
    </row>
    <row r="821">
      <c r="E821" s="151"/>
    </row>
    <row r="822">
      <c r="E822" s="151"/>
    </row>
    <row r="823">
      <c r="E823" s="151"/>
    </row>
    <row r="824">
      <c r="E824" s="151"/>
    </row>
    <row r="825">
      <c r="E825" s="151"/>
    </row>
    <row r="826">
      <c r="E826" s="151"/>
    </row>
    <row r="827">
      <c r="E827" s="151"/>
    </row>
    <row r="828">
      <c r="E828" s="151"/>
    </row>
    <row r="829">
      <c r="E829" s="151"/>
    </row>
    <row r="830">
      <c r="E830" s="151"/>
    </row>
    <row r="831">
      <c r="E831" s="151"/>
    </row>
    <row r="832">
      <c r="E832" s="151"/>
    </row>
    <row r="833">
      <c r="E833" s="151"/>
    </row>
    <row r="834">
      <c r="E834" s="151"/>
    </row>
    <row r="835">
      <c r="E835" s="151"/>
    </row>
    <row r="836">
      <c r="E836" s="151"/>
    </row>
    <row r="837">
      <c r="E837" s="151"/>
    </row>
    <row r="838">
      <c r="E838" s="151"/>
    </row>
    <row r="839">
      <c r="E839" s="151"/>
    </row>
    <row r="840">
      <c r="E840" s="151"/>
    </row>
    <row r="841">
      <c r="E841" s="151"/>
    </row>
    <row r="842">
      <c r="E842" s="151"/>
    </row>
    <row r="843">
      <c r="E843" s="151"/>
    </row>
    <row r="844">
      <c r="E844" s="151"/>
    </row>
    <row r="845">
      <c r="E845" s="151"/>
    </row>
    <row r="846">
      <c r="E846" s="151"/>
    </row>
    <row r="847">
      <c r="E847" s="151"/>
    </row>
    <row r="848">
      <c r="E848" s="151"/>
    </row>
    <row r="849">
      <c r="E849" s="151"/>
    </row>
    <row r="850">
      <c r="E850" s="151"/>
    </row>
    <row r="851">
      <c r="E851" s="151"/>
    </row>
    <row r="852">
      <c r="E852" s="151"/>
    </row>
    <row r="853">
      <c r="E853" s="151"/>
    </row>
    <row r="854">
      <c r="E854" s="151"/>
    </row>
    <row r="855">
      <c r="E855" s="151"/>
    </row>
    <row r="856">
      <c r="E856" s="151"/>
    </row>
    <row r="857">
      <c r="E857" s="151"/>
    </row>
    <row r="858">
      <c r="E858" s="151"/>
    </row>
    <row r="859">
      <c r="E859" s="151"/>
    </row>
    <row r="860">
      <c r="E860" s="151"/>
    </row>
    <row r="861">
      <c r="E861" s="151"/>
    </row>
    <row r="862">
      <c r="E862" s="151"/>
    </row>
    <row r="863">
      <c r="E863" s="151"/>
    </row>
    <row r="864">
      <c r="E864" s="151"/>
    </row>
    <row r="865">
      <c r="E865" s="151"/>
    </row>
    <row r="866">
      <c r="E866" s="151"/>
    </row>
    <row r="867">
      <c r="E867" s="151"/>
    </row>
    <row r="868">
      <c r="E868" s="151"/>
    </row>
    <row r="869">
      <c r="E869" s="151"/>
    </row>
    <row r="870">
      <c r="E870" s="151"/>
    </row>
    <row r="871">
      <c r="E871" s="151"/>
    </row>
    <row r="872">
      <c r="E872" s="151"/>
    </row>
    <row r="873">
      <c r="E873" s="151"/>
    </row>
    <row r="874">
      <c r="E874" s="151"/>
    </row>
    <row r="875">
      <c r="E875" s="151"/>
    </row>
    <row r="876">
      <c r="E876" s="151"/>
    </row>
    <row r="877">
      <c r="E877" s="151"/>
    </row>
    <row r="878">
      <c r="E878" s="151"/>
    </row>
    <row r="879">
      <c r="E879" s="151"/>
    </row>
    <row r="880">
      <c r="E880" s="151"/>
    </row>
    <row r="881">
      <c r="E881" s="151"/>
    </row>
    <row r="882">
      <c r="E882" s="151"/>
    </row>
    <row r="883">
      <c r="E883" s="151"/>
    </row>
    <row r="884">
      <c r="E884" s="151"/>
    </row>
    <row r="885">
      <c r="E885" s="151"/>
    </row>
    <row r="886">
      <c r="E886" s="151"/>
    </row>
    <row r="887">
      <c r="E887" s="151"/>
    </row>
    <row r="888">
      <c r="E888" s="151"/>
    </row>
    <row r="889">
      <c r="E889" s="151"/>
    </row>
    <row r="890">
      <c r="E890" s="151"/>
    </row>
    <row r="891">
      <c r="E891" s="151"/>
    </row>
    <row r="892">
      <c r="E892" s="151"/>
    </row>
    <row r="893">
      <c r="E893" s="151"/>
    </row>
    <row r="894">
      <c r="E894" s="151"/>
    </row>
    <row r="895">
      <c r="E895" s="151"/>
    </row>
    <row r="896">
      <c r="E896" s="151"/>
    </row>
    <row r="897">
      <c r="E897" s="151"/>
    </row>
    <row r="898">
      <c r="E898" s="151"/>
    </row>
    <row r="899">
      <c r="E899" s="151"/>
    </row>
    <row r="900">
      <c r="E900" s="151"/>
    </row>
    <row r="901">
      <c r="E901" s="151"/>
    </row>
    <row r="902">
      <c r="E902" s="151"/>
    </row>
    <row r="903">
      <c r="E903" s="151"/>
    </row>
    <row r="904">
      <c r="E904" s="151"/>
    </row>
    <row r="905">
      <c r="E905" s="151"/>
    </row>
    <row r="906">
      <c r="E906" s="151"/>
    </row>
    <row r="907">
      <c r="E907" s="151"/>
    </row>
    <row r="908">
      <c r="E908" s="151"/>
    </row>
    <row r="909">
      <c r="E909" s="151"/>
    </row>
    <row r="910">
      <c r="E910" s="151"/>
    </row>
    <row r="911">
      <c r="E911" s="151"/>
    </row>
    <row r="912">
      <c r="E912" s="151"/>
    </row>
    <row r="913">
      <c r="E913" s="151"/>
    </row>
    <row r="914">
      <c r="E914" s="151"/>
    </row>
    <row r="915">
      <c r="E915" s="151"/>
    </row>
    <row r="916">
      <c r="E916" s="151"/>
    </row>
    <row r="917">
      <c r="E917" s="151"/>
    </row>
    <row r="918">
      <c r="E918" s="151"/>
    </row>
    <row r="919">
      <c r="E919" s="151"/>
    </row>
    <row r="920">
      <c r="E920" s="151"/>
    </row>
    <row r="921">
      <c r="E921" s="151"/>
    </row>
    <row r="922">
      <c r="E922" s="151"/>
    </row>
    <row r="923">
      <c r="E923" s="151"/>
    </row>
    <row r="924">
      <c r="E924" s="151"/>
    </row>
    <row r="925">
      <c r="E925" s="151"/>
    </row>
    <row r="926">
      <c r="E926" s="151"/>
    </row>
    <row r="927">
      <c r="E927" s="151"/>
    </row>
    <row r="928">
      <c r="E928" s="151"/>
    </row>
    <row r="929">
      <c r="E929" s="151"/>
    </row>
    <row r="930">
      <c r="E930" s="151"/>
    </row>
    <row r="931">
      <c r="E931" s="151"/>
    </row>
    <row r="932">
      <c r="E932" s="151"/>
    </row>
    <row r="933">
      <c r="E933" s="151"/>
    </row>
    <row r="934">
      <c r="E934" s="151"/>
    </row>
    <row r="935">
      <c r="E935" s="151"/>
    </row>
    <row r="936">
      <c r="E936" s="151"/>
    </row>
    <row r="937">
      <c r="E937" s="151"/>
    </row>
    <row r="938">
      <c r="E938" s="151"/>
    </row>
    <row r="939">
      <c r="E939" s="151"/>
    </row>
    <row r="940">
      <c r="E940" s="151"/>
    </row>
    <row r="941">
      <c r="E941" s="151"/>
    </row>
    <row r="942">
      <c r="E942" s="151"/>
    </row>
    <row r="943">
      <c r="E943" s="151"/>
    </row>
    <row r="944">
      <c r="E944" s="151"/>
    </row>
    <row r="945">
      <c r="E945" s="151"/>
    </row>
    <row r="946">
      <c r="E946" s="151"/>
    </row>
    <row r="947">
      <c r="E947" s="151"/>
    </row>
    <row r="948">
      <c r="E948" s="151"/>
    </row>
    <row r="949">
      <c r="E949" s="151"/>
    </row>
    <row r="950">
      <c r="E950" s="151"/>
    </row>
    <row r="951">
      <c r="E951" s="151"/>
    </row>
    <row r="952">
      <c r="E952" s="151"/>
    </row>
    <row r="953">
      <c r="E953" s="151"/>
    </row>
    <row r="954">
      <c r="E954" s="151"/>
    </row>
    <row r="955">
      <c r="E955" s="151"/>
    </row>
    <row r="956">
      <c r="E956" s="151"/>
    </row>
    <row r="957">
      <c r="E957" s="151"/>
    </row>
    <row r="958">
      <c r="E958" s="151"/>
    </row>
    <row r="959">
      <c r="E959" s="151"/>
    </row>
    <row r="960">
      <c r="E960" s="151"/>
    </row>
    <row r="961">
      <c r="E961" s="151"/>
    </row>
    <row r="962">
      <c r="E962" s="151"/>
    </row>
    <row r="963">
      <c r="E963" s="151"/>
    </row>
    <row r="964">
      <c r="E964" s="151"/>
    </row>
    <row r="965">
      <c r="E965" s="151"/>
    </row>
    <row r="966">
      <c r="E966" s="151"/>
    </row>
    <row r="967">
      <c r="E967" s="151"/>
    </row>
    <row r="968">
      <c r="E968" s="151"/>
    </row>
    <row r="969">
      <c r="E969" s="151"/>
    </row>
    <row r="970">
      <c r="E970" s="151"/>
    </row>
    <row r="971">
      <c r="E971" s="151"/>
    </row>
    <row r="972">
      <c r="E972" s="151"/>
    </row>
    <row r="973">
      <c r="E973" s="151"/>
    </row>
    <row r="974">
      <c r="E974" s="151"/>
    </row>
    <row r="975">
      <c r="E975" s="151"/>
    </row>
    <row r="976">
      <c r="E976" s="151"/>
    </row>
    <row r="977">
      <c r="E977" s="151"/>
    </row>
    <row r="978">
      <c r="E978" s="151"/>
    </row>
    <row r="979">
      <c r="E979" s="151"/>
    </row>
    <row r="980">
      <c r="E980" s="151"/>
    </row>
    <row r="981">
      <c r="E981" s="151"/>
    </row>
    <row r="982">
      <c r="E982" s="151"/>
    </row>
    <row r="983">
      <c r="E983" s="151"/>
    </row>
    <row r="984">
      <c r="E984" s="151"/>
    </row>
    <row r="985">
      <c r="E985" s="151"/>
    </row>
    <row r="986">
      <c r="E986" s="151"/>
    </row>
    <row r="987">
      <c r="E987" s="151"/>
    </row>
    <row r="988">
      <c r="E988" s="151"/>
    </row>
    <row r="989">
      <c r="E989" s="151"/>
    </row>
    <row r="990">
      <c r="E990" s="151"/>
    </row>
    <row r="991">
      <c r="E991" s="151"/>
    </row>
    <row r="992">
      <c r="E992" s="151"/>
    </row>
    <row r="993">
      <c r="E993" s="151"/>
    </row>
    <row r="994">
      <c r="E994" s="151"/>
    </row>
    <row r="995">
      <c r="E995" s="151"/>
    </row>
    <row r="996">
      <c r="E996" s="151"/>
    </row>
    <row r="997">
      <c r="E997" s="151"/>
    </row>
    <row r="998">
      <c r="E998" s="151"/>
    </row>
    <row r="999">
      <c r="E999" s="151"/>
    </row>
    <row r="1000">
      <c r="E1000" s="151"/>
    </row>
    <row r="1001">
      <c r="E1001" s="151"/>
    </row>
  </sheetData>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3.63"/>
    <col customWidth="1" min="3" max="3" width="107.75"/>
  </cols>
  <sheetData>
    <row r="1">
      <c r="A1" s="153" t="s">
        <v>2795</v>
      </c>
      <c r="B1" s="154" t="s">
        <v>2796</v>
      </c>
      <c r="C1" s="155" t="s">
        <v>2797</v>
      </c>
    </row>
    <row r="2" ht="15.75" customHeight="1">
      <c r="A2" s="156" t="s">
        <v>2798</v>
      </c>
      <c r="B2" s="157">
        <v>37.0</v>
      </c>
      <c r="C2" s="158" t="s">
        <v>2799</v>
      </c>
    </row>
    <row r="3" ht="15.75" customHeight="1">
      <c r="A3" s="156" t="s">
        <v>2800</v>
      </c>
      <c r="B3" s="159">
        <v>39.0</v>
      </c>
      <c r="C3" s="158" t="s">
        <v>2801</v>
      </c>
    </row>
    <row r="4" ht="15.75" customHeight="1">
      <c r="A4" s="156" t="s">
        <v>2802</v>
      </c>
      <c r="B4" s="159">
        <v>41.0</v>
      </c>
      <c r="C4" s="158" t="s">
        <v>2803</v>
      </c>
    </row>
    <row r="5" ht="15.75" customHeight="1">
      <c r="A5" s="156" t="s">
        <v>137</v>
      </c>
      <c r="B5" s="159">
        <v>40.5</v>
      </c>
      <c r="C5" s="158" t="s">
        <v>2804</v>
      </c>
    </row>
    <row r="6" ht="15.75" customHeight="1">
      <c r="A6" s="156" t="s">
        <v>2805</v>
      </c>
      <c r="B6" s="159">
        <v>34.0</v>
      </c>
      <c r="C6" s="158" t="s">
        <v>2806</v>
      </c>
    </row>
    <row r="7" ht="15.75" customHeight="1">
      <c r="A7" s="156" t="s">
        <v>196</v>
      </c>
      <c r="B7" s="159">
        <v>43.0</v>
      </c>
      <c r="C7" s="158" t="s">
        <v>2807</v>
      </c>
    </row>
    <row r="8" ht="15.75" customHeight="1">
      <c r="A8" s="156" t="s">
        <v>2808</v>
      </c>
      <c r="B8" s="159">
        <v>40.5</v>
      </c>
      <c r="C8" s="158" t="s">
        <v>2809</v>
      </c>
    </row>
    <row r="9" ht="15.75" customHeight="1">
      <c r="A9" s="156" t="s">
        <v>2810</v>
      </c>
      <c r="B9" s="159">
        <v>46.0</v>
      </c>
      <c r="C9" s="158" t="s">
        <v>2811</v>
      </c>
    </row>
    <row r="10" ht="15.75" customHeight="1">
      <c r="A10" s="156" t="s">
        <v>68</v>
      </c>
      <c r="B10" s="159">
        <v>39.0</v>
      </c>
      <c r="C10" s="158" t="s">
        <v>2806</v>
      </c>
    </row>
    <row r="11" ht="15.75" customHeight="1">
      <c r="A11" s="156" t="s">
        <v>2812</v>
      </c>
      <c r="B11" s="159">
        <v>39.5</v>
      </c>
      <c r="C11" s="158" t="s">
        <v>2801</v>
      </c>
    </row>
    <row r="12" ht="15.75" customHeight="1">
      <c r="A12" s="156" t="s">
        <v>2813</v>
      </c>
      <c r="B12" s="159">
        <v>50.0</v>
      </c>
      <c r="C12" s="158" t="s">
        <v>2814</v>
      </c>
    </row>
    <row r="13" ht="15.75" customHeight="1">
      <c r="A13" s="156" t="s">
        <v>2815</v>
      </c>
      <c r="B13" s="159">
        <v>40.0</v>
      </c>
      <c r="C13" s="158" t="s">
        <v>2807</v>
      </c>
    </row>
    <row r="14" ht="15.75" customHeight="1">
      <c r="A14" s="156" t="s">
        <v>2816</v>
      </c>
      <c r="B14" s="159">
        <v>31.0</v>
      </c>
      <c r="C14" s="158" t="s">
        <v>2806</v>
      </c>
    </row>
    <row r="15" ht="15.75" customHeight="1">
      <c r="A15" s="156" t="s">
        <v>2817</v>
      </c>
      <c r="B15" s="159">
        <v>43.0</v>
      </c>
      <c r="C15" s="158" t="s">
        <v>2818</v>
      </c>
    </row>
    <row r="16" ht="15.75" customHeight="1">
      <c r="A16" s="156" t="s">
        <v>2819</v>
      </c>
      <c r="B16" s="159">
        <v>34.0</v>
      </c>
      <c r="C16" s="158" t="s">
        <v>2820</v>
      </c>
    </row>
    <row r="17" ht="15.75" customHeight="1">
      <c r="A17" s="156" t="s">
        <v>2821</v>
      </c>
      <c r="B17" s="159">
        <v>36.0</v>
      </c>
      <c r="C17" s="158" t="s">
        <v>2822</v>
      </c>
    </row>
    <row r="18" ht="15.75" customHeight="1">
      <c r="A18" s="156" t="s">
        <v>2823</v>
      </c>
      <c r="B18" s="159">
        <v>35.0</v>
      </c>
      <c r="C18" s="158" t="s">
        <v>2824</v>
      </c>
    </row>
    <row r="19" ht="15.75" customHeight="1">
      <c r="A19" s="156" t="s">
        <v>2825</v>
      </c>
      <c r="B19" s="159">
        <v>34.0</v>
      </c>
      <c r="C19" s="158" t="s">
        <v>2826</v>
      </c>
    </row>
    <row r="20" ht="15.75" customHeight="1">
      <c r="A20" s="156" t="s">
        <v>2827</v>
      </c>
      <c r="B20" s="159">
        <v>36.0</v>
      </c>
      <c r="C20" s="158" t="s">
        <v>2828</v>
      </c>
    </row>
    <row r="21" ht="15.75" customHeight="1">
      <c r="A21" s="156" t="s">
        <v>2829</v>
      </c>
      <c r="B21" s="159">
        <v>33.0</v>
      </c>
      <c r="C21" s="158" t="s">
        <v>2830</v>
      </c>
    </row>
    <row r="22" ht="15.75" customHeight="1">
      <c r="A22" s="156" t="s">
        <v>2831</v>
      </c>
      <c r="B22" s="159">
        <v>40.0</v>
      </c>
      <c r="C22" s="158" t="s">
        <v>2832</v>
      </c>
    </row>
    <row r="23" ht="15.75" customHeight="1">
      <c r="A23" s="156" t="s">
        <v>2833</v>
      </c>
      <c r="B23" s="159">
        <v>41.0</v>
      </c>
      <c r="C23" s="158" t="s">
        <v>2834</v>
      </c>
    </row>
    <row r="24" ht="15.75" customHeight="1">
      <c r="A24" s="156" t="s">
        <v>2835</v>
      </c>
      <c r="B24" s="159">
        <v>44.0</v>
      </c>
      <c r="C24" s="158" t="s">
        <v>2834</v>
      </c>
    </row>
    <row r="25" ht="15.75" customHeight="1">
      <c r="A25" s="156" t="s">
        <v>2836</v>
      </c>
      <c r="B25" s="159">
        <v>38.0</v>
      </c>
      <c r="C25" s="158" t="s">
        <v>2837</v>
      </c>
    </row>
    <row r="26" ht="15.75" customHeight="1">
      <c r="A26" s="156" t="s">
        <v>2838</v>
      </c>
      <c r="B26" s="159">
        <v>41.0</v>
      </c>
      <c r="C26" s="158" t="s">
        <v>2839</v>
      </c>
    </row>
    <row r="27" ht="15.75" customHeight="1">
      <c r="A27" s="156" t="s">
        <v>2840</v>
      </c>
      <c r="B27" s="159">
        <v>35.0</v>
      </c>
      <c r="C27" s="158" t="s">
        <v>2837</v>
      </c>
    </row>
    <row r="28" ht="15.75" customHeight="1">
      <c r="A28" s="156" t="s">
        <v>2841</v>
      </c>
      <c r="B28" s="159">
        <v>41.0</v>
      </c>
      <c r="C28" s="158" t="s">
        <v>2842</v>
      </c>
    </row>
    <row r="29" ht="15.75" customHeight="1">
      <c r="A29" s="156" t="s">
        <v>2844</v>
      </c>
      <c r="B29" s="159">
        <v>42.0</v>
      </c>
      <c r="C29" s="158" t="s">
        <v>2845</v>
      </c>
    </row>
    <row r="30" ht="15.75" customHeight="1">
      <c r="A30" s="156" t="s">
        <v>2846</v>
      </c>
      <c r="B30" s="159">
        <v>44.0</v>
      </c>
      <c r="C30" s="158" t="s">
        <v>2847</v>
      </c>
    </row>
    <row r="31" ht="15.75" customHeight="1">
      <c r="A31" s="156" t="s">
        <v>2848</v>
      </c>
      <c r="B31" s="159">
        <v>0.0</v>
      </c>
      <c r="C31" s="151"/>
    </row>
    <row r="32" ht="15.75" customHeight="1">
      <c r="A32" s="156" t="s">
        <v>2849</v>
      </c>
      <c r="B32" s="159">
        <v>23.0</v>
      </c>
      <c r="C32" s="158" t="s">
        <v>2850</v>
      </c>
    </row>
    <row r="33" ht="15.75" customHeight="1">
      <c r="A33" s="156" t="s">
        <v>2851</v>
      </c>
      <c r="B33" s="159">
        <v>28.0</v>
      </c>
      <c r="C33" s="158" t="s">
        <v>2852</v>
      </c>
    </row>
    <row r="34" ht="15.75" customHeight="1">
      <c r="A34" s="156" t="s">
        <v>2853</v>
      </c>
      <c r="B34" s="159">
        <v>47.0</v>
      </c>
      <c r="C34" s="158" t="s">
        <v>2854</v>
      </c>
    </row>
    <row r="35" ht="15.75" customHeight="1">
      <c r="A35" s="156" t="s">
        <v>2855</v>
      </c>
      <c r="B35" s="159">
        <v>42.0</v>
      </c>
      <c r="C35" s="158" t="s">
        <v>2856</v>
      </c>
    </row>
    <row r="36" ht="15.75" customHeight="1">
      <c r="A36" s="156" t="s">
        <v>460</v>
      </c>
      <c r="B36" s="159">
        <v>45.0</v>
      </c>
      <c r="C36" s="158" t="s">
        <v>2858</v>
      </c>
    </row>
    <row r="37" ht="15.75" customHeight="1">
      <c r="A37" s="156" t="s">
        <v>2859</v>
      </c>
      <c r="B37" s="159">
        <v>36.0</v>
      </c>
      <c r="C37" s="158" t="s">
        <v>2860</v>
      </c>
    </row>
    <row r="38" ht="15.75" customHeight="1">
      <c r="A38" s="156" t="s">
        <v>464</v>
      </c>
      <c r="B38" s="159">
        <v>41.0</v>
      </c>
      <c r="C38" s="158" t="s">
        <v>2861</v>
      </c>
    </row>
    <row r="39" ht="15.75" customHeight="1">
      <c r="A39" s="156" t="s">
        <v>2862</v>
      </c>
      <c r="B39" s="159">
        <v>38.5</v>
      </c>
      <c r="C39" s="158" t="s">
        <v>2863</v>
      </c>
    </row>
    <row r="40" ht="15.75" customHeight="1">
      <c r="A40" s="156" t="s">
        <v>2864</v>
      </c>
      <c r="B40" s="159">
        <v>0.0</v>
      </c>
      <c r="C40" s="158" t="s">
        <v>2865</v>
      </c>
    </row>
    <row r="41" ht="15.75" customHeight="1">
      <c r="A41" s="156" t="s">
        <v>2866</v>
      </c>
      <c r="B41" s="159">
        <v>36.0</v>
      </c>
      <c r="C41" s="158" t="s">
        <v>2863</v>
      </c>
    </row>
    <row r="42" ht="15.75" customHeight="1">
      <c r="A42" s="156" t="s">
        <v>2867</v>
      </c>
      <c r="B42" s="159">
        <v>33.5</v>
      </c>
      <c r="C42" s="158" t="s">
        <v>2868</v>
      </c>
    </row>
    <row r="43" ht="15.75" customHeight="1">
      <c r="A43" s="156" t="s">
        <v>2869</v>
      </c>
      <c r="B43" s="159">
        <v>45.0</v>
      </c>
      <c r="C43" s="158" t="s">
        <v>2870</v>
      </c>
    </row>
    <row r="44" ht="15.75" customHeight="1">
      <c r="A44" s="156" t="s">
        <v>2871</v>
      </c>
      <c r="B44" s="159">
        <v>45.0</v>
      </c>
      <c r="C44" s="158" t="s">
        <v>2873</v>
      </c>
    </row>
    <row r="45" ht="15.75" customHeight="1">
      <c r="A45" s="156" t="s">
        <v>2874</v>
      </c>
      <c r="B45" s="159">
        <v>38.0</v>
      </c>
      <c r="C45" s="158" t="s">
        <v>2875</v>
      </c>
    </row>
    <row r="46" ht="15.75" customHeight="1">
      <c r="A46" s="156" t="s">
        <v>2876</v>
      </c>
      <c r="B46" s="159">
        <v>47.0</v>
      </c>
      <c r="C46" s="158" t="s">
        <v>2834</v>
      </c>
    </row>
    <row r="47" ht="15.75" customHeight="1">
      <c r="A47" s="156" t="s">
        <v>2877</v>
      </c>
      <c r="B47" s="159">
        <v>0.0</v>
      </c>
      <c r="C47" s="151"/>
    </row>
    <row r="48" ht="15.75" customHeight="1">
      <c r="A48" s="156" t="s">
        <v>2878</v>
      </c>
      <c r="B48" s="159">
        <v>45.0</v>
      </c>
      <c r="C48" s="158" t="s">
        <v>2879</v>
      </c>
    </row>
    <row r="49" ht="15.75" customHeight="1">
      <c r="A49" s="160" t="s">
        <v>2880</v>
      </c>
      <c r="B49" s="157">
        <v>0.0</v>
      </c>
      <c r="C49" s="151"/>
    </row>
    <row r="50" ht="15.75" customHeight="1">
      <c r="A50" s="160" t="s">
        <v>2881</v>
      </c>
      <c r="B50" s="157">
        <v>23.0</v>
      </c>
      <c r="C50" s="158" t="s">
        <v>2882</v>
      </c>
    </row>
    <row r="51" ht="15.75" customHeight="1">
      <c r="A51" s="156" t="s">
        <v>2883</v>
      </c>
      <c r="B51" s="159">
        <v>30.0</v>
      </c>
      <c r="C51" s="158" t="s">
        <v>2884</v>
      </c>
    </row>
    <row r="52" ht="15.75" customHeight="1">
      <c r="A52" s="156" t="s">
        <v>2885</v>
      </c>
      <c r="B52" s="159">
        <v>30.0</v>
      </c>
      <c r="C52" s="158" t="s">
        <v>2886</v>
      </c>
    </row>
    <row r="53" ht="15.75" customHeight="1">
      <c r="A53" s="156" t="s">
        <v>2887</v>
      </c>
      <c r="B53" s="159">
        <v>0.0</v>
      </c>
      <c r="C53" s="151"/>
    </row>
    <row r="54" ht="15.75" customHeight="1">
      <c r="A54" s="156" t="s">
        <v>2888</v>
      </c>
      <c r="B54" s="159">
        <v>0.0</v>
      </c>
      <c r="C54" s="158" t="s">
        <v>2889</v>
      </c>
    </row>
    <row r="55" ht="15.75" customHeight="1">
      <c r="A55" s="156" t="s">
        <v>2890</v>
      </c>
      <c r="B55" s="159">
        <v>34.0</v>
      </c>
      <c r="C55" s="158" t="s">
        <v>2891</v>
      </c>
    </row>
    <row r="56" ht="15.75" customHeight="1">
      <c r="A56" s="156" t="s">
        <v>2892</v>
      </c>
      <c r="B56" s="159">
        <v>28.0</v>
      </c>
      <c r="C56" s="158" t="s">
        <v>2893</v>
      </c>
    </row>
    <row r="57" ht="15.75" customHeight="1">
      <c r="A57" s="156" t="s">
        <v>2894</v>
      </c>
      <c r="B57" s="159">
        <v>49.0</v>
      </c>
      <c r="C57" s="158" t="s">
        <v>2895</v>
      </c>
    </row>
    <row r="58" ht="15.75" customHeight="1">
      <c r="A58" s="156" t="s">
        <v>2896</v>
      </c>
      <c r="B58" s="159">
        <v>0.0</v>
      </c>
      <c r="C58" s="151"/>
    </row>
    <row r="59" ht="15.75" customHeight="1">
      <c r="A59" s="156" t="s">
        <v>2898</v>
      </c>
      <c r="B59" s="159">
        <v>39.0</v>
      </c>
      <c r="C59" s="158" t="s">
        <v>2899</v>
      </c>
    </row>
    <row r="60" ht="15.75" customHeight="1">
      <c r="A60" s="156" t="s">
        <v>2900</v>
      </c>
      <c r="B60" s="159">
        <v>38.0</v>
      </c>
      <c r="C60" s="158" t="s">
        <v>2901</v>
      </c>
    </row>
    <row r="61" ht="15.75" customHeight="1">
      <c r="A61" s="156" t="s">
        <v>2902</v>
      </c>
      <c r="B61" s="159">
        <v>41.0</v>
      </c>
      <c r="C61" s="158" t="s">
        <v>2903</v>
      </c>
    </row>
    <row r="62" ht="15.75" customHeight="1">
      <c r="A62" s="156" t="s">
        <v>2904</v>
      </c>
      <c r="B62" s="159">
        <v>27.0</v>
      </c>
      <c r="C62" s="158" t="s">
        <v>2906</v>
      </c>
    </row>
    <row r="63" ht="15.75" customHeight="1">
      <c r="A63" s="156" t="s">
        <v>2907</v>
      </c>
      <c r="B63" s="159">
        <v>37.0</v>
      </c>
      <c r="C63" s="158" t="s">
        <v>2908</v>
      </c>
    </row>
    <row r="64" ht="15.75" customHeight="1">
      <c r="A64" s="156" t="s">
        <v>2909</v>
      </c>
      <c r="B64" s="159">
        <v>34.0</v>
      </c>
      <c r="C64" s="158" t="s">
        <v>2910</v>
      </c>
    </row>
    <row r="65" ht="15.75" customHeight="1">
      <c r="A65" s="156" t="s">
        <v>2911</v>
      </c>
      <c r="B65" s="159">
        <v>36.0</v>
      </c>
      <c r="C65" s="158" t="s">
        <v>2912</v>
      </c>
    </row>
    <row r="66" ht="15.75" customHeight="1">
      <c r="A66" s="156" t="s">
        <v>2913</v>
      </c>
      <c r="B66" s="159">
        <v>45.0</v>
      </c>
      <c r="C66" s="158" t="s">
        <v>2914</v>
      </c>
    </row>
    <row r="67" ht="15.75" customHeight="1">
      <c r="A67" s="156" t="s">
        <v>2915</v>
      </c>
      <c r="B67" s="159">
        <v>37.0</v>
      </c>
      <c r="C67" s="158" t="s">
        <v>2875</v>
      </c>
    </row>
    <row r="68" ht="15.75" customHeight="1">
      <c r="A68" s="156" t="s">
        <v>2916</v>
      </c>
      <c r="B68" s="159">
        <v>40.0</v>
      </c>
      <c r="C68" s="158" t="s">
        <v>2806</v>
      </c>
    </row>
    <row r="69" ht="15.75" customHeight="1">
      <c r="A69" s="156" t="s">
        <v>2917</v>
      </c>
      <c r="B69" s="159">
        <v>43.0</v>
      </c>
      <c r="C69" s="158" t="s">
        <v>2918</v>
      </c>
    </row>
    <row r="70" ht="15.75" customHeight="1">
      <c r="A70" s="156" t="s">
        <v>2919</v>
      </c>
      <c r="B70" s="159">
        <v>40.0</v>
      </c>
      <c r="C70" s="158" t="s">
        <v>2901</v>
      </c>
    </row>
    <row r="71" ht="15.75" customHeight="1">
      <c r="A71" s="156" t="s">
        <v>2920</v>
      </c>
      <c r="B71" s="159">
        <v>33.0</v>
      </c>
      <c r="C71" s="158" t="s">
        <v>2922</v>
      </c>
    </row>
    <row r="72" ht="15.75" customHeight="1">
      <c r="A72" s="156" t="s">
        <v>164</v>
      </c>
      <c r="B72" s="159">
        <v>30.0</v>
      </c>
      <c r="C72" s="158" t="s">
        <v>2923</v>
      </c>
    </row>
    <row r="73" ht="15.75" customHeight="1">
      <c r="A73" s="156" t="s">
        <v>2924</v>
      </c>
      <c r="B73" s="159">
        <v>48.0</v>
      </c>
      <c r="C73" s="158" t="s">
        <v>2925</v>
      </c>
    </row>
    <row r="74" ht="15.75" customHeight="1">
      <c r="A74" s="156" t="s">
        <v>2926</v>
      </c>
      <c r="B74" s="159">
        <v>40.0</v>
      </c>
      <c r="C74" s="158" t="s">
        <v>2875</v>
      </c>
    </row>
    <row r="75" ht="15.75" customHeight="1">
      <c r="A75" s="156" t="s">
        <v>2927</v>
      </c>
      <c r="B75" s="159">
        <v>36.0</v>
      </c>
      <c r="C75" s="158" t="s">
        <v>2875</v>
      </c>
    </row>
    <row r="76" ht="15.75" customHeight="1">
      <c r="A76" s="156" t="s">
        <v>2930</v>
      </c>
      <c r="B76" s="159">
        <v>45.0</v>
      </c>
      <c r="C76" s="158" t="s">
        <v>2931</v>
      </c>
    </row>
    <row r="77" ht="15.75" customHeight="1">
      <c r="A77" s="156" t="s">
        <v>2932</v>
      </c>
      <c r="B77" s="159">
        <v>45.0</v>
      </c>
      <c r="C77" s="158" t="s">
        <v>2933</v>
      </c>
    </row>
    <row r="78" ht="15.75" customHeight="1">
      <c r="A78" s="156" t="s">
        <v>2934</v>
      </c>
      <c r="B78" s="159">
        <v>40.5</v>
      </c>
      <c r="C78" s="158" t="s">
        <v>2935</v>
      </c>
    </row>
    <row r="79" ht="15.75" customHeight="1">
      <c r="A79" s="156" t="s">
        <v>582</v>
      </c>
      <c r="B79" s="159">
        <v>45.0</v>
      </c>
      <c r="C79" s="158" t="s">
        <v>2937</v>
      </c>
    </row>
    <row r="80" ht="15.75" customHeight="1">
      <c r="A80" s="156" t="s">
        <v>2939</v>
      </c>
      <c r="B80" s="159">
        <v>41.0</v>
      </c>
      <c r="C80" s="158" t="s">
        <v>2940</v>
      </c>
    </row>
    <row r="81" ht="15.75" customHeight="1">
      <c r="A81" s="162" t="s">
        <v>2941</v>
      </c>
      <c r="B81" s="163">
        <v>38.0</v>
      </c>
      <c r="C81" s="158" t="s">
        <v>2942</v>
      </c>
    </row>
    <row r="82" ht="15.75" customHeight="1">
      <c r="A82" s="162" t="s">
        <v>2943</v>
      </c>
      <c r="B82" s="163">
        <v>5.0</v>
      </c>
      <c r="C82" s="158" t="s">
        <v>2944</v>
      </c>
    </row>
    <row r="83" ht="15.75" customHeight="1">
      <c r="A83" s="162" t="s">
        <v>589</v>
      </c>
      <c r="B83" s="163">
        <v>35.0</v>
      </c>
      <c r="C83" s="158" t="s">
        <v>2945</v>
      </c>
    </row>
    <row r="84" ht="15.75" customHeight="1">
      <c r="A84" s="156" t="s">
        <v>2946</v>
      </c>
      <c r="B84" s="159">
        <v>36.0</v>
      </c>
      <c r="C84" s="158" t="s">
        <v>2947</v>
      </c>
    </row>
    <row r="85" ht="15.75" customHeight="1">
      <c r="A85" s="156" t="s">
        <v>2948</v>
      </c>
      <c r="B85" s="159">
        <v>35.0</v>
      </c>
      <c r="C85" s="158" t="s">
        <v>2949</v>
      </c>
    </row>
    <row r="86" ht="15.75" customHeight="1">
      <c r="A86" s="156" t="s">
        <v>442</v>
      </c>
      <c r="B86" s="159">
        <v>34.0</v>
      </c>
      <c r="C86" s="158" t="s">
        <v>2950</v>
      </c>
    </row>
    <row r="87" ht="15.75" customHeight="1">
      <c r="A87" s="156" t="s">
        <v>2951</v>
      </c>
      <c r="B87" s="159">
        <v>37.0</v>
      </c>
      <c r="C87" s="158" t="s">
        <v>2953</v>
      </c>
    </row>
    <row r="88" ht="15.75" customHeight="1">
      <c r="A88" s="156" t="s">
        <v>2954</v>
      </c>
      <c r="B88" s="159">
        <v>39.0</v>
      </c>
      <c r="C88" s="158" t="s">
        <v>2955</v>
      </c>
    </row>
    <row r="89" ht="15.75" customHeight="1">
      <c r="A89" s="156" t="s">
        <v>2956</v>
      </c>
      <c r="B89" s="159">
        <v>32.0</v>
      </c>
      <c r="C89" s="158" t="s">
        <v>2957</v>
      </c>
    </row>
    <row r="90" ht="15.75" customHeight="1">
      <c r="A90" s="156" t="s">
        <v>2958</v>
      </c>
      <c r="B90" s="159">
        <v>30.0</v>
      </c>
      <c r="C90" s="158" t="s">
        <v>2959</v>
      </c>
    </row>
    <row r="91" ht="15.75" customHeight="1">
      <c r="A91" s="156" t="s">
        <v>2960</v>
      </c>
      <c r="B91" s="159">
        <v>41.0</v>
      </c>
      <c r="C91" s="158" t="s">
        <v>2961</v>
      </c>
    </row>
    <row r="92" ht="15.75" customHeight="1">
      <c r="A92" s="156" t="s">
        <v>2962</v>
      </c>
      <c r="B92" s="159">
        <v>36.0</v>
      </c>
      <c r="C92" s="158" t="s">
        <v>2963</v>
      </c>
    </row>
    <row r="93" ht="15.75" customHeight="1">
      <c r="A93" s="156" t="s">
        <v>2964</v>
      </c>
      <c r="B93" s="159">
        <v>44.0</v>
      </c>
      <c r="C93" s="158" t="s">
        <v>2965</v>
      </c>
    </row>
    <row r="94" ht="15.75" customHeight="1">
      <c r="A94" s="156" t="s">
        <v>2966</v>
      </c>
      <c r="B94" s="159">
        <v>18.0</v>
      </c>
      <c r="C94" s="158" t="s">
        <v>2967</v>
      </c>
    </row>
    <row r="95" ht="15.75" customHeight="1">
      <c r="A95" s="156" t="s">
        <v>2968</v>
      </c>
      <c r="B95" s="159">
        <v>42.0</v>
      </c>
      <c r="C95" s="158" t="s">
        <v>2970</v>
      </c>
    </row>
    <row r="96" ht="15.75" customHeight="1">
      <c r="A96" s="156" t="s">
        <v>2971</v>
      </c>
      <c r="B96" s="159">
        <v>37.0</v>
      </c>
      <c r="C96" s="158" t="s">
        <v>2972</v>
      </c>
    </row>
    <row r="97" ht="15.75" customHeight="1">
      <c r="A97" s="156" t="s">
        <v>2973</v>
      </c>
      <c r="B97" s="159">
        <v>39.0</v>
      </c>
      <c r="C97" s="158" t="s">
        <v>2901</v>
      </c>
    </row>
    <row r="98" ht="15.75" customHeight="1">
      <c r="A98" s="156" t="s">
        <v>2975</v>
      </c>
      <c r="B98" s="159">
        <v>34.0</v>
      </c>
      <c r="C98" s="158" t="s">
        <v>2972</v>
      </c>
    </row>
    <row r="99" ht="15.75" customHeight="1">
      <c r="A99" s="156" t="s">
        <v>2976</v>
      </c>
      <c r="B99" s="159">
        <v>38.0</v>
      </c>
      <c r="C99" s="158" t="s">
        <v>2901</v>
      </c>
    </row>
    <row r="100" ht="15.75" customHeight="1">
      <c r="A100" s="156" t="s">
        <v>1257</v>
      </c>
      <c r="B100" s="159">
        <v>35.0</v>
      </c>
      <c r="C100" s="158" t="s">
        <v>2972</v>
      </c>
    </row>
    <row r="101" ht="15.75" customHeight="1">
      <c r="A101" s="156" t="s">
        <v>2978</v>
      </c>
      <c r="B101" s="159">
        <v>45.0</v>
      </c>
      <c r="C101" s="158" t="s">
        <v>2979</v>
      </c>
    </row>
    <row r="102" ht="15.75" customHeight="1">
      <c r="A102" s="156" t="s">
        <v>2980</v>
      </c>
      <c r="B102" s="159">
        <v>47.0</v>
      </c>
      <c r="C102" s="158" t="s">
        <v>2981</v>
      </c>
    </row>
    <row r="103" ht="15.75" customHeight="1">
      <c r="A103" s="156" t="s">
        <v>2982</v>
      </c>
      <c r="B103" s="159">
        <v>47.0</v>
      </c>
      <c r="C103" s="158" t="s">
        <v>2983</v>
      </c>
    </row>
    <row r="104" ht="15.75" customHeight="1">
      <c r="A104" s="156" t="s">
        <v>2984</v>
      </c>
      <c r="B104" s="159">
        <v>48.0</v>
      </c>
      <c r="C104" s="158" t="s">
        <v>2985</v>
      </c>
    </row>
    <row r="105" ht="15.75" customHeight="1">
      <c r="A105" s="156" t="s">
        <v>2986</v>
      </c>
      <c r="B105" s="159">
        <v>47.0</v>
      </c>
      <c r="C105" s="158" t="s">
        <v>2987</v>
      </c>
    </row>
    <row r="106" ht="15.75" customHeight="1">
      <c r="A106" s="156" t="s">
        <v>2989</v>
      </c>
      <c r="B106" s="159">
        <v>49.0</v>
      </c>
      <c r="C106" s="158" t="s">
        <v>2990</v>
      </c>
    </row>
    <row r="107" ht="15.75" customHeight="1">
      <c r="A107" s="156" t="s">
        <v>2991</v>
      </c>
      <c r="B107" s="159">
        <v>46.0</v>
      </c>
      <c r="C107" s="158" t="s">
        <v>2992</v>
      </c>
    </row>
    <row r="108" ht="15.75" customHeight="1">
      <c r="A108" s="156" t="s">
        <v>2993</v>
      </c>
      <c r="B108" s="159">
        <v>45.0</v>
      </c>
      <c r="C108" s="158" t="s">
        <v>2834</v>
      </c>
    </row>
    <row r="109" ht="15.75" customHeight="1">
      <c r="A109" s="156" t="s">
        <v>2996</v>
      </c>
      <c r="B109" s="159">
        <v>45.0</v>
      </c>
      <c r="C109" s="158" t="s">
        <v>2834</v>
      </c>
    </row>
    <row r="110" ht="15.75" customHeight="1">
      <c r="A110" s="156" t="s">
        <v>2997</v>
      </c>
      <c r="B110" s="159">
        <v>45.0</v>
      </c>
      <c r="C110" s="158" t="s">
        <v>2834</v>
      </c>
    </row>
    <row r="111" ht="15.75" customHeight="1">
      <c r="A111" s="156" t="s">
        <v>2998</v>
      </c>
      <c r="B111" s="159">
        <v>49.0</v>
      </c>
      <c r="C111" s="158" t="s">
        <v>2999</v>
      </c>
    </row>
    <row r="112" ht="15.75" customHeight="1">
      <c r="A112" s="156" t="s">
        <v>3000</v>
      </c>
      <c r="B112" s="159">
        <v>41.0</v>
      </c>
      <c r="C112" s="158" t="s">
        <v>2875</v>
      </c>
    </row>
    <row r="113" ht="15.75" customHeight="1">
      <c r="A113" s="156" t="s">
        <v>3001</v>
      </c>
      <c r="B113" s="159">
        <v>0.0</v>
      </c>
      <c r="C113" s="151"/>
    </row>
    <row r="114" ht="15.75" customHeight="1">
      <c r="A114" s="156" t="s">
        <v>3002</v>
      </c>
      <c r="B114" s="159">
        <v>40.0</v>
      </c>
      <c r="C114" s="158" t="s">
        <v>3003</v>
      </c>
    </row>
    <row r="115" ht="15.75" customHeight="1">
      <c r="A115" s="156" t="s">
        <v>3004</v>
      </c>
      <c r="B115" s="159">
        <v>47.0</v>
      </c>
      <c r="C115" s="158" t="s">
        <v>3005</v>
      </c>
    </row>
    <row r="116" ht="15.75" customHeight="1">
      <c r="A116" s="156" t="s">
        <v>222</v>
      </c>
      <c r="B116" s="159">
        <v>27.0</v>
      </c>
      <c r="C116" s="158" t="s">
        <v>3006</v>
      </c>
    </row>
    <row r="117" ht="15.75" customHeight="1">
      <c r="A117" s="156" t="s">
        <v>3007</v>
      </c>
      <c r="B117" s="159">
        <v>38.0</v>
      </c>
      <c r="C117" s="158" t="s">
        <v>3008</v>
      </c>
    </row>
    <row r="118" ht="15.75" customHeight="1">
      <c r="A118" s="156" t="s">
        <v>3009</v>
      </c>
      <c r="B118" s="159">
        <v>46.0</v>
      </c>
      <c r="C118" s="158" t="s">
        <v>3010</v>
      </c>
    </row>
    <row r="119" ht="15.75" customHeight="1">
      <c r="A119" s="156" t="s">
        <v>3011</v>
      </c>
      <c r="B119" s="159">
        <v>46.0</v>
      </c>
      <c r="C119" s="158" t="s">
        <v>3012</v>
      </c>
    </row>
    <row r="120" ht="15.75" customHeight="1">
      <c r="A120" s="156" t="s">
        <v>3013</v>
      </c>
      <c r="B120" s="159">
        <v>45.0</v>
      </c>
      <c r="C120" s="158" t="s">
        <v>3014</v>
      </c>
    </row>
    <row r="121" ht="15.75" customHeight="1">
      <c r="A121" s="156" t="s">
        <v>3015</v>
      </c>
      <c r="B121" s="159">
        <v>48.0</v>
      </c>
      <c r="C121" s="158" t="s">
        <v>3016</v>
      </c>
    </row>
    <row r="122" ht="15.75" customHeight="1">
      <c r="A122" s="156" t="s">
        <v>3018</v>
      </c>
      <c r="B122" s="159">
        <v>48.0</v>
      </c>
      <c r="C122" s="158" t="s">
        <v>3019</v>
      </c>
    </row>
    <row r="123" ht="15.75" customHeight="1">
      <c r="A123" s="156" t="s">
        <v>530</v>
      </c>
      <c r="B123" s="159">
        <v>48.0</v>
      </c>
      <c r="C123" s="158" t="s">
        <v>3020</v>
      </c>
    </row>
    <row r="124" ht="15.75" customHeight="1">
      <c r="A124" s="156" t="s">
        <v>3021</v>
      </c>
      <c r="B124" s="159">
        <v>46.0</v>
      </c>
      <c r="C124" s="158" t="s">
        <v>3022</v>
      </c>
    </row>
    <row r="125" ht="15.75" customHeight="1">
      <c r="A125" s="156" t="s">
        <v>292</v>
      </c>
      <c r="B125" s="159">
        <v>48.0</v>
      </c>
      <c r="C125" s="158" t="s">
        <v>3023</v>
      </c>
    </row>
    <row r="126" ht="15.75" customHeight="1">
      <c r="A126" s="156" t="s">
        <v>3024</v>
      </c>
      <c r="B126" s="159">
        <v>27.0</v>
      </c>
      <c r="C126" s="158" t="s">
        <v>3025</v>
      </c>
    </row>
    <row r="127" ht="15.75" customHeight="1">
      <c r="A127" s="156" t="s">
        <v>3026</v>
      </c>
      <c r="B127" s="159">
        <v>30.0</v>
      </c>
      <c r="C127" s="158" t="s">
        <v>3027</v>
      </c>
    </row>
    <row r="128" ht="15.75" customHeight="1">
      <c r="A128" s="156" t="s">
        <v>3028</v>
      </c>
      <c r="B128" s="159">
        <v>32.0</v>
      </c>
      <c r="C128" s="158" t="s">
        <v>3029</v>
      </c>
    </row>
    <row r="129" ht="15.75" customHeight="1">
      <c r="A129" s="156" t="s">
        <v>3030</v>
      </c>
      <c r="B129" s="159">
        <v>37.0</v>
      </c>
      <c r="C129" s="158" t="s">
        <v>2901</v>
      </c>
    </row>
    <row r="130" ht="15.75" customHeight="1">
      <c r="A130" s="156" t="s">
        <v>3031</v>
      </c>
      <c r="B130" s="159">
        <v>22.0</v>
      </c>
      <c r="C130" s="158" t="s">
        <v>3032</v>
      </c>
    </row>
    <row r="131" ht="15.75" customHeight="1">
      <c r="A131" s="156" t="s">
        <v>3033</v>
      </c>
      <c r="B131" s="159">
        <v>47.0</v>
      </c>
      <c r="C131" s="158" t="s">
        <v>3034</v>
      </c>
    </row>
    <row r="132" ht="15.75" customHeight="1">
      <c r="A132" s="156" t="s">
        <v>3035</v>
      </c>
      <c r="B132" s="159">
        <v>9.0</v>
      </c>
      <c r="C132" s="158" t="s">
        <v>3036</v>
      </c>
    </row>
    <row r="133" ht="15.75" customHeight="1">
      <c r="A133" s="156" t="s">
        <v>3037</v>
      </c>
      <c r="B133" s="159">
        <v>35.0</v>
      </c>
      <c r="C133" s="158" t="s">
        <v>3038</v>
      </c>
    </row>
    <row r="134" ht="15.75" customHeight="1">
      <c r="A134" s="156" t="s">
        <v>3039</v>
      </c>
      <c r="B134" s="159">
        <v>32.0</v>
      </c>
      <c r="C134" s="158" t="s">
        <v>3040</v>
      </c>
    </row>
    <row r="135" ht="15.75" customHeight="1">
      <c r="A135" s="156" t="s">
        <v>3041</v>
      </c>
      <c r="B135" s="159">
        <v>35.0</v>
      </c>
      <c r="C135" s="158" t="s">
        <v>3042</v>
      </c>
    </row>
    <row r="136" ht="15.75" customHeight="1">
      <c r="A136" s="156" t="s">
        <v>3043</v>
      </c>
      <c r="B136" s="159">
        <v>38.0</v>
      </c>
      <c r="C136" s="158" t="s">
        <v>3044</v>
      </c>
    </row>
    <row r="137" ht="15.75" customHeight="1">
      <c r="A137" s="156" t="s">
        <v>3045</v>
      </c>
      <c r="B137" s="159">
        <v>28.0</v>
      </c>
      <c r="C137" s="158" t="s">
        <v>3046</v>
      </c>
    </row>
    <row r="138" ht="15.75" customHeight="1">
      <c r="A138" s="156" t="s">
        <v>3047</v>
      </c>
      <c r="B138" s="159">
        <v>17.0</v>
      </c>
      <c r="C138" s="158" t="s">
        <v>3048</v>
      </c>
    </row>
    <row r="139" ht="15.75" customHeight="1">
      <c r="A139" s="156" t="s">
        <v>3049</v>
      </c>
      <c r="B139" s="159">
        <v>26.0</v>
      </c>
      <c r="C139" s="158" t="s">
        <v>3050</v>
      </c>
    </row>
    <row r="140" ht="15.75" customHeight="1">
      <c r="A140" s="156" t="s">
        <v>3051</v>
      </c>
      <c r="B140" s="159">
        <v>29.0</v>
      </c>
      <c r="C140" s="158" t="s">
        <v>3052</v>
      </c>
    </row>
    <row r="141" ht="15.75" customHeight="1">
      <c r="A141" s="156" t="s">
        <v>358</v>
      </c>
      <c r="B141" s="159">
        <v>12.0</v>
      </c>
      <c r="C141" s="158" t="s">
        <v>3053</v>
      </c>
    </row>
    <row r="142" ht="15.75" customHeight="1">
      <c r="A142" s="156" t="s">
        <v>110</v>
      </c>
      <c r="B142" s="159">
        <v>45.0</v>
      </c>
      <c r="C142" s="158" t="s">
        <v>2834</v>
      </c>
    </row>
    <row r="143" ht="15.75" customHeight="1">
      <c r="A143" s="156" t="s">
        <v>3054</v>
      </c>
      <c r="B143" s="159">
        <v>40.0</v>
      </c>
      <c r="C143" s="158" t="s">
        <v>2875</v>
      </c>
    </row>
    <row r="144" ht="15.75" customHeight="1">
      <c r="A144" s="156" t="s">
        <v>3055</v>
      </c>
      <c r="B144" s="159">
        <v>46.0</v>
      </c>
      <c r="C144" s="158" t="s">
        <v>2834</v>
      </c>
    </row>
    <row r="145" ht="15.75" customHeight="1">
      <c r="A145" s="156" t="s">
        <v>3056</v>
      </c>
      <c r="B145" s="159">
        <v>45.0</v>
      </c>
      <c r="C145" s="158" t="s">
        <v>2834</v>
      </c>
    </row>
    <row r="146" ht="15.75" customHeight="1">
      <c r="A146" s="156" t="s">
        <v>3057</v>
      </c>
      <c r="B146" s="159">
        <v>48.0</v>
      </c>
      <c r="C146" s="158" t="s">
        <v>2834</v>
      </c>
    </row>
    <row r="147" ht="15.75" customHeight="1">
      <c r="A147" s="156" t="s">
        <v>3058</v>
      </c>
      <c r="B147" s="159">
        <v>41.0</v>
      </c>
      <c r="C147" s="158" t="s">
        <v>3059</v>
      </c>
    </row>
    <row r="148" ht="15.75" customHeight="1">
      <c r="A148" s="156" t="s">
        <v>3060</v>
      </c>
      <c r="B148" s="159">
        <v>41.0</v>
      </c>
      <c r="C148" s="158" t="s">
        <v>3061</v>
      </c>
    </row>
    <row r="149" ht="15.75" customHeight="1">
      <c r="A149" s="156" t="s">
        <v>3062</v>
      </c>
      <c r="B149" s="159">
        <v>44.0</v>
      </c>
      <c r="C149" s="158" t="s">
        <v>3063</v>
      </c>
    </row>
    <row r="150" ht="15.75" customHeight="1">
      <c r="A150" s="156" t="s">
        <v>3064</v>
      </c>
      <c r="B150" s="159">
        <v>49.0</v>
      </c>
      <c r="C150" s="158" t="s">
        <v>3065</v>
      </c>
    </row>
    <row r="151" ht="15.75" customHeight="1">
      <c r="A151" s="156" t="s">
        <v>3066</v>
      </c>
      <c r="B151" s="159">
        <v>45.0</v>
      </c>
      <c r="C151" s="158" t="s">
        <v>3067</v>
      </c>
    </row>
    <row r="152" ht="15.75" customHeight="1">
      <c r="A152" s="156" t="s">
        <v>398</v>
      </c>
      <c r="B152" s="159">
        <v>43.0</v>
      </c>
      <c r="C152" s="158" t="s">
        <v>3068</v>
      </c>
    </row>
    <row r="153" ht="15.75" customHeight="1">
      <c r="A153" s="156" t="s">
        <v>3069</v>
      </c>
      <c r="B153" s="159">
        <v>48.0</v>
      </c>
      <c r="C153" s="158" t="s">
        <v>3070</v>
      </c>
    </row>
    <row r="154" ht="15.75" customHeight="1">
      <c r="A154" s="156" t="s">
        <v>3071</v>
      </c>
      <c r="B154" s="159">
        <v>43.0</v>
      </c>
      <c r="C154" s="158" t="s">
        <v>3072</v>
      </c>
    </row>
    <row r="155" ht="15.75" customHeight="1">
      <c r="A155" s="156" t="s">
        <v>3073</v>
      </c>
      <c r="B155" s="159">
        <v>45.0</v>
      </c>
      <c r="C155" s="158" t="s">
        <v>3074</v>
      </c>
    </row>
    <row r="156" ht="15.75" customHeight="1">
      <c r="A156" s="156" t="s">
        <v>3075</v>
      </c>
      <c r="B156" s="159">
        <v>45.0</v>
      </c>
      <c r="C156" s="158" t="s">
        <v>3076</v>
      </c>
    </row>
    <row r="157" ht="15.75" customHeight="1">
      <c r="A157" s="156" t="s">
        <v>3077</v>
      </c>
      <c r="B157" s="159">
        <v>30.0</v>
      </c>
      <c r="C157" s="158" t="s">
        <v>3078</v>
      </c>
    </row>
    <row r="158" ht="15.75" customHeight="1">
      <c r="A158" s="156" t="s">
        <v>3079</v>
      </c>
      <c r="B158" s="159">
        <v>39.5</v>
      </c>
      <c r="C158" s="158" t="s">
        <v>3080</v>
      </c>
    </row>
    <row r="159" ht="15.75" customHeight="1">
      <c r="A159" s="156" t="s">
        <v>3081</v>
      </c>
      <c r="B159" s="159">
        <v>37.0</v>
      </c>
      <c r="C159" s="158" t="s">
        <v>3082</v>
      </c>
    </row>
    <row r="160" ht="15.75" customHeight="1">
      <c r="A160" s="156" t="s">
        <v>3083</v>
      </c>
      <c r="B160" s="159">
        <v>49.0</v>
      </c>
      <c r="C160" s="158" t="s">
        <v>3084</v>
      </c>
    </row>
    <row r="161" ht="15.75" customHeight="1">
      <c r="A161" s="156" t="s">
        <v>3085</v>
      </c>
      <c r="B161" s="159">
        <v>36.0</v>
      </c>
      <c r="C161" s="158" t="s">
        <v>3086</v>
      </c>
    </row>
    <row r="162" ht="15.75" customHeight="1">
      <c r="A162" s="156" t="s">
        <v>190</v>
      </c>
      <c r="B162" s="159">
        <v>37.0</v>
      </c>
      <c r="C162" s="158" t="s">
        <v>3087</v>
      </c>
    </row>
    <row r="163" ht="15.75" customHeight="1">
      <c r="A163" s="156" t="s">
        <v>3088</v>
      </c>
      <c r="B163" s="159">
        <v>36.0</v>
      </c>
      <c r="C163" s="158" t="s">
        <v>3089</v>
      </c>
    </row>
    <row r="164" ht="15.75" customHeight="1">
      <c r="A164" s="156" t="s">
        <v>3090</v>
      </c>
      <c r="B164" s="159">
        <v>37.0</v>
      </c>
      <c r="C164" s="158" t="s">
        <v>3091</v>
      </c>
    </row>
    <row r="165" ht="15.75" customHeight="1">
      <c r="A165" s="156" t="s">
        <v>3092</v>
      </c>
      <c r="B165" s="159">
        <v>39.0</v>
      </c>
      <c r="C165" s="158" t="s">
        <v>3093</v>
      </c>
    </row>
    <row r="166" ht="15.75" customHeight="1">
      <c r="A166" s="156" t="s">
        <v>3094</v>
      </c>
      <c r="B166" s="159">
        <v>33.5</v>
      </c>
      <c r="C166" s="158" t="s">
        <v>3095</v>
      </c>
    </row>
    <row r="167" ht="15.75" customHeight="1">
      <c r="A167" s="156" t="s">
        <v>3096</v>
      </c>
      <c r="B167" s="159">
        <v>38.0</v>
      </c>
      <c r="C167" s="158" t="s">
        <v>2809</v>
      </c>
    </row>
    <row r="168" ht="15.75" customHeight="1">
      <c r="A168" s="156" t="s">
        <v>3097</v>
      </c>
      <c r="B168" s="159">
        <v>37.5</v>
      </c>
      <c r="C168" s="158" t="s">
        <v>3098</v>
      </c>
    </row>
    <row r="169" ht="15.75" customHeight="1">
      <c r="A169" s="156" t="s">
        <v>3099</v>
      </c>
      <c r="B169" s="159">
        <v>39.0</v>
      </c>
      <c r="C169" s="158" t="s">
        <v>3100</v>
      </c>
    </row>
    <row r="170" ht="15.75" customHeight="1">
      <c r="A170" s="156" t="s">
        <v>3101</v>
      </c>
      <c r="B170" s="159">
        <v>45.0</v>
      </c>
      <c r="C170" s="158" t="s">
        <v>3102</v>
      </c>
    </row>
    <row r="171" ht="15.75" customHeight="1">
      <c r="A171" s="156" t="s">
        <v>3103</v>
      </c>
      <c r="B171" s="159">
        <v>45.0</v>
      </c>
      <c r="C171" s="158" t="s">
        <v>3014</v>
      </c>
    </row>
    <row r="172" ht="15.75" customHeight="1">
      <c r="A172" s="156" t="s">
        <v>26</v>
      </c>
      <c r="B172" s="159">
        <v>47.0</v>
      </c>
      <c r="C172" s="158" t="s">
        <v>3104</v>
      </c>
    </row>
    <row r="173" ht="15.75" customHeight="1">
      <c r="A173" s="156" t="s">
        <v>3105</v>
      </c>
      <c r="B173" s="159">
        <v>47.0</v>
      </c>
      <c r="C173" s="151"/>
    </row>
    <row r="174" ht="15.75" customHeight="1">
      <c r="A174" s="156" t="s">
        <v>3106</v>
      </c>
      <c r="B174" s="159">
        <v>37.0</v>
      </c>
      <c r="C174" s="158" t="s">
        <v>2901</v>
      </c>
    </row>
    <row r="175" ht="15.75" customHeight="1">
      <c r="A175" s="156" t="s">
        <v>3107</v>
      </c>
      <c r="B175" s="159">
        <v>32.0</v>
      </c>
      <c r="C175" s="158" t="s">
        <v>3108</v>
      </c>
    </row>
    <row r="176" ht="15.75" customHeight="1">
      <c r="A176" s="156" t="s">
        <v>3109</v>
      </c>
      <c r="B176" s="159">
        <v>31.0</v>
      </c>
      <c r="C176" s="158" t="s">
        <v>3108</v>
      </c>
    </row>
    <row r="177" ht="15.75" customHeight="1">
      <c r="A177" s="156" t="s">
        <v>3110</v>
      </c>
      <c r="B177" s="159">
        <v>46.0</v>
      </c>
      <c r="C177" s="158" t="s">
        <v>2834</v>
      </c>
    </row>
    <row r="178" ht="15.75" customHeight="1">
      <c r="A178" s="156" t="s">
        <v>3111</v>
      </c>
      <c r="B178" s="159">
        <v>40.0</v>
      </c>
      <c r="C178" s="158" t="s">
        <v>2875</v>
      </c>
    </row>
    <row r="179" ht="15.75" customHeight="1">
      <c r="A179" s="156" t="s">
        <v>3112</v>
      </c>
      <c r="B179" s="159">
        <v>49.0</v>
      </c>
      <c r="C179" s="158" t="s">
        <v>2834</v>
      </c>
    </row>
    <row r="180" ht="15.75" customHeight="1">
      <c r="A180" s="156" t="s">
        <v>3113</v>
      </c>
      <c r="B180" s="159">
        <v>40.0</v>
      </c>
      <c r="C180" s="158" t="s">
        <v>3114</v>
      </c>
    </row>
    <row r="181" ht="15.75" customHeight="1">
      <c r="A181" s="156" t="s">
        <v>3115</v>
      </c>
      <c r="B181" s="159">
        <v>26.0</v>
      </c>
      <c r="C181" s="158" t="s">
        <v>3116</v>
      </c>
    </row>
    <row r="182" ht="15.75" customHeight="1">
      <c r="A182" s="156" t="s">
        <v>3117</v>
      </c>
      <c r="B182" s="159">
        <v>36.0</v>
      </c>
      <c r="C182" s="158" t="s">
        <v>3118</v>
      </c>
    </row>
    <row r="183" ht="15.75" customHeight="1">
      <c r="A183" s="156" t="s">
        <v>3119</v>
      </c>
      <c r="B183" s="159">
        <v>33.0</v>
      </c>
      <c r="C183" s="158" t="s">
        <v>3121</v>
      </c>
    </row>
    <row r="184" ht="15.75" customHeight="1">
      <c r="A184" s="156" t="s">
        <v>3122</v>
      </c>
      <c r="B184" s="159">
        <v>33.0</v>
      </c>
      <c r="C184" s="158" t="s">
        <v>3123</v>
      </c>
    </row>
    <row r="185" ht="15.75" customHeight="1">
      <c r="A185" s="156" t="s">
        <v>3124</v>
      </c>
      <c r="B185" s="159">
        <v>39.0</v>
      </c>
      <c r="C185" s="158" t="s">
        <v>3125</v>
      </c>
    </row>
    <row r="186" ht="15.75" customHeight="1">
      <c r="A186" s="156" t="s">
        <v>3126</v>
      </c>
      <c r="B186" s="159">
        <v>37.5</v>
      </c>
      <c r="C186" s="158" t="s">
        <v>3127</v>
      </c>
    </row>
    <row r="187" ht="15.75" customHeight="1">
      <c r="A187" s="156" t="s">
        <v>3128</v>
      </c>
      <c r="B187" s="159">
        <v>39.0</v>
      </c>
      <c r="C187" s="158" t="s">
        <v>3129</v>
      </c>
    </row>
    <row r="188" ht="15.75" customHeight="1">
      <c r="A188" s="156" t="s">
        <v>3130</v>
      </c>
      <c r="B188" s="159">
        <v>40.0</v>
      </c>
      <c r="C188" s="158" t="s">
        <v>3131</v>
      </c>
    </row>
    <row r="189" ht="15.75" customHeight="1">
      <c r="A189" s="156" t="s">
        <v>3132</v>
      </c>
      <c r="B189" s="159">
        <v>38.5</v>
      </c>
      <c r="C189" s="158" t="s">
        <v>3125</v>
      </c>
    </row>
    <row r="190" ht="15.75" customHeight="1">
      <c r="A190" s="156" t="s">
        <v>3133</v>
      </c>
      <c r="B190" s="159">
        <v>40.0</v>
      </c>
      <c r="C190" s="158" t="s">
        <v>3127</v>
      </c>
    </row>
    <row r="191" ht="15.75" customHeight="1">
      <c r="A191" s="169" t="s">
        <v>3134</v>
      </c>
      <c r="B191" s="170">
        <v>39.0</v>
      </c>
      <c r="C191" s="158" t="s">
        <v>3129</v>
      </c>
    </row>
    <row r="192" ht="15.75" customHeight="1">
      <c r="A192" s="156" t="s">
        <v>3135</v>
      </c>
      <c r="B192" s="159">
        <v>40.0</v>
      </c>
      <c r="C192" s="158" t="s">
        <v>3125</v>
      </c>
    </row>
    <row r="193" ht="15.75" customHeight="1">
      <c r="A193" s="156" t="s">
        <v>57</v>
      </c>
      <c r="B193" s="159">
        <v>39.0</v>
      </c>
      <c r="C193" s="158" t="s">
        <v>3131</v>
      </c>
    </row>
    <row r="194" ht="15.75" customHeight="1">
      <c r="A194" s="156" t="s">
        <v>3136</v>
      </c>
      <c r="B194" s="159">
        <v>42.0</v>
      </c>
      <c r="C194" s="158" t="s">
        <v>3127</v>
      </c>
    </row>
    <row r="195" ht="15.75" customHeight="1">
      <c r="A195" s="156" t="s">
        <v>1193</v>
      </c>
      <c r="B195" s="159">
        <v>43.0</v>
      </c>
      <c r="C195" s="158" t="s">
        <v>3129</v>
      </c>
    </row>
    <row r="196" ht="15.75" customHeight="1">
      <c r="A196" s="156" t="s">
        <v>3137</v>
      </c>
      <c r="B196" s="159">
        <v>41.0</v>
      </c>
      <c r="C196" s="158" t="s">
        <v>3125</v>
      </c>
    </row>
    <row r="197" ht="15.75" customHeight="1">
      <c r="A197" s="156" t="s">
        <v>3138</v>
      </c>
      <c r="B197" s="159">
        <v>40.0</v>
      </c>
      <c r="C197" s="158" t="s">
        <v>3129</v>
      </c>
    </row>
    <row r="198" ht="15.75" customHeight="1">
      <c r="A198" s="156" t="s">
        <v>3139</v>
      </c>
      <c r="B198" s="159">
        <v>40.0</v>
      </c>
      <c r="C198" s="158" t="s">
        <v>3125</v>
      </c>
    </row>
    <row r="199" ht="15.75" customHeight="1">
      <c r="A199" s="156" t="s">
        <v>3140</v>
      </c>
      <c r="B199" s="159">
        <v>39.0</v>
      </c>
      <c r="C199" s="158" t="s">
        <v>3141</v>
      </c>
    </row>
    <row r="200" ht="15.75" customHeight="1">
      <c r="A200" s="156" t="s">
        <v>3142</v>
      </c>
      <c r="B200" s="159">
        <v>40.5</v>
      </c>
      <c r="C200" s="158" t="s">
        <v>3129</v>
      </c>
    </row>
    <row r="201" ht="15.75" customHeight="1">
      <c r="A201" s="156" t="s">
        <v>3143</v>
      </c>
      <c r="B201" s="159">
        <v>42.0</v>
      </c>
      <c r="C201" s="158" t="s">
        <v>3131</v>
      </c>
    </row>
    <row r="202" ht="15.75" customHeight="1">
      <c r="A202" s="156" t="s">
        <v>3144</v>
      </c>
      <c r="B202" s="159">
        <v>42.0</v>
      </c>
      <c r="C202" s="158" t="s">
        <v>3145</v>
      </c>
    </row>
    <row r="203" ht="15.75" customHeight="1">
      <c r="A203" s="156" t="s">
        <v>3146</v>
      </c>
      <c r="B203" s="159">
        <v>46.0</v>
      </c>
      <c r="C203" s="158" t="s">
        <v>3147</v>
      </c>
    </row>
    <row r="204" ht="15.75" customHeight="1">
      <c r="A204" s="156" t="s">
        <v>3148</v>
      </c>
      <c r="B204" s="159">
        <v>0.0</v>
      </c>
      <c r="C204" s="151"/>
    </row>
    <row r="205" ht="15.75" customHeight="1">
      <c r="A205" s="156" t="s">
        <v>826</v>
      </c>
      <c r="B205" s="159">
        <v>41.0</v>
      </c>
      <c r="C205" s="158" t="s">
        <v>3149</v>
      </c>
    </row>
    <row r="206" ht="15.75" customHeight="1">
      <c r="A206" s="156" t="s">
        <v>3150</v>
      </c>
      <c r="B206" s="159">
        <v>27.0</v>
      </c>
      <c r="C206" s="158" t="s">
        <v>3151</v>
      </c>
    </row>
    <row r="207" ht="15.75" customHeight="1">
      <c r="A207" s="156" t="s">
        <v>3152</v>
      </c>
      <c r="B207" s="159">
        <v>47.0</v>
      </c>
      <c r="C207" s="158" t="s">
        <v>3153</v>
      </c>
    </row>
    <row r="208" ht="15.75" customHeight="1">
      <c r="A208" s="156" t="s">
        <v>3154</v>
      </c>
      <c r="B208" s="159">
        <v>30.0</v>
      </c>
      <c r="C208" s="158" t="s">
        <v>3155</v>
      </c>
    </row>
    <row r="209" ht="15.75" customHeight="1">
      <c r="A209" s="156" t="s">
        <v>3156</v>
      </c>
      <c r="B209" s="159">
        <v>40.0</v>
      </c>
      <c r="C209" s="158" t="s">
        <v>3157</v>
      </c>
    </row>
    <row r="210" ht="15.75" customHeight="1">
      <c r="A210" s="156" t="s">
        <v>3158</v>
      </c>
      <c r="B210" s="159">
        <v>43.0</v>
      </c>
      <c r="C210" s="158" t="s">
        <v>3159</v>
      </c>
    </row>
    <row r="211" ht="15.75" customHeight="1">
      <c r="A211" s="156" t="s">
        <v>3160</v>
      </c>
      <c r="B211" s="159">
        <v>45.0</v>
      </c>
      <c r="C211" s="158" t="s">
        <v>3161</v>
      </c>
    </row>
    <row r="212" ht="15.75" customHeight="1">
      <c r="A212" s="156" t="s">
        <v>539</v>
      </c>
      <c r="B212" s="159">
        <v>49.0</v>
      </c>
      <c r="C212" s="158" t="s">
        <v>3162</v>
      </c>
    </row>
    <row r="213" ht="15.75" customHeight="1">
      <c r="A213" s="156" t="s">
        <v>3163</v>
      </c>
      <c r="B213" s="159">
        <v>30.0</v>
      </c>
      <c r="C213" s="158" t="s">
        <v>3165</v>
      </c>
    </row>
    <row r="214" ht="15.75" customHeight="1">
      <c r="A214" s="156" t="s">
        <v>3166</v>
      </c>
      <c r="B214" s="159">
        <v>27.0</v>
      </c>
      <c r="C214" s="158" t="s">
        <v>3167</v>
      </c>
    </row>
    <row r="215" ht="15.75" customHeight="1">
      <c r="A215" s="156" t="s">
        <v>3168</v>
      </c>
      <c r="B215" s="159">
        <v>30.0</v>
      </c>
      <c r="C215" s="158" t="s">
        <v>3169</v>
      </c>
    </row>
    <row r="216" ht="15.75" customHeight="1">
      <c r="A216" s="156" t="s">
        <v>3170</v>
      </c>
      <c r="B216" s="159">
        <v>36.0</v>
      </c>
      <c r="C216" s="158" t="s">
        <v>3171</v>
      </c>
    </row>
    <row r="217" ht="15.75" customHeight="1">
      <c r="A217" s="156" t="s">
        <v>3172</v>
      </c>
      <c r="B217" s="159">
        <v>38.0</v>
      </c>
      <c r="C217" s="158" t="s">
        <v>3173</v>
      </c>
    </row>
    <row r="218" ht="15.75" customHeight="1">
      <c r="A218" s="156" t="s">
        <v>3174</v>
      </c>
      <c r="B218" s="159">
        <v>35.0</v>
      </c>
      <c r="C218" s="158" t="s">
        <v>3175</v>
      </c>
    </row>
    <row r="219" ht="15.75" customHeight="1">
      <c r="A219" s="156" t="s">
        <v>3176</v>
      </c>
      <c r="B219" s="159">
        <v>33.0</v>
      </c>
      <c r="C219" s="158" t="s">
        <v>3177</v>
      </c>
    </row>
    <row r="220" ht="15.75" customHeight="1">
      <c r="A220" s="156" t="s">
        <v>3178</v>
      </c>
      <c r="B220" s="159">
        <v>35.0</v>
      </c>
      <c r="C220" s="158" t="s">
        <v>3179</v>
      </c>
    </row>
    <row r="221" ht="15.75" customHeight="1">
      <c r="A221" s="156" t="s">
        <v>3180</v>
      </c>
      <c r="B221" s="159">
        <v>41.0</v>
      </c>
      <c r="C221" s="158" t="s">
        <v>3181</v>
      </c>
    </row>
    <row r="222" ht="15.75" customHeight="1">
      <c r="A222" s="156" t="s">
        <v>310</v>
      </c>
      <c r="B222" s="159">
        <v>46.0</v>
      </c>
      <c r="C222" s="158" t="s">
        <v>3182</v>
      </c>
    </row>
    <row r="223" ht="15.75" customHeight="1">
      <c r="A223" s="156" t="s">
        <v>3183</v>
      </c>
      <c r="B223" s="159">
        <v>47.0</v>
      </c>
      <c r="C223" s="158" t="s">
        <v>3184</v>
      </c>
    </row>
    <row r="224" ht="15.75" customHeight="1">
      <c r="A224" s="156" t="s">
        <v>3185</v>
      </c>
      <c r="B224" s="159">
        <v>42.0</v>
      </c>
      <c r="C224" s="158" t="s">
        <v>3186</v>
      </c>
    </row>
    <row r="225" ht="15.75" customHeight="1">
      <c r="A225" s="156" t="s">
        <v>3187</v>
      </c>
      <c r="B225" s="159">
        <v>44.0</v>
      </c>
      <c r="C225" s="158" t="s">
        <v>3188</v>
      </c>
    </row>
    <row r="226" ht="15.75" customHeight="1">
      <c r="A226" s="156" t="s">
        <v>3189</v>
      </c>
      <c r="B226" s="159">
        <v>44.0</v>
      </c>
      <c r="C226" s="158" t="s">
        <v>3190</v>
      </c>
    </row>
    <row r="227" ht="15.75" customHeight="1">
      <c r="A227" s="156" t="s">
        <v>437</v>
      </c>
      <c r="B227" s="159">
        <v>43.0</v>
      </c>
      <c r="C227" s="158" t="s">
        <v>3191</v>
      </c>
    </row>
    <row r="228" ht="15.75" customHeight="1">
      <c r="A228" s="156" t="s">
        <v>3192</v>
      </c>
      <c r="B228" s="159">
        <v>45.0</v>
      </c>
      <c r="C228" s="158" t="s">
        <v>3193</v>
      </c>
    </row>
    <row r="229" ht="15.75" customHeight="1">
      <c r="A229" s="156" t="s">
        <v>3194</v>
      </c>
      <c r="B229" s="159">
        <v>42.0</v>
      </c>
      <c r="C229" s="158" t="s">
        <v>3195</v>
      </c>
    </row>
    <row r="230" ht="15.75" customHeight="1">
      <c r="A230" s="156" t="s">
        <v>3196</v>
      </c>
      <c r="B230" s="159">
        <v>44.0</v>
      </c>
      <c r="C230" s="158" t="s">
        <v>3197</v>
      </c>
    </row>
    <row r="231" ht="15.75" customHeight="1">
      <c r="A231" s="156" t="s">
        <v>3198</v>
      </c>
      <c r="B231" s="159">
        <v>43.0</v>
      </c>
      <c r="C231" s="158" t="s">
        <v>3199</v>
      </c>
    </row>
    <row r="232" ht="15.75" customHeight="1">
      <c r="A232" s="156" t="s">
        <v>3200</v>
      </c>
      <c r="B232" s="159">
        <v>41.0</v>
      </c>
      <c r="C232" s="158" t="s">
        <v>3201</v>
      </c>
    </row>
    <row r="233" ht="15.75" customHeight="1">
      <c r="A233" s="156" t="s">
        <v>3202</v>
      </c>
      <c r="B233" s="159">
        <v>47.0</v>
      </c>
      <c r="C233" s="158" t="s">
        <v>2834</v>
      </c>
    </row>
    <row r="234" ht="15.75" customHeight="1">
      <c r="A234" s="156" t="s">
        <v>3203</v>
      </c>
      <c r="B234" s="159">
        <v>47.0</v>
      </c>
      <c r="C234" s="158" t="s">
        <v>2834</v>
      </c>
    </row>
    <row r="235" ht="15.75" customHeight="1">
      <c r="A235" s="156" t="s">
        <v>3204</v>
      </c>
      <c r="B235" s="159">
        <v>44.0</v>
      </c>
      <c r="C235" s="158" t="s">
        <v>2832</v>
      </c>
    </row>
    <row r="236" ht="15.75" customHeight="1">
      <c r="A236" s="156" t="s">
        <v>3205</v>
      </c>
      <c r="B236" s="159">
        <v>17.0</v>
      </c>
      <c r="C236" s="158" t="s">
        <v>3206</v>
      </c>
    </row>
    <row r="237" ht="15.75" customHeight="1">
      <c r="A237" s="156" t="s">
        <v>3207</v>
      </c>
      <c r="B237" s="159">
        <v>43.0</v>
      </c>
      <c r="C237" s="158" t="s">
        <v>3208</v>
      </c>
    </row>
    <row r="238" ht="15.75" customHeight="1">
      <c r="A238" s="156" t="s">
        <v>3209</v>
      </c>
      <c r="B238" s="159">
        <v>39.0</v>
      </c>
      <c r="C238" s="158" t="s">
        <v>3210</v>
      </c>
    </row>
    <row r="239" ht="15.75" customHeight="1">
      <c r="A239" s="156" t="s">
        <v>3211</v>
      </c>
      <c r="B239" s="159">
        <v>40.0</v>
      </c>
      <c r="C239" s="158" t="s">
        <v>3212</v>
      </c>
    </row>
    <row r="240" ht="15.75" customHeight="1">
      <c r="A240" s="156" t="s">
        <v>3213</v>
      </c>
      <c r="B240" s="159">
        <v>37.0</v>
      </c>
      <c r="C240" s="158" t="s">
        <v>3214</v>
      </c>
    </row>
    <row r="241" ht="15.75" customHeight="1">
      <c r="A241" s="156" t="s">
        <v>3215</v>
      </c>
      <c r="B241" s="159">
        <v>38.5</v>
      </c>
      <c r="C241" s="158" t="s">
        <v>2807</v>
      </c>
    </row>
    <row r="242" ht="15.75" customHeight="1">
      <c r="A242" s="156" t="s">
        <v>3216</v>
      </c>
      <c r="B242" s="159">
        <v>38.0</v>
      </c>
      <c r="C242" s="158" t="s">
        <v>3214</v>
      </c>
    </row>
    <row r="243" ht="15.75" customHeight="1">
      <c r="A243" s="156" t="s">
        <v>3218</v>
      </c>
      <c r="B243" s="159">
        <v>39.0</v>
      </c>
      <c r="C243" s="158" t="s">
        <v>3214</v>
      </c>
    </row>
    <row r="244" ht="15.75" customHeight="1">
      <c r="A244" s="156" t="s">
        <v>3219</v>
      </c>
      <c r="B244" s="159">
        <v>40.0</v>
      </c>
      <c r="C244" s="158" t="s">
        <v>3220</v>
      </c>
    </row>
    <row r="245" ht="15.75" customHeight="1">
      <c r="A245" s="156" t="s">
        <v>3221</v>
      </c>
      <c r="B245" s="159">
        <v>42.0</v>
      </c>
      <c r="C245" s="158" t="s">
        <v>3223</v>
      </c>
    </row>
    <row r="246" ht="15.75" customHeight="1">
      <c r="A246" s="156" t="s">
        <v>38</v>
      </c>
      <c r="B246" s="159">
        <v>45.0</v>
      </c>
      <c r="C246" s="158" t="s">
        <v>3224</v>
      </c>
    </row>
    <row r="247" ht="15.75" customHeight="1">
      <c r="A247" s="156" t="s">
        <v>3225</v>
      </c>
      <c r="B247" s="159">
        <v>40.0</v>
      </c>
      <c r="C247" s="158" t="s">
        <v>3226</v>
      </c>
    </row>
    <row r="248" ht="15.75" customHeight="1">
      <c r="A248" s="156" t="s">
        <v>3227</v>
      </c>
      <c r="B248" s="159">
        <v>37.5</v>
      </c>
      <c r="C248" s="158" t="s">
        <v>3228</v>
      </c>
    </row>
    <row r="249" ht="15.75" customHeight="1">
      <c r="A249" s="156" t="s">
        <v>3229</v>
      </c>
      <c r="B249" s="159">
        <v>44.0</v>
      </c>
      <c r="C249" s="158" t="s">
        <v>3230</v>
      </c>
    </row>
    <row r="250" ht="15.75" customHeight="1">
      <c r="A250" s="156" t="s">
        <v>3231</v>
      </c>
      <c r="B250" s="159">
        <v>42.5</v>
      </c>
      <c r="C250" s="158" t="s">
        <v>3232</v>
      </c>
    </row>
    <row r="251" ht="15.75" customHeight="1">
      <c r="A251" s="156" t="s">
        <v>3233</v>
      </c>
      <c r="B251" s="159">
        <v>42.0</v>
      </c>
      <c r="C251" s="158" t="s">
        <v>3234</v>
      </c>
    </row>
    <row r="252" ht="15.75" customHeight="1">
      <c r="A252" s="156" t="s">
        <v>3235</v>
      </c>
      <c r="B252" s="159">
        <v>46.0</v>
      </c>
      <c r="C252" s="158" t="s">
        <v>3236</v>
      </c>
    </row>
    <row r="253" ht="15.75" customHeight="1">
      <c r="A253" s="156" t="s">
        <v>3237</v>
      </c>
      <c r="B253" s="159">
        <v>46.0</v>
      </c>
      <c r="C253" s="158" t="s">
        <v>3238</v>
      </c>
    </row>
    <row r="254" ht="15.75" customHeight="1">
      <c r="A254" s="156" t="s">
        <v>99</v>
      </c>
      <c r="B254" s="159">
        <v>50.0</v>
      </c>
      <c r="C254" s="158" t="s">
        <v>3239</v>
      </c>
    </row>
    <row r="255" ht="15.75" customHeight="1">
      <c r="A255" s="156" t="s">
        <v>3240</v>
      </c>
      <c r="B255" s="159">
        <v>41.0</v>
      </c>
      <c r="C255" s="158" t="s">
        <v>3241</v>
      </c>
    </row>
    <row r="256" ht="15.75" customHeight="1">
      <c r="A256" s="156" t="s">
        <v>3242</v>
      </c>
      <c r="B256" s="159">
        <v>47.0</v>
      </c>
      <c r="C256" s="158" t="s">
        <v>3243</v>
      </c>
    </row>
    <row r="257" ht="15.75" customHeight="1">
      <c r="A257" s="156" t="s">
        <v>3244</v>
      </c>
      <c r="B257" s="159">
        <v>41.0</v>
      </c>
      <c r="C257" s="158" t="s">
        <v>3245</v>
      </c>
    </row>
    <row r="258" ht="15.75" customHeight="1">
      <c r="A258" s="156" t="s">
        <v>3246</v>
      </c>
      <c r="B258" s="159">
        <v>46.0</v>
      </c>
      <c r="C258" s="158" t="s">
        <v>2834</v>
      </c>
    </row>
    <row r="259" ht="15.75" customHeight="1">
      <c r="A259" s="156" t="s">
        <v>3247</v>
      </c>
      <c r="B259" s="159">
        <v>46.0</v>
      </c>
      <c r="C259" s="158" t="s">
        <v>2834</v>
      </c>
    </row>
    <row r="260" ht="15.75" customHeight="1">
      <c r="A260" s="156" t="s">
        <v>1215</v>
      </c>
      <c r="B260" s="159">
        <v>42.0</v>
      </c>
      <c r="C260" s="158" t="s">
        <v>2832</v>
      </c>
    </row>
    <row r="261" ht="15.75" customHeight="1">
      <c r="A261" s="156" t="s">
        <v>3248</v>
      </c>
      <c r="B261" s="159">
        <v>48.0</v>
      </c>
      <c r="C261" s="158" t="s">
        <v>3249</v>
      </c>
    </row>
    <row r="262" ht="15.75" customHeight="1">
      <c r="A262" s="156" t="s">
        <v>3250</v>
      </c>
      <c r="B262" s="159">
        <v>45.0</v>
      </c>
      <c r="C262" s="158" t="s">
        <v>3102</v>
      </c>
    </row>
    <row r="263" ht="15.75" customHeight="1">
      <c r="A263" s="156" t="s">
        <v>3251</v>
      </c>
      <c r="B263" s="159">
        <v>41.0</v>
      </c>
      <c r="C263" s="158" t="s">
        <v>3220</v>
      </c>
    </row>
    <row r="264" ht="15.75" customHeight="1">
      <c r="A264" s="156" t="s">
        <v>3252</v>
      </c>
      <c r="B264" s="159">
        <v>40.0</v>
      </c>
      <c r="C264" s="158" t="s">
        <v>3253</v>
      </c>
    </row>
    <row r="265" ht="15.75" customHeight="1">
      <c r="A265" s="156" t="s">
        <v>3254</v>
      </c>
      <c r="B265" s="159">
        <v>40.0</v>
      </c>
      <c r="C265" s="158" t="s">
        <v>3255</v>
      </c>
    </row>
    <row r="266" ht="15.75" customHeight="1">
      <c r="A266" s="156" t="s">
        <v>135</v>
      </c>
      <c r="B266" s="159">
        <v>40.0</v>
      </c>
      <c r="C266" s="158" t="s">
        <v>3256</v>
      </c>
    </row>
    <row r="267" ht="15.75" customHeight="1">
      <c r="A267" s="156" t="s">
        <v>3257</v>
      </c>
      <c r="B267" s="159">
        <v>40.0</v>
      </c>
      <c r="C267" s="158" t="s">
        <v>3226</v>
      </c>
    </row>
    <row r="268" ht="15.75" customHeight="1">
      <c r="A268" s="156" t="s">
        <v>418</v>
      </c>
      <c r="B268" s="159">
        <v>40.0</v>
      </c>
      <c r="C268" s="158" t="s">
        <v>3258</v>
      </c>
    </row>
    <row r="269" ht="15.75" customHeight="1">
      <c r="A269" s="156" t="s">
        <v>3259</v>
      </c>
      <c r="B269" s="159">
        <v>40.0</v>
      </c>
      <c r="C269" s="158" t="s">
        <v>3260</v>
      </c>
    </row>
    <row r="270" ht="15.75" customHeight="1">
      <c r="A270" s="156" t="s">
        <v>3261</v>
      </c>
      <c r="B270" s="159">
        <v>40.0</v>
      </c>
      <c r="C270" s="158" t="s">
        <v>3262</v>
      </c>
    </row>
    <row r="271" ht="15.75" customHeight="1">
      <c r="A271" s="156" t="s">
        <v>3263</v>
      </c>
      <c r="B271" s="159">
        <v>40.0</v>
      </c>
      <c r="C271" s="158" t="s">
        <v>3256</v>
      </c>
    </row>
    <row r="272" ht="15.75" customHeight="1">
      <c r="A272" s="156" t="s">
        <v>1015</v>
      </c>
      <c r="B272" s="159">
        <v>36.0</v>
      </c>
      <c r="C272" s="158" t="s">
        <v>3264</v>
      </c>
    </row>
    <row r="273" ht="15.75" customHeight="1">
      <c r="A273" s="156" t="s">
        <v>3265</v>
      </c>
      <c r="B273" s="159">
        <v>36.5</v>
      </c>
      <c r="C273" s="158" t="s">
        <v>3266</v>
      </c>
    </row>
    <row r="274" ht="15.75" customHeight="1">
      <c r="A274" s="156" t="s">
        <v>3267</v>
      </c>
      <c r="B274" s="159">
        <v>44.0</v>
      </c>
      <c r="C274" s="158" t="s">
        <v>3268</v>
      </c>
    </row>
    <row r="275" ht="15.75" customHeight="1">
      <c r="A275" s="156" t="s">
        <v>3269</v>
      </c>
      <c r="B275" s="159">
        <v>45.0</v>
      </c>
      <c r="C275" s="158" t="s">
        <v>3270</v>
      </c>
    </row>
    <row r="276" ht="15.75" customHeight="1">
      <c r="A276" s="156" t="s">
        <v>3271</v>
      </c>
      <c r="B276" s="159">
        <v>42.0</v>
      </c>
      <c r="C276" s="158" t="s">
        <v>3272</v>
      </c>
    </row>
    <row r="277" ht="15.75" customHeight="1">
      <c r="A277" s="156" t="s">
        <v>3273</v>
      </c>
      <c r="B277" s="159">
        <v>43.0</v>
      </c>
      <c r="C277" s="158" t="s">
        <v>3274</v>
      </c>
    </row>
    <row r="278" ht="15.75" customHeight="1">
      <c r="A278" s="156" t="s">
        <v>3275</v>
      </c>
      <c r="B278" s="159">
        <v>37.0</v>
      </c>
      <c r="C278" s="158" t="s">
        <v>2901</v>
      </c>
    </row>
    <row r="279" ht="15.75" customHeight="1">
      <c r="A279" s="156" t="s">
        <v>3276</v>
      </c>
      <c r="B279" s="159">
        <v>40.0</v>
      </c>
      <c r="C279" s="158" t="s">
        <v>2918</v>
      </c>
    </row>
    <row r="280" ht="15.75" customHeight="1">
      <c r="A280" s="156" t="s">
        <v>3277</v>
      </c>
      <c r="B280" s="159">
        <v>39.0</v>
      </c>
      <c r="C280" s="158" t="s">
        <v>2918</v>
      </c>
    </row>
    <row r="281" ht="15.75" customHeight="1">
      <c r="A281" s="156" t="s">
        <v>3278</v>
      </c>
      <c r="B281" s="159">
        <v>48.0</v>
      </c>
      <c r="C281" s="158" t="s">
        <v>2834</v>
      </c>
    </row>
    <row r="282" ht="15.75" customHeight="1">
      <c r="A282" s="156" t="s">
        <v>3279</v>
      </c>
      <c r="B282" s="159">
        <v>36.0</v>
      </c>
      <c r="C282" s="158" t="s">
        <v>2875</v>
      </c>
    </row>
    <row r="283" ht="15.75" customHeight="1">
      <c r="A283" s="156" t="s">
        <v>3280</v>
      </c>
      <c r="B283" s="159">
        <v>39.0</v>
      </c>
      <c r="C283" s="158" t="s">
        <v>2901</v>
      </c>
    </row>
    <row r="284" ht="15.75" customHeight="1">
      <c r="A284" s="156" t="s">
        <v>3281</v>
      </c>
      <c r="B284" s="159">
        <v>37.0</v>
      </c>
      <c r="C284" s="158" t="s">
        <v>2901</v>
      </c>
    </row>
    <row r="285" ht="15.75" customHeight="1">
      <c r="A285" s="156" t="s">
        <v>3282</v>
      </c>
      <c r="B285" s="159">
        <v>36.0</v>
      </c>
      <c r="C285" s="158" t="s">
        <v>2972</v>
      </c>
    </row>
    <row r="286" ht="15.75" customHeight="1">
      <c r="A286" s="156" t="s">
        <v>3283</v>
      </c>
      <c r="B286" s="159">
        <v>48.0</v>
      </c>
      <c r="C286" s="158" t="s">
        <v>3284</v>
      </c>
    </row>
    <row r="287" ht="15.75" customHeight="1">
      <c r="A287" s="156" t="s">
        <v>3285</v>
      </c>
      <c r="B287" s="159">
        <v>34.0</v>
      </c>
      <c r="C287" s="158" t="s">
        <v>3286</v>
      </c>
    </row>
    <row r="288" ht="15.75" customHeight="1">
      <c r="A288" s="156" t="s">
        <v>3287</v>
      </c>
      <c r="B288" s="159">
        <v>46.0</v>
      </c>
      <c r="C288" s="158" t="s">
        <v>3288</v>
      </c>
    </row>
    <row r="289" ht="15.75" customHeight="1">
      <c r="A289" s="156" t="s">
        <v>3289</v>
      </c>
      <c r="B289" s="159">
        <v>47.0</v>
      </c>
      <c r="C289" s="158" t="s">
        <v>3290</v>
      </c>
    </row>
    <row r="290" ht="15.75" customHeight="1">
      <c r="A290" s="156" t="s">
        <v>3291</v>
      </c>
      <c r="B290" s="159">
        <v>41.0</v>
      </c>
      <c r="C290" s="158" t="s">
        <v>2832</v>
      </c>
    </row>
    <row r="291" ht="15.75" customHeight="1">
      <c r="A291" s="156" t="s">
        <v>3292</v>
      </c>
      <c r="B291" s="159">
        <v>41.0</v>
      </c>
      <c r="C291" s="158" t="s">
        <v>2832</v>
      </c>
    </row>
    <row r="292" ht="15.75" customHeight="1">
      <c r="A292" s="156" t="s">
        <v>3293</v>
      </c>
      <c r="B292" s="159">
        <v>41.0</v>
      </c>
      <c r="C292" s="158" t="s">
        <v>2832</v>
      </c>
    </row>
    <row r="293" ht="15.75" customHeight="1">
      <c r="A293" s="156" t="s">
        <v>808</v>
      </c>
      <c r="B293" s="159">
        <v>38.0</v>
      </c>
      <c r="C293" s="158" t="s">
        <v>3294</v>
      </c>
    </row>
    <row r="294" ht="15.75" customHeight="1">
      <c r="A294" s="156" t="s">
        <v>3295</v>
      </c>
      <c r="B294" s="159">
        <v>41.0</v>
      </c>
      <c r="C294" s="158" t="s">
        <v>3296</v>
      </c>
    </row>
    <row r="295" ht="15.75" customHeight="1">
      <c r="A295" s="156" t="s">
        <v>3297</v>
      </c>
      <c r="B295" s="159">
        <v>39.0</v>
      </c>
      <c r="C295" s="158" t="s">
        <v>3298</v>
      </c>
    </row>
    <row r="296" ht="15.75" customHeight="1">
      <c r="A296" s="156" t="s">
        <v>3299</v>
      </c>
      <c r="B296" s="159">
        <v>31.0</v>
      </c>
      <c r="C296" s="158" t="s">
        <v>3300</v>
      </c>
    </row>
    <row r="297" ht="15.75" customHeight="1">
      <c r="A297" s="156" t="s">
        <v>3301</v>
      </c>
      <c r="B297" s="159">
        <v>31.0</v>
      </c>
      <c r="C297" s="158" t="s">
        <v>3302</v>
      </c>
    </row>
    <row r="298" ht="15.75" customHeight="1">
      <c r="A298" s="156" t="s">
        <v>577</v>
      </c>
      <c r="B298" s="159">
        <v>31.0</v>
      </c>
      <c r="C298" s="158" t="s">
        <v>3303</v>
      </c>
    </row>
    <row r="299" ht="15.75" customHeight="1">
      <c r="A299" s="156" t="s">
        <v>3304</v>
      </c>
      <c r="B299" s="159">
        <v>12.0</v>
      </c>
      <c r="C299" s="158" t="s">
        <v>3305</v>
      </c>
    </row>
    <row r="300" ht="15.75" customHeight="1">
      <c r="A300" s="156" t="s">
        <v>3306</v>
      </c>
      <c r="B300" s="159">
        <v>39.0</v>
      </c>
      <c r="C300" s="158" t="s">
        <v>3307</v>
      </c>
    </row>
    <row r="301" ht="15.75" customHeight="1">
      <c r="A301" s="156" t="s">
        <v>3308</v>
      </c>
      <c r="B301" s="159">
        <v>48.0</v>
      </c>
      <c r="C301" s="158" t="s">
        <v>3309</v>
      </c>
    </row>
    <row r="302" ht="15.75" customHeight="1">
      <c r="A302" s="156" t="s">
        <v>299</v>
      </c>
      <c r="B302" s="159">
        <v>38.0</v>
      </c>
      <c r="C302" s="158" t="s">
        <v>3310</v>
      </c>
    </row>
    <row r="303" ht="15.75" customHeight="1">
      <c r="A303" s="156" t="s">
        <v>229</v>
      </c>
      <c r="B303" s="159">
        <v>34.0</v>
      </c>
      <c r="C303" s="158" t="s">
        <v>3311</v>
      </c>
    </row>
    <row r="304" ht="15.75" customHeight="1">
      <c r="A304" s="156" t="s">
        <v>3312</v>
      </c>
      <c r="B304" s="159">
        <v>40.0</v>
      </c>
      <c r="C304" s="158" t="s">
        <v>3313</v>
      </c>
    </row>
    <row r="305" ht="15.75" customHeight="1">
      <c r="A305" s="156" t="s">
        <v>3314</v>
      </c>
      <c r="B305" s="159">
        <v>44.0</v>
      </c>
      <c r="C305" s="158" t="s">
        <v>3315</v>
      </c>
    </row>
    <row r="306" ht="15.75" customHeight="1">
      <c r="A306" s="156" t="s">
        <v>3316</v>
      </c>
      <c r="B306" s="159">
        <v>45.0</v>
      </c>
      <c r="C306" s="158" t="s">
        <v>3317</v>
      </c>
    </row>
    <row r="307" ht="15.75" customHeight="1">
      <c r="A307" s="156" t="s">
        <v>3318</v>
      </c>
      <c r="B307" s="159">
        <v>46.0</v>
      </c>
      <c r="C307" s="158" t="s">
        <v>3319</v>
      </c>
    </row>
    <row r="308" ht="15.75" customHeight="1">
      <c r="A308" s="156" t="s">
        <v>3320</v>
      </c>
      <c r="B308" s="159">
        <v>44.0</v>
      </c>
      <c r="C308" s="158" t="s">
        <v>3321</v>
      </c>
    </row>
    <row r="309" ht="15.75" customHeight="1">
      <c r="A309" s="156" t="s">
        <v>3322</v>
      </c>
      <c r="B309" s="159">
        <v>45.0</v>
      </c>
      <c r="C309" s="158" t="s">
        <v>3323</v>
      </c>
    </row>
    <row r="310" ht="15.75" customHeight="1">
      <c r="A310" s="156" t="s">
        <v>3324</v>
      </c>
      <c r="B310" s="159">
        <v>41.0</v>
      </c>
      <c r="C310" s="158" t="s">
        <v>3325</v>
      </c>
    </row>
    <row r="311" ht="15.75" customHeight="1">
      <c r="A311" s="156" t="s">
        <v>3326</v>
      </c>
      <c r="B311" s="159">
        <v>43.0</v>
      </c>
      <c r="C311" s="158" t="s">
        <v>3327</v>
      </c>
    </row>
    <row r="312" ht="15.75" customHeight="1">
      <c r="A312" s="156" t="s">
        <v>3328</v>
      </c>
      <c r="B312" s="159">
        <v>45.0</v>
      </c>
      <c r="C312" s="158" t="s">
        <v>3329</v>
      </c>
    </row>
    <row r="313" ht="15.75" customHeight="1">
      <c r="A313" s="156" t="s">
        <v>3330</v>
      </c>
      <c r="B313" s="159">
        <v>45.0</v>
      </c>
      <c r="C313" s="158" t="s">
        <v>3331</v>
      </c>
    </row>
    <row r="314" ht="15.75" customHeight="1">
      <c r="A314" s="156" t="s">
        <v>3332</v>
      </c>
      <c r="B314" s="159">
        <v>50.0</v>
      </c>
      <c r="C314" s="158" t="s">
        <v>3333</v>
      </c>
    </row>
    <row r="315" ht="15.75" customHeight="1">
      <c r="A315" s="156" t="s">
        <v>3334</v>
      </c>
      <c r="B315" s="159">
        <v>48.0</v>
      </c>
      <c r="C315" s="158" t="s">
        <v>3335</v>
      </c>
    </row>
    <row r="316" ht="15.75" customHeight="1">
      <c r="A316" s="156" t="s">
        <v>3336</v>
      </c>
      <c r="B316" s="159">
        <v>42.0</v>
      </c>
      <c r="C316" s="158" t="s">
        <v>3337</v>
      </c>
    </row>
    <row r="317" ht="15.75" customHeight="1">
      <c r="A317" s="156" t="s">
        <v>3338</v>
      </c>
      <c r="B317" s="159">
        <v>43.0</v>
      </c>
      <c r="C317" s="158" t="s">
        <v>3339</v>
      </c>
    </row>
    <row r="318" ht="15.75" customHeight="1">
      <c r="A318" s="156" t="s">
        <v>3340</v>
      </c>
      <c r="B318" s="159">
        <v>39.0</v>
      </c>
      <c r="C318" s="158" t="s">
        <v>3341</v>
      </c>
    </row>
    <row r="319" ht="15.75" customHeight="1">
      <c r="A319" s="156" t="s">
        <v>3342</v>
      </c>
      <c r="B319" s="159">
        <v>44.0</v>
      </c>
      <c r="C319" s="158" t="s">
        <v>3343</v>
      </c>
    </row>
    <row r="320" ht="15.75" customHeight="1">
      <c r="A320" s="156" t="s">
        <v>3344</v>
      </c>
      <c r="B320" s="159">
        <v>43.0</v>
      </c>
      <c r="C320" s="158" t="s">
        <v>3345</v>
      </c>
    </row>
    <row r="321" ht="15.75" customHeight="1">
      <c r="A321" s="156" t="s">
        <v>3346</v>
      </c>
      <c r="B321" s="159">
        <v>35.0</v>
      </c>
      <c r="C321" s="158" t="s">
        <v>3347</v>
      </c>
    </row>
    <row r="322" ht="15.75" customHeight="1">
      <c r="A322" s="156" t="s">
        <v>3348</v>
      </c>
      <c r="B322" s="159">
        <v>37.0</v>
      </c>
      <c r="C322" s="158" t="s">
        <v>3349</v>
      </c>
    </row>
    <row r="323" ht="15.75" customHeight="1">
      <c r="A323" s="156" t="s">
        <v>3350</v>
      </c>
      <c r="B323" s="159">
        <v>39.0</v>
      </c>
      <c r="C323" s="158" t="s">
        <v>3351</v>
      </c>
    </row>
    <row r="324" ht="15.75" customHeight="1">
      <c r="A324" s="156" t="s">
        <v>128</v>
      </c>
      <c r="B324" s="159">
        <v>43.0</v>
      </c>
      <c r="C324" s="158" t="s">
        <v>3352</v>
      </c>
    </row>
    <row r="325" ht="15.75" customHeight="1">
      <c r="A325" s="156" t="s">
        <v>3353</v>
      </c>
      <c r="B325" s="159">
        <v>40.0</v>
      </c>
      <c r="C325" s="158" t="s">
        <v>3354</v>
      </c>
    </row>
    <row r="326" ht="15.75" customHeight="1">
      <c r="A326" s="156" t="s">
        <v>3355</v>
      </c>
      <c r="B326" s="159">
        <v>45.0</v>
      </c>
      <c r="C326" s="158" t="s">
        <v>3356</v>
      </c>
    </row>
    <row r="327" ht="15.75" customHeight="1">
      <c r="A327" s="156" t="s">
        <v>3357</v>
      </c>
      <c r="B327" s="159">
        <v>40.0</v>
      </c>
      <c r="C327" s="158" t="s">
        <v>3358</v>
      </c>
    </row>
    <row r="328" ht="15.75" customHeight="1">
      <c r="A328" s="156" t="s">
        <v>1210</v>
      </c>
      <c r="B328" s="159">
        <v>45.0</v>
      </c>
      <c r="C328" s="158" t="s">
        <v>3359</v>
      </c>
    </row>
    <row r="329" ht="15.75" customHeight="1">
      <c r="A329" s="156" t="s">
        <v>3360</v>
      </c>
      <c r="B329" s="159">
        <v>32.0</v>
      </c>
      <c r="C329" s="158" t="s">
        <v>3361</v>
      </c>
    </row>
    <row r="330" ht="15.75" customHeight="1">
      <c r="A330" s="156" t="s">
        <v>3362</v>
      </c>
      <c r="B330" s="159">
        <v>42.0</v>
      </c>
      <c r="C330" s="158" t="s">
        <v>3363</v>
      </c>
    </row>
    <row r="331" ht="15.75" customHeight="1">
      <c r="A331" s="156" t="s">
        <v>3364</v>
      </c>
      <c r="B331" s="159">
        <v>43.0</v>
      </c>
      <c r="C331" s="158" t="s">
        <v>3365</v>
      </c>
    </row>
    <row r="332" ht="15.75" customHeight="1">
      <c r="A332" s="156" t="s">
        <v>3366</v>
      </c>
      <c r="B332" s="159">
        <v>44.0</v>
      </c>
      <c r="C332" s="158" t="s">
        <v>3367</v>
      </c>
    </row>
    <row r="333" ht="15.75" customHeight="1">
      <c r="A333" s="156" t="s">
        <v>3368</v>
      </c>
      <c r="B333" s="159">
        <v>36.0</v>
      </c>
      <c r="C333" s="158" t="s">
        <v>3369</v>
      </c>
    </row>
    <row r="334" ht="15.75" customHeight="1">
      <c r="A334" s="156" t="s">
        <v>3370</v>
      </c>
      <c r="B334" s="159">
        <v>41.0</v>
      </c>
      <c r="C334" s="158" t="s">
        <v>3371</v>
      </c>
    </row>
    <row r="335" ht="15.75" customHeight="1">
      <c r="A335" s="156" t="s">
        <v>3372</v>
      </c>
      <c r="B335" s="159">
        <v>42.0</v>
      </c>
      <c r="C335" s="158" t="s">
        <v>3373</v>
      </c>
    </row>
    <row r="336" ht="15.75" customHeight="1">
      <c r="A336" s="156" t="s">
        <v>3374</v>
      </c>
      <c r="B336" s="159">
        <v>42.0</v>
      </c>
      <c r="C336" s="158" t="s">
        <v>3375</v>
      </c>
    </row>
    <row r="337" ht="15.75" customHeight="1">
      <c r="A337" s="156" t="s">
        <v>3376</v>
      </c>
      <c r="B337" s="159">
        <v>45.0</v>
      </c>
      <c r="C337" s="158" t="s">
        <v>3377</v>
      </c>
    </row>
    <row r="338" ht="15.75" customHeight="1">
      <c r="A338" s="156" t="s">
        <v>3378</v>
      </c>
      <c r="B338" s="159">
        <v>41.0</v>
      </c>
      <c r="C338" s="158" t="s">
        <v>3379</v>
      </c>
    </row>
    <row r="339" ht="15.75" customHeight="1">
      <c r="A339" s="156" t="s">
        <v>214</v>
      </c>
      <c r="B339" s="159">
        <v>46.0</v>
      </c>
      <c r="C339" s="158" t="s">
        <v>3380</v>
      </c>
    </row>
    <row r="340" ht="15.75" customHeight="1">
      <c r="A340" s="156" t="s">
        <v>3381</v>
      </c>
      <c r="B340" s="159">
        <v>44.0</v>
      </c>
      <c r="C340" s="158" t="s">
        <v>3382</v>
      </c>
    </row>
    <row r="341" ht="15.75" customHeight="1">
      <c r="A341" s="156" t="s">
        <v>3383</v>
      </c>
      <c r="B341" s="159">
        <v>40.0</v>
      </c>
      <c r="C341" s="158" t="s">
        <v>3384</v>
      </c>
    </row>
    <row r="342" ht="15.75" customHeight="1">
      <c r="A342" s="156" t="s">
        <v>3386</v>
      </c>
      <c r="B342" s="159">
        <v>42.0</v>
      </c>
      <c r="C342" s="158" t="s">
        <v>3387</v>
      </c>
    </row>
    <row r="343" ht="15.75" customHeight="1">
      <c r="A343" s="156" t="s">
        <v>3388</v>
      </c>
      <c r="B343" s="159">
        <v>43.0</v>
      </c>
      <c r="C343" s="158" t="s">
        <v>3389</v>
      </c>
    </row>
    <row r="344" ht="15.75" customHeight="1">
      <c r="A344" s="156" t="s">
        <v>3390</v>
      </c>
      <c r="B344" s="159">
        <v>39.0</v>
      </c>
      <c r="C344" s="158" t="s">
        <v>3391</v>
      </c>
    </row>
    <row r="345" ht="15.75" customHeight="1">
      <c r="A345" s="156" t="s">
        <v>3392</v>
      </c>
      <c r="B345" s="159">
        <v>43.0</v>
      </c>
      <c r="C345" s="158" t="s">
        <v>3393</v>
      </c>
    </row>
    <row r="346" ht="15.75" customHeight="1">
      <c r="A346" s="156" t="s">
        <v>3394</v>
      </c>
      <c r="B346" s="159">
        <v>42.0</v>
      </c>
      <c r="C346" s="158" t="s">
        <v>3395</v>
      </c>
    </row>
    <row r="347" ht="15.75" customHeight="1">
      <c r="A347" s="156" t="s">
        <v>3396</v>
      </c>
      <c r="B347" s="159">
        <v>44.0</v>
      </c>
      <c r="C347" s="158" t="s">
        <v>3397</v>
      </c>
    </row>
    <row r="348" ht="15.75" customHeight="1">
      <c r="A348" s="156" t="s">
        <v>3398</v>
      </c>
      <c r="B348" s="159">
        <v>40.0</v>
      </c>
      <c r="C348" s="158" t="s">
        <v>3399</v>
      </c>
    </row>
    <row r="349" ht="15.75" customHeight="1">
      <c r="A349" s="156" t="s">
        <v>3400</v>
      </c>
      <c r="B349" s="159">
        <v>40.0</v>
      </c>
      <c r="C349" s="158" t="s">
        <v>3401</v>
      </c>
    </row>
    <row r="350" ht="15.75" customHeight="1">
      <c r="A350" s="156" t="s">
        <v>3402</v>
      </c>
      <c r="B350" s="159">
        <v>44.0</v>
      </c>
      <c r="C350" s="158" t="s">
        <v>3403</v>
      </c>
    </row>
    <row r="351" ht="15.75" customHeight="1">
      <c r="A351" s="156" t="s">
        <v>551</v>
      </c>
      <c r="B351" s="159">
        <v>45.0</v>
      </c>
      <c r="C351" s="158" t="s">
        <v>3404</v>
      </c>
    </row>
    <row r="352" ht="15.75" customHeight="1">
      <c r="A352" s="156" t="s">
        <v>3405</v>
      </c>
      <c r="B352" s="159">
        <v>46.0</v>
      </c>
      <c r="C352" s="158" t="s">
        <v>3406</v>
      </c>
    </row>
    <row r="353" ht="15.75" customHeight="1">
      <c r="A353" s="156" t="s">
        <v>3407</v>
      </c>
      <c r="B353" s="159">
        <v>42.0</v>
      </c>
      <c r="C353" s="158" t="s">
        <v>3408</v>
      </c>
    </row>
    <row r="354" ht="15.75" customHeight="1">
      <c r="A354" s="156" t="s">
        <v>3409</v>
      </c>
      <c r="B354" s="159">
        <v>44.0</v>
      </c>
      <c r="C354" s="158" t="s">
        <v>3410</v>
      </c>
    </row>
    <row r="355" ht="15.75" customHeight="1">
      <c r="A355" s="156" t="s">
        <v>3411</v>
      </c>
      <c r="B355" s="159">
        <v>41.0</v>
      </c>
      <c r="C355" s="158" t="s">
        <v>3181</v>
      </c>
    </row>
    <row r="356" ht="15.75" customHeight="1">
      <c r="A356" s="156" t="s">
        <v>3412</v>
      </c>
      <c r="B356" s="159">
        <v>32.0</v>
      </c>
      <c r="C356" s="158" t="s">
        <v>3413</v>
      </c>
    </row>
    <row r="357" ht="15.75" customHeight="1">
      <c r="A357" s="156" t="s">
        <v>3414</v>
      </c>
      <c r="B357" s="159">
        <v>30.0</v>
      </c>
      <c r="C357" s="158" t="s">
        <v>3415</v>
      </c>
    </row>
    <row r="358" ht="15.75" customHeight="1">
      <c r="A358" s="156" t="s">
        <v>3416</v>
      </c>
      <c r="B358" s="159">
        <v>46.0</v>
      </c>
      <c r="C358" s="158" t="s">
        <v>3417</v>
      </c>
    </row>
    <row r="359" ht="15.75" customHeight="1">
      <c r="A359" s="156" t="s">
        <v>3418</v>
      </c>
      <c r="B359" s="159">
        <v>48.0</v>
      </c>
      <c r="C359" s="158" t="s">
        <v>3419</v>
      </c>
    </row>
    <row r="360" ht="15.75" customHeight="1">
      <c r="A360" s="156" t="s">
        <v>65</v>
      </c>
      <c r="B360" s="159">
        <v>43.0</v>
      </c>
      <c r="C360" s="158" t="s">
        <v>3420</v>
      </c>
    </row>
    <row r="361" ht="15.75" customHeight="1">
      <c r="A361" s="156" t="s">
        <v>3421</v>
      </c>
      <c r="B361" s="159">
        <v>47.0</v>
      </c>
      <c r="C361" s="158" t="s">
        <v>2914</v>
      </c>
    </row>
    <row r="362" ht="15.75" customHeight="1">
      <c r="A362" s="156" t="s">
        <v>3422</v>
      </c>
      <c r="B362" s="159">
        <v>47.0</v>
      </c>
      <c r="C362" s="158" t="s">
        <v>3014</v>
      </c>
    </row>
    <row r="363" ht="15.75" customHeight="1">
      <c r="A363" s="156" t="s">
        <v>3423</v>
      </c>
      <c r="B363" s="159">
        <v>42.0</v>
      </c>
      <c r="C363" s="158" t="s">
        <v>3424</v>
      </c>
    </row>
    <row r="364" ht="15.75" customHeight="1">
      <c r="A364" s="156" t="s">
        <v>3425</v>
      </c>
      <c r="B364" s="159">
        <v>48.0</v>
      </c>
      <c r="C364" s="158" t="s">
        <v>3426</v>
      </c>
    </row>
    <row r="365" ht="15.75" customHeight="1">
      <c r="A365" s="156" t="s">
        <v>1035</v>
      </c>
      <c r="B365" s="159">
        <v>48.0</v>
      </c>
      <c r="C365" s="158" t="s">
        <v>3427</v>
      </c>
    </row>
    <row r="366" ht="15.75" customHeight="1">
      <c r="A366" s="156" t="s">
        <v>3428</v>
      </c>
      <c r="B366" s="159">
        <v>48.0</v>
      </c>
      <c r="C366" s="158" t="s">
        <v>3429</v>
      </c>
    </row>
    <row r="367" ht="15.75" customHeight="1">
      <c r="A367" s="156" t="s">
        <v>3430</v>
      </c>
      <c r="B367" s="159">
        <v>47.0</v>
      </c>
      <c r="C367" s="158" t="s">
        <v>3431</v>
      </c>
    </row>
    <row r="368" ht="15.75" customHeight="1">
      <c r="A368" s="156" t="s">
        <v>3432</v>
      </c>
      <c r="B368" s="159">
        <v>46.0</v>
      </c>
      <c r="C368" s="158" t="s">
        <v>3434</v>
      </c>
    </row>
    <row r="369" ht="15.75" customHeight="1">
      <c r="A369" s="156" t="s">
        <v>3435</v>
      </c>
      <c r="B369" s="159">
        <v>45.0</v>
      </c>
      <c r="C369" s="158" t="s">
        <v>3436</v>
      </c>
    </row>
    <row r="370" ht="15.75" customHeight="1">
      <c r="A370" s="156" t="s">
        <v>3437</v>
      </c>
      <c r="B370" s="159">
        <v>25.0</v>
      </c>
      <c r="C370" s="158" t="s">
        <v>3438</v>
      </c>
    </row>
    <row r="371" ht="15.75" customHeight="1">
      <c r="A371" s="156" t="s">
        <v>3439</v>
      </c>
      <c r="B371" s="159">
        <v>44.0</v>
      </c>
      <c r="C371" s="158" t="s">
        <v>3440</v>
      </c>
    </row>
    <row r="372" ht="15.75" customHeight="1">
      <c r="A372" s="156" t="s">
        <v>3441</v>
      </c>
      <c r="B372" s="159">
        <v>38.0</v>
      </c>
      <c r="C372" s="158" t="s">
        <v>3442</v>
      </c>
    </row>
    <row r="373" ht="15.75" customHeight="1">
      <c r="A373" s="156" t="s">
        <v>3443</v>
      </c>
      <c r="B373" s="159">
        <v>42.0</v>
      </c>
      <c r="C373" s="158" t="s">
        <v>3444</v>
      </c>
    </row>
    <row r="374" ht="15.75" customHeight="1">
      <c r="A374" s="156" t="s">
        <v>3445</v>
      </c>
      <c r="B374" s="159">
        <v>42.0</v>
      </c>
      <c r="C374" s="158" t="s">
        <v>3444</v>
      </c>
    </row>
    <row r="375" ht="15.75" customHeight="1">
      <c r="A375" s="156" t="s">
        <v>3446</v>
      </c>
      <c r="B375" s="159">
        <v>48.0</v>
      </c>
      <c r="C375" s="158" t="s">
        <v>3447</v>
      </c>
    </row>
    <row r="376" ht="15.75" customHeight="1">
      <c r="A376" s="156" t="s">
        <v>3448</v>
      </c>
      <c r="B376" s="159">
        <v>48.0</v>
      </c>
      <c r="C376" s="158" t="s">
        <v>3449</v>
      </c>
    </row>
    <row r="377" ht="15.75" customHeight="1">
      <c r="A377" s="156" t="s">
        <v>3450</v>
      </c>
      <c r="B377" s="159">
        <v>48.0</v>
      </c>
      <c r="C377" s="158" t="s">
        <v>3451</v>
      </c>
    </row>
    <row r="378" ht="15.75" customHeight="1">
      <c r="A378" s="156" t="s">
        <v>3452</v>
      </c>
      <c r="B378" s="159">
        <v>47.0</v>
      </c>
      <c r="C378" s="158" t="s">
        <v>3453</v>
      </c>
    </row>
    <row r="379" ht="15.75" customHeight="1">
      <c r="A379" s="156" t="s">
        <v>3454</v>
      </c>
      <c r="B379" s="159">
        <v>45.0</v>
      </c>
      <c r="C379" s="158" t="s">
        <v>3455</v>
      </c>
    </row>
    <row r="380" ht="15.75" customHeight="1">
      <c r="A380" s="156" t="s">
        <v>3456</v>
      </c>
      <c r="B380" s="159">
        <v>48.0</v>
      </c>
      <c r="C380" s="158" t="s">
        <v>3457</v>
      </c>
    </row>
    <row r="381" ht="15.75" customHeight="1">
      <c r="A381" s="156" t="s">
        <v>3458</v>
      </c>
      <c r="B381" s="159">
        <v>48.0</v>
      </c>
      <c r="C381" s="158" t="s">
        <v>3459</v>
      </c>
    </row>
    <row r="382" ht="15.75" customHeight="1">
      <c r="A382" s="156" t="s">
        <v>387</v>
      </c>
      <c r="B382" s="159">
        <v>46.0</v>
      </c>
      <c r="C382" s="158" t="s">
        <v>3460</v>
      </c>
    </row>
    <row r="383" ht="15.75" customHeight="1">
      <c r="A383" s="156" t="s">
        <v>3461</v>
      </c>
      <c r="B383" s="159">
        <v>49.0</v>
      </c>
      <c r="C383" s="158" t="s">
        <v>3447</v>
      </c>
    </row>
    <row r="384" ht="15.75" customHeight="1">
      <c r="A384" s="156" t="s">
        <v>3462</v>
      </c>
      <c r="B384" s="159">
        <v>42.0</v>
      </c>
      <c r="C384" s="158" t="s">
        <v>3463</v>
      </c>
    </row>
    <row r="385" ht="15.75" customHeight="1">
      <c r="A385" s="156" t="s">
        <v>3464</v>
      </c>
      <c r="B385" s="159">
        <v>48.0</v>
      </c>
      <c r="C385" s="158" t="s">
        <v>3465</v>
      </c>
    </row>
    <row r="386" ht="15.75" customHeight="1">
      <c r="A386" s="156" t="s">
        <v>3466</v>
      </c>
      <c r="B386" s="159">
        <v>49.0</v>
      </c>
      <c r="C386" s="158" t="s">
        <v>3467</v>
      </c>
    </row>
    <row r="387" ht="15.75" customHeight="1">
      <c r="A387" s="156" t="s">
        <v>3468</v>
      </c>
      <c r="B387" s="159">
        <v>44.0</v>
      </c>
      <c r="C387" s="158" t="s">
        <v>3469</v>
      </c>
    </row>
    <row r="388" ht="15.75" customHeight="1">
      <c r="A388" s="156" t="s">
        <v>3470</v>
      </c>
      <c r="B388" s="159">
        <v>42.0</v>
      </c>
      <c r="C388" s="158" t="s">
        <v>3471</v>
      </c>
    </row>
    <row r="389" ht="15.75" customHeight="1">
      <c r="A389" s="156" t="s">
        <v>3472</v>
      </c>
      <c r="B389" s="159">
        <v>44.0</v>
      </c>
      <c r="C389" s="158" t="s">
        <v>3473</v>
      </c>
    </row>
    <row r="390" ht="15.75" customHeight="1">
      <c r="A390" s="156" t="s">
        <v>3474</v>
      </c>
      <c r="B390" s="159">
        <v>49.0</v>
      </c>
      <c r="C390" s="158" t="s">
        <v>3475</v>
      </c>
    </row>
    <row r="391" ht="15.75" customHeight="1">
      <c r="A391" s="156" t="s">
        <v>3476</v>
      </c>
      <c r="B391" s="159">
        <v>45.0</v>
      </c>
      <c r="C391" s="158" t="s">
        <v>3477</v>
      </c>
    </row>
    <row r="392" ht="15.75" customHeight="1">
      <c r="A392" s="156" t="s">
        <v>3478</v>
      </c>
      <c r="B392" s="159">
        <v>34.0</v>
      </c>
      <c r="C392" s="158" t="s">
        <v>3413</v>
      </c>
    </row>
    <row r="393" ht="15.75" customHeight="1">
      <c r="A393" s="156" t="s">
        <v>3479</v>
      </c>
      <c r="B393" s="159">
        <v>38.0</v>
      </c>
      <c r="C393" s="158" t="s">
        <v>2901</v>
      </c>
    </row>
    <row r="394" ht="15.75" customHeight="1">
      <c r="A394" s="156" t="s">
        <v>3480</v>
      </c>
      <c r="B394" s="159">
        <v>16.0</v>
      </c>
      <c r="C394" s="158" t="s">
        <v>3481</v>
      </c>
    </row>
    <row r="395" ht="15.75" customHeight="1">
      <c r="A395" s="156" t="s">
        <v>3482</v>
      </c>
      <c r="B395" s="159">
        <v>39.0</v>
      </c>
      <c r="C395" s="158" t="s">
        <v>3483</v>
      </c>
    </row>
    <row r="396" ht="15.75" customHeight="1">
      <c r="A396" s="156" t="s">
        <v>3485</v>
      </c>
      <c r="B396" s="159">
        <v>45.0</v>
      </c>
      <c r="C396" s="158" t="s">
        <v>3008</v>
      </c>
    </row>
    <row r="397" ht="15.75" customHeight="1">
      <c r="A397" s="156" t="s">
        <v>3486</v>
      </c>
      <c r="B397" s="159">
        <v>45.0</v>
      </c>
      <c r="C397" s="158" t="s">
        <v>3487</v>
      </c>
    </row>
    <row r="398" ht="15.75" customHeight="1">
      <c r="A398" s="156" t="s">
        <v>3488</v>
      </c>
      <c r="B398" s="159">
        <v>40.5</v>
      </c>
      <c r="C398" s="158" t="s">
        <v>47</v>
      </c>
    </row>
    <row r="399" ht="15.75" customHeight="1">
      <c r="A399" s="156" t="s">
        <v>178</v>
      </c>
      <c r="B399" s="159">
        <v>40.5</v>
      </c>
      <c r="C399" s="158" t="s">
        <v>47</v>
      </c>
    </row>
    <row r="400" ht="15.75" customHeight="1">
      <c r="A400" s="156" t="s">
        <v>3489</v>
      </c>
      <c r="B400" s="159">
        <v>38.5</v>
      </c>
      <c r="C400" s="158" t="s">
        <v>47</v>
      </c>
    </row>
    <row r="401" ht="15.75" customHeight="1">
      <c r="A401" s="156" t="s">
        <v>3491</v>
      </c>
      <c r="B401" s="159">
        <v>42.0</v>
      </c>
      <c r="C401" s="158" t="s">
        <v>47</v>
      </c>
    </row>
    <row r="402" ht="15.75" customHeight="1">
      <c r="A402" s="156" t="s">
        <v>3492</v>
      </c>
      <c r="B402" s="159">
        <v>41.0</v>
      </c>
      <c r="C402" s="158" t="s">
        <v>47</v>
      </c>
    </row>
    <row r="403" ht="15.75" customHeight="1">
      <c r="A403" s="156" t="s">
        <v>3493</v>
      </c>
      <c r="B403" s="159">
        <v>37.0</v>
      </c>
      <c r="C403" s="158" t="s">
        <v>47</v>
      </c>
    </row>
    <row r="404" ht="15.75" customHeight="1">
      <c r="A404" s="156" t="s">
        <v>3494</v>
      </c>
      <c r="B404" s="159">
        <v>38.5</v>
      </c>
      <c r="C404" s="158" t="s">
        <v>3495</v>
      </c>
    </row>
    <row r="405" ht="15.75" customHeight="1">
      <c r="A405" s="156" t="s">
        <v>3496</v>
      </c>
      <c r="B405" s="159">
        <v>43.0</v>
      </c>
      <c r="C405" s="158" t="s">
        <v>47</v>
      </c>
    </row>
    <row r="406" ht="15.75" customHeight="1">
      <c r="A406" s="156" t="s">
        <v>3497</v>
      </c>
      <c r="B406" s="159">
        <v>44.0</v>
      </c>
      <c r="C406" s="158" t="s">
        <v>47</v>
      </c>
    </row>
    <row r="407" ht="15.75" customHeight="1">
      <c r="A407" s="156" t="s">
        <v>3498</v>
      </c>
      <c r="B407" s="159">
        <v>39.0</v>
      </c>
      <c r="C407" s="158" t="s">
        <v>3499</v>
      </c>
    </row>
    <row r="408" ht="15.75" customHeight="1">
      <c r="A408" s="156" t="s">
        <v>3500</v>
      </c>
      <c r="B408" s="159">
        <v>0.0</v>
      </c>
      <c r="C408" s="158" t="s">
        <v>3501</v>
      </c>
    </row>
    <row r="409" ht="15.75" customHeight="1">
      <c r="A409" s="156" t="s">
        <v>3502</v>
      </c>
      <c r="B409" s="159">
        <v>45.0</v>
      </c>
      <c r="C409" s="158" t="s">
        <v>3503</v>
      </c>
    </row>
    <row r="410" ht="15.75" customHeight="1">
      <c r="A410" s="156" t="s">
        <v>3504</v>
      </c>
      <c r="B410" s="159">
        <v>42.0</v>
      </c>
      <c r="C410" s="158" t="s">
        <v>3505</v>
      </c>
    </row>
    <row r="411" ht="15.75" customHeight="1">
      <c r="A411" s="156" t="s">
        <v>3506</v>
      </c>
      <c r="B411" s="159">
        <v>40.0</v>
      </c>
      <c r="C411" s="158" t="s">
        <v>3507</v>
      </c>
    </row>
    <row r="412" ht="15.75" customHeight="1">
      <c r="A412" s="156" t="s">
        <v>3508</v>
      </c>
      <c r="B412" s="159">
        <v>46.0</v>
      </c>
      <c r="C412" s="158" t="s">
        <v>3509</v>
      </c>
    </row>
    <row r="413" ht="15.75" customHeight="1">
      <c r="A413" s="156" t="s">
        <v>3510</v>
      </c>
      <c r="B413" s="159">
        <v>43.0</v>
      </c>
      <c r="C413" s="158" t="s">
        <v>3511</v>
      </c>
    </row>
    <row r="414" ht="15.75" customHeight="1">
      <c r="A414" s="156" t="s">
        <v>3512</v>
      </c>
      <c r="B414" s="159">
        <v>48.0</v>
      </c>
      <c r="C414" s="158" t="s">
        <v>3513</v>
      </c>
    </row>
    <row r="415" ht="15.75" customHeight="1">
      <c r="A415" s="156" t="s">
        <v>3514</v>
      </c>
      <c r="B415" s="159">
        <v>47.0</v>
      </c>
      <c r="C415" s="158" t="s">
        <v>3515</v>
      </c>
    </row>
    <row r="416" ht="15.75" customHeight="1">
      <c r="A416" s="156" t="s">
        <v>3516</v>
      </c>
      <c r="B416" s="159">
        <v>48.0</v>
      </c>
      <c r="C416" s="158" t="s">
        <v>3517</v>
      </c>
    </row>
    <row r="417" ht="15.75" customHeight="1">
      <c r="A417" s="156" t="s">
        <v>3518</v>
      </c>
      <c r="B417" s="159">
        <v>47.0</v>
      </c>
      <c r="C417" s="158" t="s">
        <v>3519</v>
      </c>
    </row>
    <row r="418" ht="15.75" customHeight="1">
      <c r="A418" s="156" t="s">
        <v>3520</v>
      </c>
      <c r="B418" s="159">
        <v>47.0</v>
      </c>
      <c r="C418" s="158" t="s">
        <v>3521</v>
      </c>
    </row>
    <row r="419" ht="15.75" customHeight="1">
      <c r="A419" s="156" t="s">
        <v>3522</v>
      </c>
      <c r="B419" s="159">
        <v>37.0</v>
      </c>
      <c r="C419" s="158" t="s">
        <v>3523</v>
      </c>
    </row>
    <row r="420" ht="15.75" customHeight="1">
      <c r="A420" s="156" t="s">
        <v>283</v>
      </c>
      <c r="B420" s="159">
        <v>30.0</v>
      </c>
      <c r="C420" s="158" t="s">
        <v>3524</v>
      </c>
    </row>
    <row r="421" ht="15.75" customHeight="1">
      <c r="A421" s="156" t="s">
        <v>3525</v>
      </c>
      <c r="B421" s="159">
        <v>32.0</v>
      </c>
      <c r="C421" s="158" t="s">
        <v>3177</v>
      </c>
    </row>
    <row r="422" ht="15.75" customHeight="1">
      <c r="A422" s="156" t="s">
        <v>268</v>
      </c>
      <c r="B422" s="159">
        <v>35.0</v>
      </c>
      <c r="C422" s="158" t="s">
        <v>3179</v>
      </c>
    </row>
    <row r="423" ht="15.75" customHeight="1">
      <c r="A423" s="156" t="s">
        <v>3526</v>
      </c>
      <c r="B423" s="159">
        <v>41.0</v>
      </c>
      <c r="C423" s="158" t="s">
        <v>3181</v>
      </c>
    </row>
    <row r="424" ht="15.75" customHeight="1">
      <c r="A424" s="156" t="s">
        <v>3527</v>
      </c>
      <c r="B424" s="159">
        <v>40.5</v>
      </c>
      <c r="C424" s="158" t="s">
        <v>3528</v>
      </c>
    </row>
    <row r="425" ht="15.75" customHeight="1">
      <c r="A425" s="156" t="s">
        <v>3529</v>
      </c>
      <c r="B425" s="159">
        <v>40.0</v>
      </c>
      <c r="C425" s="158" t="s">
        <v>3528</v>
      </c>
    </row>
    <row r="426" ht="15.75" customHeight="1">
      <c r="A426" s="156" t="s">
        <v>3530</v>
      </c>
      <c r="B426" s="159">
        <v>41.0</v>
      </c>
      <c r="C426" s="158" t="s">
        <v>3531</v>
      </c>
    </row>
    <row r="427" ht="15.75" customHeight="1">
      <c r="A427" s="156" t="s">
        <v>3532</v>
      </c>
      <c r="B427" s="159">
        <v>40.5</v>
      </c>
      <c r="C427" s="158" t="s">
        <v>47</v>
      </c>
    </row>
    <row r="428" ht="15.75" customHeight="1">
      <c r="A428" s="156" t="s">
        <v>3533</v>
      </c>
      <c r="B428" s="159">
        <v>39.5</v>
      </c>
      <c r="C428" s="158" t="s">
        <v>3531</v>
      </c>
    </row>
    <row r="429" ht="15.75" customHeight="1">
      <c r="A429" s="156" t="s">
        <v>92</v>
      </c>
      <c r="B429" s="159">
        <v>49.0</v>
      </c>
      <c r="C429" s="158" t="s">
        <v>3534</v>
      </c>
    </row>
    <row r="430" ht="15.75" customHeight="1">
      <c r="A430" s="156" t="s">
        <v>3535</v>
      </c>
      <c r="B430" s="159">
        <v>40.0</v>
      </c>
      <c r="C430" s="158" t="s">
        <v>47</v>
      </c>
    </row>
    <row r="431" ht="15.75" customHeight="1">
      <c r="A431" s="156" t="s">
        <v>3536</v>
      </c>
      <c r="B431" s="159">
        <v>41.5</v>
      </c>
      <c r="C431" s="158" t="s">
        <v>47</v>
      </c>
    </row>
    <row r="432" ht="15.75" customHeight="1">
      <c r="A432" s="156" t="s">
        <v>3537</v>
      </c>
      <c r="B432" s="159">
        <v>40.5</v>
      </c>
      <c r="C432" s="158" t="s">
        <v>47</v>
      </c>
    </row>
    <row r="433" ht="15.75" customHeight="1">
      <c r="A433" s="156" t="s">
        <v>3538</v>
      </c>
      <c r="B433" s="159">
        <v>41.0</v>
      </c>
      <c r="C433" s="158" t="s">
        <v>3531</v>
      </c>
    </row>
    <row r="434" ht="15.75" customHeight="1">
      <c r="A434" s="156" t="s">
        <v>502</v>
      </c>
      <c r="B434" s="159">
        <v>39.5</v>
      </c>
      <c r="C434" s="158" t="s">
        <v>3531</v>
      </c>
    </row>
    <row r="435" ht="15.75" customHeight="1">
      <c r="A435" s="156" t="s">
        <v>3539</v>
      </c>
      <c r="B435" s="159">
        <v>40.0</v>
      </c>
      <c r="C435" s="158" t="s">
        <v>3534</v>
      </c>
    </row>
    <row r="436" ht="15.75" customHeight="1">
      <c r="A436" s="156" t="s">
        <v>3540</v>
      </c>
      <c r="B436" s="159">
        <v>25.0</v>
      </c>
      <c r="C436" s="158" t="s">
        <v>3541</v>
      </c>
    </row>
    <row r="437" ht="15.75" customHeight="1">
      <c r="A437" s="156" t="s">
        <v>3542</v>
      </c>
      <c r="B437" s="159">
        <v>40.0</v>
      </c>
      <c r="C437" s="158" t="s">
        <v>3543</v>
      </c>
    </row>
    <row r="438" ht="15.75" customHeight="1">
      <c r="A438" s="156" t="s">
        <v>3544</v>
      </c>
      <c r="B438" s="159">
        <v>41.0</v>
      </c>
      <c r="C438" s="158" t="s">
        <v>3545</v>
      </c>
    </row>
    <row r="439" ht="15.75" customHeight="1">
      <c r="A439" s="156" t="s">
        <v>3546</v>
      </c>
      <c r="B439" s="159">
        <v>36.0</v>
      </c>
      <c r="C439" s="158" t="s">
        <v>3547</v>
      </c>
    </row>
    <row r="440" ht="15.75" customHeight="1">
      <c r="A440" s="156" t="s">
        <v>3548</v>
      </c>
      <c r="B440" s="159">
        <v>43.0</v>
      </c>
      <c r="C440" s="158" t="s">
        <v>3549</v>
      </c>
    </row>
    <row r="441" ht="15.75" customHeight="1">
      <c r="A441" s="156" t="s">
        <v>3550</v>
      </c>
      <c r="B441" s="159">
        <v>0.0</v>
      </c>
      <c r="C441" s="158" t="s">
        <v>3551</v>
      </c>
    </row>
    <row r="442" ht="15.75" customHeight="1">
      <c r="A442" s="156" t="s">
        <v>3552</v>
      </c>
      <c r="B442" s="159">
        <v>29.0</v>
      </c>
      <c r="C442" s="158" t="s">
        <v>3553</v>
      </c>
    </row>
    <row r="443" ht="15.75" customHeight="1">
      <c r="A443" s="156" t="s">
        <v>3554</v>
      </c>
      <c r="B443" s="159">
        <v>48.0</v>
      </c>
      <c r="C443" s="158" t="s">
        <v>3555</v>
      </c>
    </row>
    <row r="444" ht="15.75" customHeight="1">
      <c r="A444" s="156" t="s">
        <v>3556</v>
      </c>
      <c r="B444" s="159">
        <v>48.0</v>
      </c>
      <c r="C444" s="158" t="s">
        <v>3453</v>
      </c>
    </row>
    <row r="445" ht="15.75" customHeight="1">
      <c r="A445" s="156" t="s">
        <v>3557</v>
      </c>
      <c r="B445" s="159">
        <v>32.0</v>
      </c>
      <c r="C445" s="158" t="s">
        <v>3558</v>
      </c>
    </row>
    <row r="446" ht="15.75" customHeight="1">
      <c r="A446" s="156" t="s">
        <v>3559</v>
      </c>
      <c r="B446" s="159">
        <v>45.0</v>
      </c>
      <c r="C446" s="158" t="s">
        <v>3560</v>
      </c>
    </row>
    <row r="447" ht="15.75" customHeight="1">
      <c r="A447" s="156" t="s">
        <v>3561</v>
      </c>
      <c r="B447" s="159">
        <v>37.0</v>
      </c>
      <c r="C447" s="158" t="s">
        <v>3562</v>
      </c>
    </row>
    <row r="448" ht="15.75" customHeight="1">
      <c r="A448" s="156" t="s">
        <v>3563</v>
      </c>
      <c r="B448" s="159">
        <v>33.0</v>
      </c>
      <c r="C448" s="158" t="s">
        <v>3564</v>
      </c>
    </row>
    <row r="449" ht="15.75" customHeight="1">
      <c r="A449" s="156" t="s">
        <v>3565</v>
      </c>
      <c r="B449" s="159">
        <v>41.0</v>
      </c>
      <c r="C449" s="158" t="s">
        <v>3566</v>
      </c>
    </row>
    <row r="450" ht="15.75" customHeight="1">
      <c r="A450" s="156" t="s">
        <v>3567</v>
      </c>
      <c r="B450" s="159">
        <v>43.0</v>
      </c>
      <c r="C450" s="158" t="s">
        <v>3569</v>
      </c>
    </row>
    <row r="451" ht="15.75" customHeight="1">
      <c r="A451" s="156" t="s">
        <v>3570</v>
      </c>
      <c r="B451" s="159">
        <v>33.0</v>
      </c>
      <c r="C451" s="158" t="s">
        <v>3108</v>
      </c>
    </row>
    <row r="452" ht="15.75" customHeight="1">
      <c r="A452" s="156" t="s">
        <v>3571</v>
      </c>
      <c r="B452" s="159">
        <v>43.0</v>
      </c>
      <c r="C452" s="158" t="s">
        <v>3572</v>
      </c>
    </row>
    <row r="453" ht="15.75" customHeight="1">
      <c r="A453" s="156" t="s">
        <v>3573</v>
      </c>
      <c r="B453" s="159">
        <v>35.0</v>
      </c>
      <c r="C453" s="158" t="s">
        <v>3574</v>
      </c>
    </row>
    <row r="454" ht="15.75" customHeight="1">
      <c r="A454" s="156" t="s">
        <v>3575</v>
      </c>
      <c r="B454" s="159">
        <v>45.0</v>
      </c>
      <c r="C454" s="158" t="s">
        <v>2834</v>
      </c>
    </row>
    <row r="455" ht="15.75" customHeight="1">
      <c r="A455" s="156" t="s">
        <v>3576</v>
      </c>
      <c r="B455" s="159">
        <v>34.0</v>
      </c>
      <c r="C455" s="158" t="s">
        <v>3577</v>
      </c>
    </row>
    <row r="456" ht="15.75" customHeight="1">
      <c r="A456" s="156" t="s">
        <v>3578</v>
      </c>
      <c r="B456" s="159">
        <v>39.0</v>
      </c>
      <c r="C456" s="158" t="s">
        <v>3579</v>
      </c>
    </row>
    <row r="457" ht="15.75" customHeight="1">
      <c r="A457" s="156" t="s">
        <v>3580</v>
      </c>
      <c r="B457" s="159">
        <v>35.0</v>
      </c>
      <c r="C457" s="158" t="s">
        <v>3582</v>
      </c>
    </row>
    <row r="458" ht="15.75" customHeight="1">
      <c r="A458" s="156" t="s">
        <v>3583</v>
      </c>
      <c r="B458" s="159">
        <v>42.0</v>
      </c>
      <c r="C458" s="158" t="s">
        <v>3584</v>
      </c>
    </row>
    <row r="459" ht="15.75" customHeight="1">
      <c r="A459" s="156" t="s">
        <v>3585</v>
      </c>
      <c r="B459" s="159">
        <v>38.0</v>
      </c>
      <c r="C459" s="158" t="s">
        <v>3586</v>
      </c>
    </row>
    <row r="460" ht="15.75" customHeight="1">
      <c r="A460" s="156" t="s">
        <v>89</v>
      </c>
      <c r="B460" s="159">
        <v>32.0</v>
      </c>
      <c r="C460" s="158" t="s">
        <v>3587</v>
      </c>
    </row>
    <row r="461" ht="15.75" customHeight="1">
      <c r="A461" s="156" t="s">
        <v>3588</v>
      </c>
      <c r="B461" s="159">
        <v>34.0</v>
      </c>
      <c r="C461" s="158" t="s">
        <v>3589</v>
      </c>
    </row>
    <row r="462" ht="15.75" customHeight="1">
      <c r="A462" s="156" t="s">
        <v>3590</v>
      </c>
      <c r="B462" s="159">
        <v>44.0</v>
      </c>
      <c r="C462" s="158" t="s">
        <v>3591</v>
      </c>
    </row>
    <row r="463" ht="15.75" customHeight="1">
      <c r="A463" s="156" t="s">
        <v>3592</v>
      </c>
      <c r="B463" s="159">
        <v>38.5</v>
      </c>
      <c r="C463" s="158" t="s">
        <v>3593</v>
      </c>
    </row>
    <row r="464" ht="15.75" customHeight="1">
      <c r="A464" s="156" t="s">
        <v>3594</v>
      </c>
      <c r="B464" s="159">
        <v>36.5</v>
      </c>
      <c r="C464" s="158" t="s">
        <v>3125</v>
      </c>
    </row>
    <row r="465" ht="15.75" customHeight="1">
      <c r="A465" s="156" t="s">
        <v>302</v>
      </c>
      <c r="B465" s="159">
        <v>39.0</v>
      </c>
      <c r="C465" s="158" t="s">
        <v>3595</v>
      </c>
    </row>
    <row r="466" ht="15.75" customHeight="1">
      <c r="A466" s="156" t="s">
        <v>3596</v>
      </c>
      <c r="B466" s="159">
        <v>37.5</v>
      </c>
      <c r="C466" s="158" t="s">
        <v>3597</v>
      </c>
    </row>
    <row r="467" ht="15.75" customHeight="1">
      <c r="A467" s="156" t="s">
        <v>3598</v>
      </c>
      <c r="B467" s="159">
        <v>36.0</v>
      </c>
      <c r="C467" s="158" t="s">
        <v>3599</v>
      </c>
    </row>
    <row r="468" ht="15.75" customHeight="1">
      <c r="A468" s="156" t="s">
        <v>789</v>
      </c>
      <c r="B468" s="159">
        <v>39.0</v>
      </c>
      <c r="C468" s="158" t="s">
        <v>3600</v>
      </c>
    </row>
    <row r="469" ht="15.75" customHeight="1">
      <c r="A469" s="156" t="s">
        <v>3601</v>
      </c>
      <c r="B469" s="159">
        <v>41.0</v>
      </c>
      <c r="C469" s="158" t="s">
        <v>3602</v>
      </c>
    </row>
    <row r="470" ht="15.75" customHeight="1">
      <c r="A470" s="156" t="s">
        <v>3603</v>
      </c>
      <c r="B470" s="159">
        <v>40.5</v>
      </c>
      <c r="C470" s="158" t="s">
        <v>3604</v>
      </c>
    </row>
    <row r="471" ht="15.75" customHeight="1">
      <c r="A471" s="156" t="s">
        <v>3605</v>
      </c>
      <c r="B471" s="159">
        <v>41.5</v>
      </c>
      <c r="C471" s="158" t="s">
        <v>3606</v>
      </c>
    </row>
    <row r="472" ht="15.75" customHeight="1">
      <c r="A472" s="156" t="s">
        <v>3607</v>
      </c>
      <c r="B472" s="159">
        <v>43.0</v>
      </c>
      <c r="C472" s="158" t="s">
        <v>3608</v>
      </c>
    </row>
    <row r="473" ht="15.75" customHeight="1">
      <c r="A473" s="156" t="s">
        <v>3609</v>
      </c>
      <c r="B473" s="159">
        <v>42.5</v>
      </c>
      <c r="C473" s="158" t="s">
        <v>3610</v>
      </c>
    </row>
    <row r="474" ht="15.75" customHeight="1">
      <c r="A474" s="156" t="s">
        <v>3611</v>
      </c>
      <c r="B474" s="159">
        <v>36.0</v>
      </c>
      <c r="C474" s="158" t="s">
        <v>3593</v>
      </c>
    </row>
    <row r="475" ht="15.75" customHeight="1">
      <c r="A475" s="156" t="s">
        <v>3612</v>
      </c>
      <c r="B475" s="159">
        <v>45.0</v>
      </c>
      <c r="C475" s="158" t="s">
        <v>3613</v>
      </c>
    </row>
    <row r="476" ht="15.75" customHeight="1">
      <c r="A476" s="156" t="s">
        <v>3614</v>
      </c>
      <c r="B476" s="159">
        <v>42.0</v>
      </c>
      <c r="C476" s="158" t="s">
        <v>3615</v>
      </c>
    </row>
    <row r="477" ht="15.75" customHeight="1">
      <c r="A477" s="156" t="s">
        <v>3616</v>
      </c>
      <c r="B477" s="159">
        <v>46.0</v>
      </c>
      <c r="C477" s="158" t="s">
        <v>3617</v>
      </c>
    </row>
    <row r="478" ht="15.75" customHeight="1">
      <c r="A478" s="156" t="s">
        <v>3618</v>
      </c>
      <c r="B478" s="159">
        <v>46.0</v>
      </c>
      <c r="C478" s="158" t="s">
        <v>3619</v>
      </c>
    </row>
    <row r="479" ht="15.75" customHeight="1">
      <c r="A479" s="156" t="s">
        <v>3620</v>
      </c>
      <c r="B479" s="159">
        <v>47.0</v>
      </c>
      <c r="C479" s="158" t="s">
        <v>3621</v>
      </c>
    </row>
    <row r="480" ht="15.75" customHeight="1">
      <c r="A480" s="156" t="s">
        <v>3622</v>
      </c>
      <c r="B480" s="159">
        <v>40.0</v>
      </c>
      <c r="C480" s="158" t="s">
        <v>3623</v>
      </c>
    </row>
    <row r="481" ht="15.75" customHeight="1">
      <c r="A481" s="156" t="s">
        <v>3624</v>
      </c>
      <c r="B481" s="159">
        <v>44.0</v>
      </c>
      <c r="C481" s="158" t="s">
        <v>3625</v>
      </c>
    </row>
    <row r="482" ht="15.75" customHeight="1">
      <c r="A482" s="156" t="s">
        <v>3626</v>
      </c>
      <c r="B482" s="159">
        <v>30.0</v>
      </c>
      <c r="C482" s="158" t="s">
        <v>3627</v>
      </c>
    </row>
    <row r="483" ht="15.75" customHeight="1">
      <c r="A483" s="156" t="s">
        <v>3629</v>
      </c>
      <c r="B483" s="159">
        <v>25.0</v>
      </c>
      <c r="C483" s="158" t="s">
        <v>3630</v>
      </c>
    </row>
    <row r="484" ht="15.75" customHeight="1">
      <c r="A484" s="156" t="s">
        <v>3631</v>
      </c>
      <c r="B484" s="159">
        <v>33.0</v>
      </c>
      <c r="C484" s="158" t="s">
        <v>3632</v>
      </c>
    </row>
    <row r="485" ht="15.75" customHeight="1">
      <c r="A485" s="156" t="s">
        <v>3633</v>
      </c>
      <c r="B485" s="159">
        <v>32.0</v>
      </c>
      <c r="C485" s="158" t="s">
        <v>3634</v>
      </c>
    </row>
    <row r="486" ht="15.75" customHeight="1">
      <c r="A486" s="156" t="s">
        <v>3635</v>
      </c>
      <c r="B486" s="159">
        <v>48.0</v>
      </c>
      <c r="C486" s="158" t="s">
        <v>3636</v>
      </c>
    </row>
    <row r="487" ht="15.75" customHeight="1">
      <c r="A487" s="156" t="s">
        <v>3637</v>
      </c>
      <c r="B487" s="159">
        <v>47.0</v>
      </c>
      <c r="C487" s="158" t="s">
        <v>3638</v>
      </c>
    </row>
    <row r="488" ht="15.75" customHeight="1">
      <c r="A488" s="156" t="s">
        <v>3639</v>
      </c>
      <c r="B488" s="159">
        <v>37.0</v>
      </c>
      <c r="C488" s="158" t="s">
        <v>2901</v>
      </c>
    </row>
    <row r="489" ht="15.75" customHeight="1">
      <c r="A489" s="156" t="s">
        <v>3640</v>
      </c>
      <c r="B489" s="159">
        <v>45.0</v>
      </c>
      <c r="C489" s="158" t="s">
        <v>2918</v>
      </c>
    </row>
    <row r="490" ht="15.75" customHeight="1">
      <c r="A490" s="156" t="s">
        <v>3641</v>
      </c>
      <c r="B490" s="159">
        <v>35.0</v>
      </c>
      <c r="C490" s="158" t="s">
        <v>3642</v>
      </c>
    </row>
    <row r="491" ht="15.75" customHeight="1">
      <c r="A491" s="156" t="s">
        <v>3643</v>
      </c>
      <c r="B491" s="159">
        <v>46.0</v>
      </c>
      <c r="C491" s="158" t="s">
        <v>3644</v>
      </c>
    </row>
    <row r="492" ht="15.75" customHeight="1">
      <c r="A492" s="156" t="s">
        <v>3645</v>
      </c>
      <c r="B492" s="159">
        <v>41.0</v>
      </c>
      <c r="C492" s="158" t="s">
        <v>3646</v>
      </c>
    </row>
    <row r="493" ht="15.75" customHeight="1">
      <c r="A493" s="156" t="s">
        <v>3647</v>
      </c>
      <c r="B493" s="159">
        <v>37.0</v>
      </c>
      <c r="C493" s="158" t="s">
        <v>3648</v>
      </c>
    </row>
    <row r="494" ht="15.75" customHeight="1">
      <c r="A494" s="156" t="s">
        <v>3649</v>
      </c>
      <c r="B494" s="159">
        <v>32.0</v>
      </c>
      <c r="C494" s="158" t="s">
        <v>3413</v>
      </c>
    </row>
    <row r="495" ht="15.75" customHeight="1">
      <c r="A495" s="156" t="s">
        <v>3650</v>
      </c>
      <c r="B495" s="159">
        <v>22.0</v>
      </c>
      <c r="C495" s="158" t="s">
        <v>3651</v>
      </c>
    </row>
    <row r="496" ht="15.75" customHeight="1">
      <c r="A496" s="156" t="s">
        <v>3652</v>
      </c>
      <c r="B496" s="159">
        <v>37.0</v>
      </c>
      <c r="C496" s="158" t="s">
        <v>2972</v>
      </c>
    </row>
    <row r="497" ht="15.75" customHeight="1">
      <c r="A497" s="156" t="s">
        <v>3653</v>
      </c>
      <c r="B497" s="159">
        <v>46.0</v>
      </c>
      <c r="C497" s="158" t="s">
        <v>2834</v>
      </c>
    </row>
    <row r="498" ht="15.75" customHeight="1">
      <c r="A498" s="156" t="s">
        <v>3654</v>
      </c>
      <c r="B498" s="159">
        <v>41.0</v>
      </c>
      <c r="C498" s="158" t="s">
        <v>2832</v>
      </c>
    </row>
    <row r="499" ht="15.75" customHeight="1">
      <c r="A499" s="156" t="s">
        <v>566</v>
      </c>
      <c r="B499" s="159">
        <v>47.0</v>
      </c>
      <c r="C499" s="158" t="s">
        <v>3655</v>
      </c>
    </row>
    <row r="500" ht="15.75" customHeight="1">
      <c r="A500" s="156" t="s">
        <v>3656</v>
      </c>
      <c r="B500" s="159">
        <v>49.0</v>
      </c>
      <c r="C500" s="158" t="s">
        <v>3657</v>
      </c>
    </row>
    <row r="501" ht="15.75" customHeight="1">
      <c r="A501" s="156" t="s">
        <v>3658</v>
      </c>
      <c r="B501" s="159">
        <v>48.0</v>
      </c>
      <c r="C501" s="158" t="s">
        <v>3659</v>
      </c>
    </row>
    <row r="502" ht="15.75" customHeight="1">
      <c r="A502" s="156" t="s">
        <v>3660</v>
      </c>
      <c r="B502" s="159">
        <v>47.0</v>
      </c>
      <c r="C502" s="158" t="s">
        <v>3661</v>
      </c>
    </row>
    <row r="503" ht="15.75" customHeight="1">
      <c r="A503" s="156" t="s">
        <v>961</v>
      </c>
      <c r="B503" s="159">
        <v>28.0</v>
      </c>
      <c r="C503" s="158" t="s">
        <v>3662</v>
      </c>
    </row>
    <row r="504" ht="15.75" customHeight="1">
      <c r="A504" s="156" t="s">
        <v>3663</v>
      </c>
      <c r="B504" s="159">
        <v>22.0</v>
      </c>
      <c r="C504" s="158" t="s">
        <v>3664</v>
      </c>
    </row>
    <row r="505" ht="15.75" customHeight="1">
      <c r="A505" s="156" t="s">
        <v>3665</v>
      </c>
      <c r="B505" s="159">
        <v>48.0</v>
      </c>
      <c r="C505" s="158" t="s">
        <v>3463</v>
      </c>
    </row>
    <row r="506" ht="15.75" customHeight="1">
      <c r="A506" s="156" t="s">
        <v>3666</v>
      </c>
      <c r="B506" s="159">
        <v>44.0</v>
      </c>
      <c r="C506" s="158" t="s">
        <v>3424</v>
      </c>
    </row>
    <row r="507" ht="15.75" customHeight="1">
      <c r="A507" s="156" t="s">
        <v>3667</v>
      </c>
      <c r="B507" s="159">
        <v>48.0</v>
      </c>
      <c r="C507" s="158" t="s">
        <v>3668</v>
      </c>
    </row>
    <row r="508" ht="15.75" customHeight="1">
      <c r="A508" s="156" t="s">
        <v>3669</v>
      </c>
      <c r="B508" s="159">
        <v>47.0</v>
      </c>
      <c r="C508" s="158" t="s">
        <v>3670</v>
      </c>
    </row>
    <row r="509" ht="15.75" customHeight="1">
      <c r="A509" s="156" t="s">
        <v>3671</v>
      </c>
      <c r="B509" s="159">
        <v>47.0</v>
      </c>
      <c r="C509" s="158" t="s">
        <v>3672</v>
      </c>
    </row>
    <row r="510" ht="15.75" customHeight="1">
      <c r="A510" s="156" t="s">
        <v>150</v>
      </c>
      <c r="B510" s="159">
        <v>46.0</v>
      </c>
      <c r="C510" s="158" t="s">
        <v>3673</v>
      </c>
    </row>
    <row r="511" ht="15.75" customHeight="1">
      <c r="A511" s="156" t="s">
        <v>918</v>
      </c>
      <c r="B511" s="159">
        <v>41.0</v>
      </c>
      <c r="C511" s="158" t="s">
        <v>3674</v>
      </c>
    </row>
    <row r="512" ht="15.75" customHeight="1">
      <c r="A512" s="156" t="s">
        <v>3675</v>
      </c>
      <c r="B512" s="159">
        <v>46.0</v>
      </c>
      <c r="C512" s="158" t="s">
        <v>3676</v>
      </c>
    </row>
    <row r="513" ht="15.75" customHeight="1">
      <c r="A513" s="156" t="s">
        <v>3677</v>
      </c>
      <c r="B513" s="159">
        <v>42.0</v>
      </c>
      <c r="C513" s="158" t="s">
        <v>3678</v>
      </c>
    </row>
    <row r="514" ht="15.75" customHeight="1">
      <c r="A514" s="156" t="s">
        <v>3679</v>
      </c>
      <c r="B514" s="159">
        <v>42.0</v>
      </c>
      <c r="C514" s="158" t="s">
        <v>3680</v>
      </c>
    </row>
    <row r="515" ht="15.75" customHeight="1">
      <c r="A515" s="156" t="s">
        <v>3681</v>
      </c>
      <c r="B515" s="159">
        <v>42.0</v>
      </c>
      <c r="C515" s="158" t="s">
        <v>3680</v>
      </c>
    </row>
    <row r="516" ht="15.75" customHeight="1">
      <c r="A516" s="156" t="s">
        <v>444</v>
      </c>
      <c r="B516" s="159">
        <v>46.0</v>
      </c>
      <c r="C516" s="158" t="s">
        <v>3682</v>
      </c>
    </row>
    <row r="517" ht="15.75" customHeight="1">
      <c r="A517" s="156" t="s">
        <v>3683</v>
      </c>
      <c r="B517" s="159">
        <v>49.0</v>
      </c>
      <c r="C517" s="158" t="s">
        <v>3684</v>
      </c>
    </row>
    <row r="518" ht="15.75" customHeight="1">
      <c r="A518" s="156" t="s">
        <v>3685</v>
      </c>
      <c r="B518" s="159">
        <v>42.0</v>
      </c>
      <c r="C518" s="158" t="s">
        <v>3686</v>
      </c>
    </row>
    <row r="519" ht="15.75" customHeight="1">
      <c r="A519" s="156" t="s">
        <v>21</v>
      </c>
      <c r="B519" s="159">
        <v>42.0</v>
      </c>
      <c r="C519" s="158" t="s">
        <v>3687</v>
      </c>
    </row>
    <row r="520" ht="15.75" customHeight="1">
      <c r="A520" s="156" t="s">
        <v>3688</v>
      </c>
      <c r="B520" s="159">
        <v>42.0</v>
      </c>
      <c r="C520" s="158" t="s">
        <v>3686</v>
      </c>
    </row>
    <row r="521" ht="15.75" customHeight="1">
      <c r="A521" s="156" t="s">
        <v>3689</v>
      </c>
      <c r="B521" s="159">
        <v>42.0</v>
      </c>
      <c r="C521" s="158" t="s">
        <v>3687</v>
      </c>
    </row>
    <row r="522" ht="15.75" customHeight="1">
      <c r="A522" s="156" t="s">
        <v>1323</v>
      </c>
      <c r="B522" s="159">
        <v>45.0</v>
      </c>
      <c r="C522" s="158" t="s">
        <v>3676</v>
      </c>
    </row>
    <row r="523" ht="15.75" customHeight="1">
      <c r="A523" s="156" t="s">
        <v>3690</v>
      </c>
      <c r="B523" s="159">
        <v>43.0</v>
      </c>
      <c r="C523" s="158" t="s">
        <v>3687</v>
      </c>
    </row>
    <row r="524" ht="15.75" customHeight="1">
      <c r="A524" s="156" t="s">
        <v>3691</v>
      </c>
      <c r="B524" s="159">
        <v>41.0</v>
      </c>
      <c r="C524" s="158" t="s">
        <v>3692</v>
      </c>
    </row>
    <row r="525" ht="15.75" customHeight="1">
      <c r="A525" s="156" t="s">
        <v>3693</v>
      </c>
      <c r="B525" s="159">
        <v>44.0</v>
      </c>
      <c r="C525" s="158" t="s">
        <v>3687</v>
      </c>
    </row>
    <row r="526" ht="15.75" customHeight="1">
      <c r="A526" s="156" t="s">
        <v>3694</v>
      </c>
      <c r="B526" s="159">
        <v>47.0</v>
      </c>
      <c r="C526" s="158" t="s">
        <v>3676</v>
      </c>
    </row>
    <row r="527" ht="15.75" customHeight="1">
      <c r="A527" s="156" t="s">
        <v>3695</v>
      </c>
      <c r="B527" s="159">
        <v>41.0</v>
      </c>
      <c r="C527" s="158" t="s">
        <v>3696</v>
      </c>
    </row>
    <row r="528" ht="15.75" customHeight="1">
      <c r="A528" s="156" t="s">
        <v>3697</v>
      </c>
      <c r="B528" s="159">
        <v>46.0</v>
      </c>
      <c r="C528" s="158" t="s">
        <v>3676</v>
      </c>
    </row>
    <row r="529" ht="15.75" customHeight="1">
      <c r="A529" s="156" t="s">
        <v>3698</v>
      </c>
      <c r="B529" s="159">
        <v>40.0</v>
      </c>
      <c r="C529" s="158" t="s">
        <v>3692</v>
      </c>
    </row>
    <row r="530" ht="15.75" customHeight="1">
      <c r="A530" s="156" t="s">
        <v>24</v>
      </c>
      <c r="B530" s="159">
        <v>40.0</v>
      </c>
      <c r="C530" s="158" t="s">
        <v>3699</v>
      </c>
    </row>
    <row r="531" ht="15.75" customHeight="1">
      <c r="A531" s="156" t="s">
        <v>3700</v>
      </c>
      <c r="B531" s="159">
        <v>42.0</v>
      </c>
      <c r="C531" s="158" t="s">
        <v>3701</v>
      </c>
    </row>
    <row r="532" ht="15.75" customHeight="1">
      <c r="A532" s="156" t="s">
        <v>3702</v>
      </c>
      <c r="B532" s="159">
        <v>47.0</v>
      </c>
      <c r="C532" s="158" t="s">
        <v>3703</v>
      </c>
    </row>
    <row r="533" ht="15.75" customHeight="1">
      <c r="A533" s="156" t="s">
        <v>3704</v>
      </c>
      <c r="B533" s="159">
        <v>41.0</v>
      </c>
      <c r="C533" s="158" t="s">
        <v>3705</v>
      </c>
    </row>
    <row r="534" ht="15.75" customHeight="1">
      <c r="A534" s="156" t="s">
        <v>3706</v>
      </c>
      <c r="B534" s="159">
        <v>44.0</v>
      </c>
      <c r="C534" s="158" t="s">
        <v>3707</v>
      </c>
    </row>
    <row r="535" ht="15.75" customHeight="1">
      <c r="A535" s="156" t="s">
        <v>3708</v>
      </c>
      <c r="B535" s="159">
        <v>41.0</v>
      </c>
      <c r="C535" s="158" t="s">
        <v>3709</v>
      </c>
    </row>
    <row r="536" ht="15.75" customHeight="1">
      <c r="A536" s="156" t="s">
        <v>3710</v>
      </c>
      <c r="B536" s="159">
        <v>44.0</v>
      </c>
      <c r="C536" s="158" t="s">
        <v>2918</v>
      </c>
    </row>
    <row r="537" ht="15.75" customHeight="1">
      <c r="A537" s="156" t="s">
        <v>527</v>
      </c>
      <c r="B537" s="159">
        <v>37.0</v>
      </c>
      <c r="C537" s="158" t="s">
        <v>2901</v>
      </c>
    </row>
    <row r="538" ht="15.75" customHeight="1">
      <c r="A538" s="156" t="s">
        <v>3711</v>
      </c>
      <c r="B538" s="159">
        <v>42.0</v>
      </c>
      <c r="C538" s="158" t="s">
        <v>2901</v>
      </c>
    </row>
    <row r="539" ht="15.75" customHeight="1">
      <c r="A539" s="156" t="s">
        <v>3712</v>
      </c>
      <c r="B539" s="159">
        <v>43.0</v>
      </c>
      <c r="C539" s="158" t="s">
        <v>2918</v>
      </c>
    </row>
    <row r="540" ht="15.75" customHeight="1">
      <c r="A540" s="156" t="s">
        <v>556</v>
      </c>
      <c r="B540" s="159">
        <v>34.0</v>
      </c>
      <c r="C540" s="158" t="s">
        <v>3713</v>
      </c>
    </row>
    <row r="541" ht="15.75" customHeight="1">
      <c r="A541" s="156" t="s">
        <v>3714</v>
      </c>
      <c r="B541" s="159">
        <v>39.0</v>
      </c>
      <c r="C541" s="158" t="s">
        <v>3715</v>
      </c>
    </row>
    <row r="542" ht="15.75" customHeight="1">
      <c r="A542" s="156" t="s">
        <v>3716</v>
      </c>
      <c r="B542" s="159">
        <v>41.0</v>
      </c>
      <c r="C542" s="158" t="s">
        <v>3717</v>
      </c>
    </row>
    <row r="543" ht="15.75" customHeight="1">
      <c r="A543" s="156" t="s">
        <v>3718</v>
      </c>
      <c r="B543" s="159">
        <v>47.0</v>
      </c>
      <c r="C543" s="158" t="s">
        <v>3719</v>
      </c>
    </row>
    <row r="544" ht="15.75" customHeight="1">
      <c r="A544" s="156" t="s">
        <v>3720</v>
      </c>
      <c r="B544" s="159">
        <v>46.0</v>
      </c>
      <c r="C544" s="158" t="s">
        <v>3721</v>
      </c>
    </row>
    <row r="545" ht="15.75" customHeight="1">
      <c r="A545" s="156" t="s">
        <v>3722</v>
      </c>
      <c r="B545" s="159">
        <v>34.0</v>
      </c>
      <c r="C545" s="158" t="s">
        <v>3723</v>
      </c>
    </row>
    <row r="546" ht="15.75" customHeight="1">
      <c r="A546" s="156" t="s">
        <v>3724</v>
      </c>
      <c r="B546" s="159">
        <v>34.0</v>
      </c>
      <c r="C546" s="158" t="s">
        <v>3725</v>
      </c>
    </row>
    <row r="547" ht="15.75" customHeight="1">
      <c r="A547" s="156" t="s">
        <v>3726</v>
      </c>
      <c r="B547" s="159">
        <v>41.0</v>
      </c>
      <c r="C547" s="158" t="s">
        <v>3727</v>
      </c>
    </row>
    <row r="548" ht="15.75" customHeight="1">
      <c r="A548" s="156" t="s">
        <v>3728</v>
      </c>
      <c r="B548" s="159">
        <v>44.0</v>
      </c>
      <c r="C548" s="158" t="s">
        <v>3729</v>
      </c>
    </row>
    <row r="549" ht="15.75" customHeight="1">
      <c r="A549" s="156" t="s">
        <v>3730</v>
      </c>
      <c r="B549" s="159">
        <v>44.0</v>
      </c>
      <c r="C549" s="158" t="s">
        <v>3731</v>
      </c>
    </row>
    <row r="550" ht="15.75" customHeight="1">
      <c r="A550" s="156" t="s">
        <v>3732</v>
      </c>
      <c r="B550" s="159">
        <v>33.0</v>
      </c>
      <c r="C550" s="158" t="s">
        <v>3733</v>
      </c>
    </row>
    <row r="551" ht="15.75" customHeight="1">
      <c r="A551" s="156" t="s">
        <v>3734</v>
      </c>
      <c r="B551" s="159">
        <v>31.0</v>
      </c>
      <c r="C551" s="158" t="s">
        <v>3413</v>
      </c>
    </row>
    <row r="552" ht="15.75" customHeight="1">
      <c r="A552" s="156" t="s">
        <v>3735</v>
      </c>
      <c r="B552" s="159">
        <v>43.0</v>
      </c>
      <c r="C552" s="158" t="s">
        <v>3736</v>
      </c>
    </row>
    <row r="553" ht="15.75" customHeight="1">
      <c r="A553" s="156" t="s">
        <v>3737</v>
      </c>
      <c r="B553" s="159">
        <v>37.0</v>
      </c>
      <c r="C553" s="158" t="s">
        <v>2972</v>
      </c>
    </row>
    <row r="554" ht="15.75" customHeight="1">
      <c r="A554" s="156" t="s">
        <v>3738</v>
      </c>
      <c r="B554" s="159">
        <v>46.0</v>
      </c>
      <c r="C554" s="158" t="s">
        <v>2834</v>
      </c>
    </row>
    <row r="555" ht="15.75" customHeight="1">
      <c r="A555" s="156" t="s">
        <v>3739</v>
      </c>
      <c r="B555" s="159">
        <v>47.0</v>
      </c>
      <c r="C555" s="158" t="s">
        <v>2834</v>
      </c>
    </row>
    <row r="556" ht="15.75" customHeight="1">
      <c r="A556" s="156" t="s">
        <v>3740</v>
      </c>
      <c r="B556" s="159">
        <v>40.0</v>
      </c>
      <c r="C556" s="158" t="s">
        <v>3741</v>
      </c>
    </row>
    <row r="557" ht="15.75" customHeight="1">
      <c r="A557" s="156" t="s">
        <v>3742</v>
      </c>
      <c r="B557" s="159">
        <v>27.0</v>
      </c>
      <c r="C557" s="158" t="s">
        <v>3744</v>
      </c>
    </row>
    <row r="558" ht="15.75" customHeight="1">
      <c r="A558" s="156" t="s">
        <v>564</v>
      </c>
      <c r="B558" s="159">
        <v>32.0</v>
      </c>
      <c r="C558" s="158" t="s">
        <v>3745</v>
      </c>
    </row>
    <row r="559" ht="15.75" customHeight="1">
      <c r="A559" s="156" t="s">
        <v>3746</v>
      </c>
      <c r="B559" s="159">
        <v>45.0</v>
      </c>
      <c r="C559" s="158" t="s">
        <v>3747</v>
      </c>
    </row>
    <row r="560" ht="15.75" customHeight="1">
      <c r="A560" s="156" t="s">
        <v>1132</v>
      </c>
      <c r="B560" s="159">
        <v>38.0</v>
      </c>
      <c r="C560" s="158" t="s">
        <v>2901</v>
      </c>
    </row>
    <row r="561" ht="15.75" customHeight="1">
      <c r="A561" s="156" t="s">
        <v>3748</v>
      </c>
      <c r="B561" s="159">
        <v>34.0</v>
      </c>
      <c r="C561" s="158" t="s">
        <v>3749</v>
      </c>
    </row>
    <row r="562" ht="15.75" customHeight="1">
      <c r="A562" s="156" t="s">
        <v>3750</v>
      </c>
      <c r="B562" s="159">
        <v>43.0</v>
      </c>
      <c r="C562" s="158" t="s">
        <v>2918</v>
      </c>
    </row>
    <row r="563" ht="15.75" customHeight="1">
      <c r="A563" s="156" t="s">
        <v>3751</v>
      </c>
      <c r="B563" s="159">
        <v>45.0</v>
      </c>
      <c r="C563" s="158" t="s">
        <v>2834</v>
      </c>
    </row>
    <row r="564" ht="15.75" customHeight="1">
      <c r="A564" s="156" t="s">
        <v>3752</v>
      </c>
      <c r="B564" s="159">
        <v>36.0</v>
      </c>
      <c r="C564" s="158" t="s">
        <v>3577</v>
      </c>
    </row>
    <row r="565" ht="15.75" customHeight="1">
      <c r="A565" s="156" t="s">
        <v>3753</v>
      </c>
      <c r="B565" s="159">
        <v>36.0</v>
      </c>
      <c r="C565" s="158" t="s">
        <v>2875</v>
      </c>
    </row>
    <row r="566" ht="15.75" customHeight="1">
      <c r="A566" s="156" t="s">
        <v>3754</v>
      </c>
      <c r="B566" s="159">
        <v>38.0</v>
      </c>
      <c r="C566" s="158" t="s">
        <v>3755</v>
      </c>
    </row>
    <row r="567" ht="15.75" customHeight="1">
      <c r="A567" s="156" t="s">
        <v>3756</v>
      </c>
      <c r="B567" s="159">
        <v>36.5</v>
      </c>
      <c r="C567" s="158" t="s">
        <v>3757</v>
      </c>
    </row>
    <row r="568" ht="15.75" customHeight="1">
      <c r="A568" s="156" t="s">
        <v>3758</v>
      </c>
      <c r="B568" s="159">
        <v>26.0</v>
      </c>
      <c r="C568" s="158" t="s">
        <v>3759</v>
      </c>
    </row>
    <row r="569" ht="15.75" customHeight="1">
      <c r="A569" s="156" t="s">
        <v>3760</v>
      </c>
      <c r="B569" s="159">
        <v>46.0</v>
      </c>
      <c r="C569" s="158" t="s">
        <v>3761</v>
      </c>
    </row>
    <row r="570" ht="15.75" customHeight="1">
      <c r="A570" s="156" t="s">
        <v>3762</v>
      </c>
      <c r="B570" s="159">
        <v>46.0</v>
      </c>
      <c r="C570" s="158" t="s">
        <v>3763</v>
      </c>
    </row>
    <row r="571" ht="15.75" customHeight="1">
      <c r="A571" s="156" t="s">
        <v>984</v>
      </c>
      <c r="B571" s="159">
        <v>47.0</v>
      </c>
      <c r="C571" s="158" t="s">
        <v>3764</v>
      </c>
    </row>
    <row r="572" ht="15.75" customHeight="1">
      <c r="A572" s="156" t="s">
        <v>3765</v>
      </c>
      <c r="B572" s="159">
        <v>33.0</v>
      </c>
      <c r="C572" s="158" t="s">
        <v>2837</v>
      </c>
    </row>
    <row r="573" ht="15.75" customHeight="1">
      <c r="A573" s="156" t="s">
        <v>3766</v>
      </c>
      <c r="B573" s="159">
        <v>43.0</v>
      </c>
      <c r="C573" s="158" t="s">
        <v>3767</v>
      </c>
    </row>
    <row r="574" ht="15.75" customHeight="1">
      <c r="A574" s="156" t="s">
        <v>3768</v>
      </c>
      <c r="B574" s="159">
        <v>33.0</v>
      </c>
      <c r="C574" s="158" t="s">
        <v>3769</v>
      </c>
    </row>
    <row r="575" ht="15.75" customHeight="1">
      <c r="A575" s="156" t="s">
        <v>1388</v>
      </c>
      <c r="B575" s="159">
        <v>41.0</v>
      </c>
      <c r="C575" s="158" t="s">
        <v>3770</v>
      </c>
    </row>
    <row r="576" ht="15.75" customHeight="1">
      <c r="A576" s="156" t="s">
        <v>3771</v>
      </c>
      <c r="B576" s="159">
        <v>33.0</v>
      </c>
      <c r="C576" s="158" t="s">
        <v>3772</v>
      </c>
    </row>
    <row r="577" ht="15.75" customHeight="1">
      <c r="A577" s="156" t="s">
        <v>3773</v>
      </c>
      <c r="B577" s="159">
        <v>49.0</v>
      </c>
      <c r="C577" s="158" t="s">
        <v>2834</v>
      </c>
    </row>
    <row r="578" ht="15.75" customHeight="1">
      <c r="A578" s="156" t="s">
        <v>3774</v>
      </c>
      <c r="B578" s="159">
        <v>45.0</v>
      </c>
      <c r="C578" s="158" t="s">
        <v>3659</v>
      </c>
    </row>
    <row r="579" ht="15.75" customHeight="1">
      <c r="A579" s="156" t="s">
        <v>3775</v>
      </c>
      <c r="B579" s="159">
        <v>45.0</v>
      </c>
      <c r="C579" s="158" t="s">
        <v>3463</v>
      </c>
    </row>
    <row r="580" ht="15.75" customHeight="1">
      <c r="A580" s="156" t="s">
        <v>3776</v>
      </c>
      <c r="B580" s="159">
        <v>48.0</v>
      </c>
      <c r="C580" s="158" t="s">
        <v>3777</v>
      </c>
    </row>
    <row r="581" ht="15.75" customHeight="1">
      <c r="A581" s="156" t="s">
        <v>3778</v>
      </c>
      <c r="B581" s="159">
        <v>48.0</v>
      </c>
      <c r="C581" s="158" t="s">
        <v>3779</v>
      </c>
    </row>
    <row r="582" ht="15.75" customHeight="1">
      <c r="A582" s="156" t="s">
        <v>3781</v>
      </c>
      <c r="B582" s="159">
        <v>45.0</v>
      </c>
      <c r="C582" s="158" t="s">
        <v>3782</v>
      </c>
    </row>
    <row r="583" ht="15.75" customHeight="1">
      <c r="A583" s="156" t="s">
        <v>3783</v>
      </c>
      <c r="B583" s="159">
        <v>47.0</v>
      </c>
      <c r="C583" s="158" t="s">
        <v>3784</v>
      </c>
    </row>
    <row r="584" ht="15.75" customHeight="1">
      <c r="A584" s="156" t="s">
        <v>3785</v>
      </c>
      <c r="B584" s="159">
        <v>47.0</v>
      </c>
      <c r="C584" s="158" t="s">
        <v>3784</v>
      </c>
    </row>
    <row r="585" ht="15.75" customHeight="1">
      <c r="A585" s="156" t="s">
        <v>3786</v>
      </c>
      <c r="B585" s="159">
        <v>47.0</v>
      </c>
      <c r="C585" s="158" t="s">
        <v>3787</v>
      </c>
    </row>
    <row r="586" ht="15.75" customHeight="1">
      <c r="A586" s="156" t="s">
        <v>3788</v>
      </c>
      <c r="B586" s="159">
        <v>48.0</v>
      </c>
      <c r="C586" s="158" t="s">
        <v>3789</v>
      </c>
    </row>
    <row r="587" ht="15.75" customHeight="1">
      <c r="A587" s="156" t="s">
        <v>3790</v>
      </c>
      <c r="B587" s="159">
        <v>36.0</v>
      </c>
      <c r="C587" s="158" t="s">
        <v>3791</v>
      </c>
    </row>
    <row r="588" ht="15.75" customHeight="1">
      <c r="A588" s="156" t="s">
        <v>1380</v>
      </c>
      <c r="B588" s="159">
        <v>37.0</v>
      </c>
      <c r="C588" s="158" t="s">
        <v>2837</v>
      </c>
    </row>
    <row r="589" ht="15.75" customHeight="1">
      <c r="A589" s="156" t="s">
        <v>3792</v>
      </c>
      <c r="B589" s="159">
        <v>25.0</v>
      </c>
      <c r="C589" s="158" t="s">
        <v>3651</v>
      </c>
    </row>
    <row r="590" ht="15.75" customHeight="1">
      <c r="A590" s="156" t="s">
        <v>41</v>
      </c>
      <c r="B590" s="159">
        <v>44.0</v>
      </c>
      <c r="C590" s="158" t="s">
        <v>2834</v>
      </c>
    </row>
    <row r="591" ht="15.75" customHeight="1">
      <c r="A591" s="156" t="s">
        <v>3793</v>
      </c>
      <c r="B591" s="159">
        <v>46.0</v>
      </c>
      <c r="C591" s="158" t="s">
        <v>2834</v>
      </c>
    </row>
    <row r="592" ht="15.75" customHeight="1">
      <c r="A592" s="156" t="s">
        <v>201</v>
      </c>
      <c r="B592" s="159">
        <v>45.0</v>
      </c>
      <c r="C592" s="158" t="s">
        <v>2834</v>
      </c>
    </row>
    <row r="593" ht="15.75" customHeight="1">
      <c r="A593" s="156" t="s">
        <v>3794</v>
      </c>
      <c r="B593" s="159">
        <v>44.0</v>
      </c>
      <c r="C593" s="158" t="s">
        <v>3795</v>
      </c>
    </row>
    <row r="594" ht="15.75" customHeight="1">
      <c r="A594" s="156" t="s">
        <v>3796</v>
      </c>
      <c r="B594" s="159">
        <v>0.0</v>
      </c>
      <c r="C594" s="158" t="s">
        <v>3797</v>
      </c>
    </row>
    <row r="595" ht="15.75" customHeight="1">
      <c r="A595" s="156" t="s">
        <v>3798</v>
      </c>
      <c r="B595" s="159">
        <v>43.0</v>
      </c>
      <c r="C595" s="158" t="s">
        <v>3799</v>
      </c>
    </row>
    <row r="596" ht="15.75" customHeight="1">
      <c r="A596" s="156" t="s">
        <v>3800</v>
      </c>
      <c r="B596" s="159">
        <v>39.0</v>
      </c>
      <c r="C596" s="158" t="s">
        <v>3801</v>
      </c>
    </row>
    <row r="597" ht="15.75" customHeight="1">
      <c r="A597" s="156" t="s">
        <v>3802</v>
      </c>
      <c r="B597" s="159">
        <v>32.0</v>
      </c>
      <c r="C597" s="158" t="s">
        <v>3803</v>
      </c>
    </row>
    <row r="598" ht="15.75" customHeight="1">
      <c r="A598" s="156" t="s">
        <v>3804</v>
      </c>
      <c r="B598" s="159">
        <v>49.0</v>
      </c>
      <c r="C598" s="158" t="s">
        <v>47</v>
      </c>
    </row>
    <row r="599" ht="15.75" customHeight="1">
      <c r="A599" s="156" t="s">
        <v>3805</v>
      </c>
      <c r="B599" s="159">
        <v>34.5</v>
      </c>
      <c r="C599" s="158" t="s">
        <v>3806</v>
      </c>
    </row>
    <row r="600" ht="15.75" customHeight="1">
      <c r="A600" s="156" t="s">
        <v>3807</v>
      </c>
      <c r="B600" s="159">
        <v>35.0</v>
      </c>
      <c r="C600" s="158" t="s">
        <v>3413</v>
      </c>
    </row>
    <row r="601" ht="15.75" customHeight="1">
      <c r="A601" s="156" t="s">
        <v>3808</v>
      </c>
      <c r="B601" s="159">
        <v>39.0</v>
      </c>
      <c r="C601" s="158" t="s">
        <v>2972</v>
      </c>
    </row>
    <row r="602" ht="15.75" customHeight="1">
      <c r="A602" s="156" t="s">
        <v>3809</v>
      </c>
      <c r="B602" s="159">
        <v>39.0</v>
      </c>
      <c r="C602" s="158" t="s">
        <v>2972</v>
      </c>
    </row>
    <row r="603" ht="15.75" customHeight="1">
      <c r="A603" s="156" t="s">
        <v>3810</v>
      </c>
      <c r="B603" s="159">
        <v>37.0</v>
      </c>
      <c r="C603" s="158" t="s">
        <v>2875</v>
      </c>
    </row>
    <row r="604" ht="15.75" customHeight="1">
      <c r="A604" s="156" t="s">
        <v>3811</v>
      </c>
      <c r="B604" s="159">
        <v>41.0</v>
      </c>
      <c r="C604" s="158" t="s">
        <v>2875</v>
      </c>
    </row>
    <row r="605" ht="15.75" customHeight="1">
      <c r="A605" s="156" t="s">
        <v>3812</v>
      </c>
      <c r="B605" s="159">
        <v>46.0</v>
      </c>
      <c r="C605" s="158" t="s">
        <v>2834</v>
      </c>
    </row>
    <row r="606" ht="15.75" customHeight="1">
      <c r="A606" s="156" t="s">
        <v>3813</v>
      </c>
      <c r="B606" s="159">
        <v>36.0</v>
      </c>
      <c r="C606" s="158" t="s">
        <v>3815</v>
      </c>
    </row>
    <row r="607" ht="15.75" customHeight="1">
      <c r="A607" s="156" t="s">
        <v>3816</v>
      </c>
      <c r="B607" s="159">
        <v>41.5</v>
      </c>
      <c r="C607" s="158" t="s">
        <v>3817</v>
      </c>
    </row>
    <row r="608" ht="15.75" customHeight="1">
      <c r="A608" s="156" t="s">
        <v>3818</v>
      </c>
      <c r="B608" s="159">
        <v>37.0</v>
      </c>
      <c r="C608" s="158" t="s">
        <v>3819</v>
      </c>
    </row>
    <row r="609" ht="15.75" customHeight="1">
      <c r="A609" s="156" t="s">
        <v>3820</v>
      </c>
      <c r="B609" s="159">
        <v>45.0</v>
      </c>
      <c r="C609" s="158" t="s">
        <v>3821</v>
      </c>
    </row>
    <row r="610" ht="15.75" customHeight="1">
      <c r="A610" s="156" t="s">
        <v>3822</v>
      </c>
      <c r="B610" s="159">
        <v>31.0</v>
      </c>
      <c r="C610" s="158" t="s">
        <v>3823</v>
      </c>
    </row>
    <row r="611" ht="15.75" customHeight="1">
      <c r="A611" s="156" t="s">
        <v>3824</v>
      </c>
      <c r="B611" s="159">
        <v>28.0</v>
      </c>
      <c r="C611" s="158" t="s">
        <v>3825</v>
      </c>
    </row>
    <row r="612" ht="15.75" customHeight="1">
      <c r="A612" s="156" t="s">
        <v>3826</v>
      </c>
      <c r="B612" s="159">
        <v>48.0</v>
      </c>
      <c r="C612" s="158" t="s">
        <v>3827</v>
      </c>
    </row>
    <row r="613" ht="15.75" customHeight="1">
      <c r="A613" s="156" t="s">
        <v>3828</v>
      </c>
      <c r="B613" s="159">
        <v>33.0</v>
      </c>
      <c r="C613" s="158" t="s">
        <v>3829</v>
      </c>
    </row>
    <row r="614" ht="15.75" customHeight="1">
      <c r="A614" s="156" t="s">
        <v>3830</v>
      </c>
      <c r="B614" s="159">
        <v>43.0</v>
      </c>
      <c r="C614" s="158" t="s">
        <v>3831</v>
      </c>
    </row>
    <row r="615" ht="15.75" customHeight="1">
      <c r="A615" s="156" t="s">
        <v>3832</v>
      </c>
      <c r="B615" s="159">
        <v>33.0</v>
      </c>
      <c r="C615" s="158" t="s">
        <v>3833</v>
      </c>
    </row>
    <row r="616" ht="15.75" customHeight="1">
      <c r="A616" s="156" t="s">
        <v>3834</v>
      </c>
      <c r="B616" s="159">
        <v>35.0</v>
      </c>
      <c r="C616" s="158" t="s">
        <v>3741</v>
      </c>
    </row>
    <row r="617" ht="15.75" customHeight="1">
      <c r="A617" s="156" t="s">
        <v>145</v>
      </c>
      <c r="B617" s="159">
        <v>47.0</v>
      </c>
      <c r="C617" s="158" t="s">
        <v>2834</v>
      </c>
    </row>
    <row r="618" ht="15.75" customHeight="1">
      <c r="A618" s="156" t="s">
        <v>3835</v>
      </c>
      <c r="B618" s="159">
        <v>42.0</v>
      </c>
      <c r="C618" s="158" t="s">
        <v>3741</v>
      </c>
    </row>
    <row r="619" ht="15.75" customHeight="1">
      <c r="A619" s="156" t="s">
        <v>3778</v>
      </c>
      <c r="B619" s="159">
        <v>0.0</v>
      </c>
      <c r="C619" s="151"/>
    </row>
    <row r="620" ht="15.75" customHeight="1">
      <c r="A620" s="156" t="s">
        <v>3836</v>
      </c>
      <c r="B620" s="159">
        <v>42.0</v>
      </c>
      <c r="C620" s="158" t="s">
        <v>3837</v>
      </c>
    </row>
    <row r="621" ht="15.75" customHeight="1">
      <c r="A621" s="156" t="s">
        <v>3838</v>
      </c>
      <c r="B621" s="159">
        <v>46.0</v>
      </c>
      <c r="C621" s="158" t="s">
        <v>2834</v>
      </c>
    </row>
    <row r="622" ht="15.75" customHeight="1">
      <c r="A622" s="156" t="s">
        <v>3839</v>
      </c>
      <c r="B622" s="159">
        <v>42.0</v>
      </c>
      <c r="C622" s="158" t="s">
        <v>3840</v>
      </c>
    </row>
    <row r="623" ht="15.75" customHeight="1">
      <c r="A623" s="156" t="s">
        <v>3841</v>
      </c>
      <c r="B623" s="159">
        <v>46.0</v>
      </c>
      <c r="C623" s="158" t="s">
        <v>3842</v>
      </c>
    </row>
    <row r="624" ht="15.75" customHeight="1">
      <c r="A624" s="156" t="s">
        <v>3843</v>
      </c>
      <c r="B624" s="159">
        <v>48.0</v>
      </c>
      <c r="C624" s="158" t="s">
        <v>3844</v>
      </c>
    </row>
    <row r="625" ht="15.75" customHeight="1">
      <c r="A625" s="156" t="s">
        <v>3845</v>
      </c>
      <c r="B625" s="159">
        <v>49.0</v>
      </c>
      <c r="C625" s="158" t="s">
        <v>3846</v>
      </c>
    </row>
    <row r="626" ht="15.75" customHeight="1">
      <c r="A626" s="156" t="s">
        <v>3847</v>
      </c>
      <c r="B626" s="159">
        <v>48.0</v>
      </c>
      <c r="C626" s="158" t="s">
        <v>3848</v>
      </c>
    </row>
    <row r="627" ht="15.75" customHeight="1">
      <c r="A627" s="156" t="s">
        <v>3849</v>
      </c>
      <c r="B627" s="159">
        <v>46.0</v>
      </c>
      <c r="C627" s="158" t="s">
        <v>3850</v>
      </c>
    </row>
    <row r="628" ht="15.75" customHeight="1">
      <c r="A628" s="156" t="s">
        <v>3028</v>
      </c>
      <c r="B628" s="159">
        <v>0.0</v>
      </c>
      <c r="C628" s="158" t="s">
        <v>3851</v>
      </c>
    </row>
    <row r="629" ht="15.75" customHeight="1">
      <c r="A629" s="156" t="s">
        <v>3852</v>
      </c>
      <c r="B629" s="159">
        <v>48.0</v>
      </c>
      <c r="C629" s="158" t="s">
        <v>3853</v>
      </c>
    </row>
    <row r="630" ht="15.75" customHeight="1">
      <c r="A630" s="156" t="s">
        <v>3854</v>
      </c>
      <c r="B630" s="159">
        <v>34.0</v>
      </c>
      <c r="C630" s="158" t="s">
        <v>3855</v>
      </c>
    </row>
    <row r="631" ht="15.75" customHeight="1">
      <c r="A631" s="156" t="s">
        <v>3856</v>
      </c>
      <c r="B631" s="159">
        <v>41.0</v>
      </c>
      <c r="C631" s="158" t="s">
        <v>3857</v>
      </c>
    </row>
    <row r="632" ht="15.75" customHeight="1">
      <c r="A632" s="156" t="s">
        <v>3859</v>
      </c>
      <c r="B632" s="159">
        <v>33.0</v>
      </c>
      <c r="C632" s="158" t="s">
        <v>3860</v>
      </c>
    </row>
    <row r="633" ht="15.75" customHeight="1">
      <c r="A633" s="156" t="s">
        <v>3861</v>
      </c>
      <c r="B633" s="159">
        <v>38.0</v>
      </c>
      <c r="C633" s="158" t="s">
        <v>2972</v>
      </c>
    </row>
    <row r="634" ht="15.75" customHeight="1">
      <c r="A634" s="156" t="s">
        <v>3862</v>
      </c>
      <c r="B634" s="159">
        <v>38.0</v>
      </c>
      <c r="C634" s="158" t="s">
        <v>3863</v>
      </c>
    </row>
    <row r="635" ht="15.75" customHeight="1">
      <c r="A635" s="156" t="s">
        <v>3864</v>
      </c>
      <c r="B635" s="159">
        <v>46.0</v>
      </c>
      <c r="C635" s="158" t="s">
        <v>2834</v>
      </c>
    </row>
    <row r="636" ht="15.75" customHeight="1">
      <c r="A636" s="156" t="s">
        <v>3865</v>
      </c>
      <c r="B636" s="159">
        <v>36.0</v>
      </c>
      <c r="C636" s="158" t="s">
        <v>3741</v>
      </c>
    </row>
    <row r="637" ht="15.75" customHeight="1">
      <c r="A637" s="156" t="s">
        <v>3866</v>
      </c>
      <c r="B637" s="159">
        <v>19.0</v>
      </c>
      <c r="C637" s="158" t="s">
        <v>3867</v>
      </c>
    </row>
    <row r="638" ht="15.75" customHeight="1">
      <c r="A638" s="156" t="s">
        <v>3868</v>
      </c>
      <c r="B638" s="159">
        <v>30.0</v>
      </c>
      <c r="C638" s="158" t="s">
        <v>3869</v>
      </c>
    </row>
    <row r="639" ht="15.75" customHeight="1">
      <c r="A639" s="156" t="s">
        <v>3870</v>
      </c>
      <c r="B639" s="159">
        <v>48.0</v>
      </c>
      <c r="C639" s="158" t="s">
        <v>3871</v>
      </c>
    </row>
    <row r="640" ht="15.75" customHeight="1">
      <c r="A640" s="156" t="s">
        <v>174</v>
      </c>
      <c r="B640" s="159">
        <v>45.0</v>
      </c>
      <c r="C640" s="158" t="s">
        <v>3872</v>
      </c>
    </row>
    <row r="641" ht="15.75" customHeight="1">
      <c r="A641" s="156" t="s">
        <v>3873</v>
      </c>
      <c r="B641" s="159">
        <v>49.0</v>
      </c>
      <c r="C641" s="158" t="s">
        <v>3874</v>
      </c>
    </row>
    <row r="642" ht="15.75" customHeight="1">
      <c r="A642" s="38" t="s">
        <v>3875</v>
      </c>
      <c r="B642" s="159">
        <v>34.0</v>
      </c>
      <c r="C642" s="158" t="s">
        <v>3876</v>
      </c>
    </row>
    <row r="643" ht="15.75" customHeight="1">
      <c r="A643" s="38" t="s">
        <v>3877</v>
      </c>
      <c r="B643" s="159">
        <v>39.0</v>
      </c>
      <c r="C643" s="158" t="s">
        <v>3878</v>
      </c>
    </row>
    <row r="644" ht="15.75" customHeight="1">
      <c r="A644" s="38" t="s">
        <v>3879</v>
      </c>
      <c r="B644" s="159">
        <v>40.0</v>
      </c>
      <c r="C644" s="158" t="s">
        <v>3880</v>
      </c>
    </row>
    <row r="645" ht="15.75" customHeight="1">
      <c r="A645" s="38" t="s">
        <v>3881</v>
      </c>
      <c r="B645" s="159">
        <v>38.0</v>
      </c>
      <c r="C645" s="158" t="s">
        <v>3882</v>
      </c>
    </row>
    <row r="646" ht="15.75" customHeight="1">
      <c r="A646" s="38" t="s">
        <v>3883</v>
      </c>
      <c r="B646" s="159">
        <v>39.0</v>
      </c>
      <c r="C646" s="158" t="s">
        <v>3884</v>
      </c>
    </row>
    <row r="647" ht="15.75" customHeight="1">
      <c r="A647" s="38" t="s">
        <v>3885</v>
      </c>
      <c r="B647" s="159">
        <v>35.0</v>
      </c>
      <c r="C647" s="158" t="s">
        <v>3886</v>
      </c>
    </row>
    <row r="648" ht="15.75" customHeight="1">
      <c r="A648" s="38" t="s">
        <v>3887</v>
      </c>
      <c r="B648" s="159">
        <v>46.0</v>
      </c>
      <c r="C648" s="158" t="s">
        <v>3888</v>
      </c>
    </row>
    <row r="649" ht="15.75" customHeight="1">
      <c r="A649" s="38" t="s">
        <v>3889</v>
      </c>
      <c r="B649" s="159">
        <v>46.0</v>
      </c>
      <c r="C649" s="158" t="s">
        <v>3890</v>
      </c>
    </row>
    <row r="650" ht="15.75" customHeight="1">
      <c r="A650" s="38" t="s">
        <v>3891</v>
      </c>
      <c r="B650" s="159">
        <v>45.0</v>
      </c>
      <c r="C650" s="158" t="s">
        <v>3892</v>
      </c>
    </row>
    <row r="651" ht="15.75" customHeight="1">
      <c r="A651" s="38" t="s">
        <v>3893</v>
      </c>
      <c r="B651" s="159">
        <v>46.0</v>
      </c>
      <c r="C651" s="158" t="s">
        <v>3894</v>
      </c>
    </row>
    <row r="652" ht="15.75" customHeight="1">
      <c r="A652" s="38" t="s">
        <v>3895</v>
      </c>
      <c r="B652" s="159">
        <v>26.0</v>
      </c>
      <c r="C652" s="158" t="s">
        <v>3896</v>
      </c>
    </row>
    <row r="653" ht="15.75" customHeight="1">
      <c r="A653" s="38" t="s">
        <v>3897</v>
      </c>
      <c r="B653" s="159">
        <v>28.0</v>
      </c>
      <c r="C653" s="158" t="s">
        <v>3898</v>
      </c>
    </row>
    <row r="654" ht="15.75" customHeight="1">
      <c r="A654" s="38" t="s">
        <v>3899</v>
      </c>
      <c r="B654" s="159">
        <v>32.0</v>
      </c>
      <c r="C654" s="158" t="s">
        <v>3900</v>
      </c>
    </row>
    <row r="655" ht="15.75" customHeight="1">
      <c r="A655" s="38" t="s">
        <v>3901</v>
      </c>
      <c r="B655" s="159">
        <v>31.0</v>
      </c>
      <c r="C655" s="158" t="s">
        <v>3902</v>
      </c>
    </row>
    <row r="656" ht="15.75" customHeight="1">
      <c r="A656" s="38" t="s">
        <v>3903</v>
      </c>
      <c r="B656" s="159">
        <v>29.0</v>
      </c>
      <c r="C656" s="158" t="s">
        <v>3904</v>
      </c>
    </row>
    <row r="657" ht="15.75" customHeight="1">
      <c r="A657" s="38" t="s">
        <v>3905</v>
      </c>
      <c r="B657" s="159">
        <v>33.0</v>
      </c>
      <c r="C657" s="158" t="s">
        <v>3906</v>
      </c>
    </row>
    <row r="658" ht="15.75" customHeight="1">
      <c r="A658" s="38" t="s">
        <v>353</v>
      </c>
      <c r="B658" s="159">
        <v>36.0</v>
      </c>
      <c r="C658" s="158" t="s">
        <v>3908</v>
      </c>
    </row>
    <row r="659" ht="15.75" customHeight="1">
      <c r="A659" s="38" t="s">
        <v>3909</v>
      </c>
      <c r="B659" s="159">
        <v>26.0</v>
      </c>
      <c r="C659" s="158" t="s">
        <v>3910</v>
      </c>
    </row>
    <row r="660" ht="15.75" customHeight="1">
      <c r="A660" s="38" t="s">
        <v>3911</v>
      </c>
      <c r="B660" s="159">
        <v>48.0</v>
      </c>
      <c r="C660" s="158" t="s">
        <v>3912</v>
      </c>
    </row>
    <row r="661" ht="15.75" customHeight="1">
      <c r="A661" s="38" t="s">
        <v>3913</v>
      </c>
      <c r="B661" s="159">
        <v>44.0</v>
      </c>
      <c r="C661" s="158" t="s">
        <v>3914</v>
      </c>
    </row>
    <row r="662" ht="15.75" customHeight="1">
      <c r="A662" s="38" t="s">
        <v>3915</v>
      </c>
      <c r="B662" s="159">
        <v>26.0</v>
      </c>
      <c r="C662" s="158" t="s">
        <v>3916</v>
      </c>
    </row>
    <row r="663" ht="15.75" customHeight="1">
      <c r="A663" s="38" t="s">
        <v>3917</v>
      </c>
      <c r="B663" s="159">
        <v>32.0</v>
      </c>
      <c r="C663" s="158" t="s">
        <v>3918</v>
      </c>
    </row>
    <row r="664" ht="15.75" customHeight="1">
      <c r="A664" s="38" t="s">
        <v>3919</v>
      </c>
      <c r="B664" s="159">
        <v>28.0</v>
      </c>
      <c r="C664" s="158" t="s">
        <v>3920</v>
      </c>
    </row>
    <row r="665" ht="15.75" customHeight="1">
      <c r="A665" s="38" t="s">
        <v>3921</v>
      </c>
      <c r="B665" s="159">
        <v>31.0</v>
      </c>
      <c r="C665" s="158" t="s">
        <v>3922</v>
      </c>
    </row>
    <row r="666" ht="15.75" customHeight="1">
      <c r="A666" s="38" t="s">
        <v>3923</v>
      </c>
      <c r="B666" s="159">
        <v>30.0</v>
      </c>
      <c r="C666" s="158" t="s">
        <v>3924</v>
      </c>
    </row>
    <row r="667" ht="15.75" customHeight="1">
      <c r="A667" s="38" t="s">
        <v>3925</v>
      </c>
      <c r="B667" s="159">
        <v>45.0</v>
      </c>
      <c r="C667" s="158" t="s">
        <v>3926</v>
      </c>
    </row>
    <row r="668" ht="15.75" customHeight="1">
      <c r="A668" s="38" t="s">
        <v>3927</v>
      </c>
      <c r="B668" s="159">
        <v>27.0</v>
      </c>
      <c r="C668" s="158" t="s">
        <v>3928</v>
      </c>
    </row>
    <row r="669" ht="15.75" customHeight="1">
      <c r="A669" s="38" t="s">
        <v>3929</v>
      </c>
      <c r="B669" s="159">
        <v>30.0</v>
      </c>
      <c r="C669" s="158" t="s">
        <v>3930</v>
      </c>
    </row>
    <row r="670" ht="15.75" customHeight="1">
      <c r="A670" s="38" t="s">
        <v>3931</v>
      </c>
      <c r="B670" s="159">
        <v>42.0</v>
      </c>
      <c r="C670" s="158" t="s">
        <v>3741</v>
      </c>
    </row>
    <row r="671" ht="15.75" customHeight="1">
      <c r="A671" s="38" t="s">
        <v>3932</v>
      </c>
      <c r="B671" s="159">
        <v>43.0</v>
      </c>
      <c r="C671" s="158" t="s">
        <v>3741</v>
      </c>
    </row>
    <row r="672" ht="15.75" customHeight="1">
      <c r="A672" s="38" t="s">
        <v>3933</v>
      </c>
      <c r="B672" s="159">
        <v>41.0</v>
      </c>
      <c r="C672" s="158" t="s">
        <v>3741</v>
      </c>
    </row>
    <row r="673" ht="15.75" customHeight="1">
      <c r="A673" s="38" t="s">
        <v>3934</v>
      </c>
      <c r="B673" s="159">
        <v>47.0</v>
      </c>
      <c r="C673" s="158" t="s">
        <v>3935</v>
      </c>
    </row>
    <row r="674" ht="15.75" customHeight="1">
      <c r="A674" s="38" t="s">
        <v>3936</v>
      </c>
      <c r="B674" s="159">
        <v>32.0</v>
      </c>
      <c r="C674" s="158" t="s">
        <v>3937</v>
      </c>
    </row>
    <row r="675" ht="15.75" customHeight="1">
      <c r="A675" s="38" t="s">
        <v>3938</v>
      </c>
      <c r="B675" s="159">
        <v>30.0</v>
      </c>
      <c r="C675" s="158" t="s">
        <v>3939</v>
      </c>
    </row>
    <row r="676" ht="15.75" customHeight="1">
      <c r="A676" s="38" t="s">
        <v>3940</v>
      </c>
      <c r="B676" s="159">
        <v>32.0</v>
      </c>
      <c r="C676" s="158" t="s">
        <v>3941</v>
      </c>
    </row>
    <row r="677" ht="15.75" customHeight="1">
      <c r="A677" s="38" t="s">
        <v>3942</v>
      </c>
      <c r="B677" s="159">
        <v>37.0</v>
      </c>
      <c r="C677" s="158" t="s">
        <v>3943</v>
      </c>
    </row>
    <row r="678" ht="15.75" customHeight="1">
      <c r="A678" s="38" t="s">
        <v>3944</v>
      </c>
      <c r="B678" s="159">
        <v>44.0</v>
      </c>
      <c r="C678" s="158" t="s">
        <v>3945</v>
      </c>
    </row>
    <row r="679" ht="15.75" customHeight="1">
      <c r="A679" s="38" t="s">
        <v>3946</v>
      </c>
      <c r="B679" s="159">
        <v>45.0</v>
      </c>
      <c r="C679" s="158" t="s">
        <v>3947</v>
      </c>
    </row>
    <row r="680" ht="15.75" customHeight="1">
      <c r="A680" s="38" t="s">
        <v>3948</v>
      </c>
      <c r="B680" s="159">
        <v>34.0</v>
      </c>
      <c r="C680" s="158" t="s">
        <v>3949</v>
      </c>
    </row>
    <row r="681" ht="15.75" customHeight="1">
      <c r="A681" s="38" t="s">
        <v>3950</v>
      </c>
      <c r="B681" s="159">
        <v>43.0</v>
      </c>
      <c r="C681" s="158" t="s">
        <v>3951</v>
      </c>
    </row>
    <row r="682" ht="15.75" customHeight="1">
      <c r="A682" s="38" t="s">
        <v>3952</v>
      </c>
      <c r="B682" s="159">
        <v>38.0</v>
      </c>
      <c r="C682" s="158" t="s">
        <v>3953</v>
      </c>
    </row>
    <row r="683" ht="15.75" customHeight="1">
      <c r="A683" s="38" t="s">
        <v>3954</v>
      </c>
      <c r="B683" s="159">
        <v>38.0</v>
      </c>
      <c r="C683" s="158" t="s">
        <v>3955</v>
      </c>
    </row>
    <row r="684" ht="15.75" customHeight="1">
      <c r="A684" s="38" t="s">
        <v>3956</v>
      </c>
      <c r="B684" s="159">
        <v>44.0</v>
      </c>
      <c r="C684" s="151"/>
    </row>
    <row r="685" ht="15.75" customHeight="1">
      <c r="A685" s="38" t="s">
        <v>995</v>
      </c>
      <c r="B685" s="159">
        <v>42.0</v>
      </c>
      <c r="C685" s="158" t="s">
        <v>3741</v>
      </c>
    </row>
    <row r="686" ht="15.75" customHeight="1">
      <c r="A686" s="38" t="s">
        <v>3957</v>
      </c>
      <c r="B686" s="159">
        <v>46.0</v>
      </c>
      <c r="C686" s="158" t="s">
        <v>2834</v>
      </c>
    </row>
    <row r="687" ht="15.75" customHeight="1">
      <c r="A687" s="38" t="s">
        <v>3958</v>
      </c>
      <c r="B687" s="159">
        <v>46.0</v>
      </c>
      <c r="C687" s="158" t="s">
        <v>2834</v>
      </c>
    </row>
    <row r="688" ht="15.75" customHeight="1">
      <c r="A688" s="38" t="s">
        <v>3959</v>
      </c>
      <c r="B688" s="159">
        <v>29.0</v>
      </c>
      <c r="C688" s="158" t="s">
        <v>3960</v>
      </c>
    </row>
    <row r="689" ht="15.75" customHeight="1">
      <c r="A689" s="38" t="s">
        <v>3962</v>
      </c>
      <c r="B689" s="159">
        <v>23.0</v>
      </c>
      <c r="C689" s="158" t="s">
        <v>3963</v>
      </c>
    </row>
    <row r="690" ht="15.75" customHeight="1">
      <c r="A690" s="38" t="s">
        <v>3964</v>
      </c>
      <c r="B690" s="159">
        <v>31.0</v>
      </c>
      <c r="C690" s="158" t="s">
        <v>3965</v>
      </c>
    </row>
    <row r="691" ht="15.75" customHeight="1">
      <c r="A691" s="38" t="s">
        <v>3967</v>
      </c>
      <c r="B691" s="159">
        <v>33.0</v>
      </c>
      <c r="C691" s="158" t="s">
        <v>3968</v>
      </c>
    </row>
    <row r="692" ht="15.75" customHeight="1">
      <c r="A692" s="38" t="s">
        <v>3969</v>
      </c>
      <c r="B692" s="159">
        <v>26.0</v>
      </c>
      <c r="C692" s="158" t="s">
        <v>3970</v>
      </c>
    </row>
    <row r="693" ht="15.75" customHeight="1">
      <c r="A693" s="38" t="s">
        <v>3971</v>
      </c>
      <c r="B693" s="159">
        <v>25.0</v>
      </c>
      <c r="C693" s="158" t="s">
        <v>3972</v>
      </c>
    </row>
    <row r="694" ht="15.75" customHeight="1">
      <c r="A694" s="38" t="s">
        <v>745</v>
      </c>
      <c r="B694" s="159">
        <v>44.0</v>
      </c>
      <c r="C694" s="158" t="s">
        <v>3973</v>
      </c>
    </row>
    <row r="695" ht="15.75" customHeight="1">
      <c r="A695" s="38" t="s">
        <v>3974</v>
      </c>
      <c r="B695" s="159">
        <v>42.0</v>
      </c>
      <c r="C695" s="158" t="s">
        <v>3975</v>
      </c>
    </row>
    <row r="696" ht="15.75" customHeight="1">
      <c r="A696" s="38" t="s">
        <v>3976</v>
      </c>
      <c r="B696" s="159">
        <v>48.0</v>
      </c>
      <c r="C696" s="158" t="s">
        <v>3978</v>
      </c>
    </row>
    <row r="697" ht="15.75" customHeight="1">
      <c r="A697" s="38" t="s">
        <v>3979</v>
      </c>
      <c r="B697" s="159">
        <v>39.0</v>
      </c>
      <c r="C697" s="158" t="s">
        <v>3980</v>
      </c>
    </row>
    <row r="698" ht="15.75" customHeight="1">
      <c r="A698" s="38" t="s">
        <v>3981</v>
      </c>
      <c r="B698" s="159">
        <v>25.0</v>
      </c>
      <c r="C698" s="158" t="s">
        <v>3982</v>
      </c>
    </row>
    <row r="699" ht="15.75" customHeight="1">
      <c r="A699" s="38" t="s">
        <v>3983</v>
      </c>
      <c r="B699" s="159">
        <v>38.0</v>
      </c>
      <c r="C699" s="158" t="s">
        <v>3984</v>
      </c>
    </row>
    <row r="700" ht="15.75" customHeight="1">
      <c r="A700" s="38" t="s">
        <v>3985</v>
      </c>
      <c r="B700" s="159">
        <v>30.0</v>
      </c>
      <c r="C700" s="158" t="s">
        <v>3986</v>
      </c>
    </row>
    <row r="701" ht="15.75" customHeight="1">
      <c r="A701" s="38" t="s">
        <v>3987</v>
      </c>
      <c r="B701" s="159">
        <v>32.0</v>
      </c>
      <c r="C701" s="158" t="s">
        <v>3988</v>
      </c>
    </row>
    <row r="702" ht="15.75" customHeight="1">
      <c r="A702" s="38" t="s">
        <v>3989</v>
      </c>
      <c r="B702" s="159">
        <v>39.0</v>
      </c>
      <c r="C702" s="158" t="s">
        <v>3990</v>
      </c>
    </row>
    <row r="703" ht="15.75" customHeight="1">
      <c r="A703" s="38" t="s">
        <v>3991</v>
      </c>
      <c r="B703" s="159">
        <v>35.0</v>
      </c>
      <c r="C703" s="158" t="s">
        <v>3992</v>
      </c>
    </row>
    <row r="704" ht="15.75" customHeight="1">
      <c r="A704" s="38" t="s">
        <v>3993</v>
      </c>
      <c r="B704" s="159">
        <v>46.0</v>
      </c>
      <c r="C704" s="158" t="s">
        <v>3994</v>
      </c>
    </row>
    <row r="705" ht="15.75" customHeight="1">
      <c r="A705" s="38" t="s">
        <v>3995</v>
      </c>
      <c r="B705" s="159">
        <v>46.0</v>
      </c>
      <c r="C705" s="158" t="s">
        <v>3996</v>
      </c>
    </row>
    <row r="706" ht="15.75" customHeight="1">
      <c r="A706" s="38" t="s">
        <v>3997</v>
      </c>
      <c r="B706" s="159">
        <v>38.0</v>
      </c>
      <c r="C706" s="158" t="s">
        <v>3998</v>
      </c>
    </row>
    <row r="707" ht="15.75" customHeight="1">
      <c r="A707" s="38" t="s">
        <v>3999</v>
      </c>
      <c r="B707" s="159">
        <v>46.0</v>
      </c>
      <c r="C707" s="158" t="s">
        <v>2834</v>
      </c>
    </row>
    <row r="708" ht="15.75" customHeight="1">
      <c r="A708" s="38" t="s">
        <v>4000</v>
      </c>
      <c r="B708" s="159">
        <v>46.0</v>
      </c>
      <c r="C708" s="158" t="s">
        <v>2834</v>
      </c>
    </row>
    <row r="709" ht="15.75" customHeight="1">
      <c r="A709" s="38" t="s">
        <v>4001</v>
      </c>
      <c r="B709" s="159">
        <v>44.0</v>
      </c>
      <c r="C709" s="158" t="s">
        <v>4002</v>
      </c>
    </row>
    <row r="710" ht="15.75" customHeight="1">
      <c r="A710" s="38" t="s">
        <v>4003</v>
      </c>
      <c r="B710" s="159">
        <v>35.0</v>
      </c>
      <c r="C710" s="158" t="s">
        <v>4004</v>
      </c>
    </row>
    <row r="711" ht="15.75" customHeight="1">
      <c r="A711" s="38" t="s">
        <v>4005</v>
      </c>
      <c r="B711" s="159">
        <v>27.0</v>
      </c>
      <c r="C711" s="158" t="s">
        <v>4006</v>
      </c>
    </row>
    <row r="712" ht="15.75" customHeight="1">
      <c r="A712" s="38" t="s">
        <v>4007</v>
      </c>
      <c r="B712" s="159">
        <v>38.0</v>
      </c>
      <c r="C712" s="158" t="s">
        <v>4008</v>
      </c>
    </row>
    <row r="713" ht="15.75" customHeight="1">
      <c r="A713" s="38" t="s">
        <v>4009</v>
      </c>
      <c r="B713" s="159">
        <v>42.0</v>
      </c>
      <c r="C713" s="158" t="s">
        <v>4010</v>
      </c>
    </row>
    <row r="714" ht="15.75" customHeight="1">
      <c r="A714" s="38" t="s">
        <v>4011</v>
      </c>
      <c r="B714" s="159">
        <v>35.0</v>
      </c>
      <c r="C714" s="158" t="s">
        <v>4012</v>
      </c>
    </row>
    <row r="715" ht="15.75" customHeight="1">
      <c r="A715" s="38" t="s">
        <v>4013</v>
      </c>
      <c r="B715" s="159">
        <v>37.0</v>
      </c>
      <c r="C715" s="158" t="s">
        <v>4014</v>
      </c>
    </row>
    <row r="716" ht="15.75" customHeight="1">
      <c r="A716" s="38" t="s">
        <v>4015</v>
      </c>
      <c r="B716" s="159">
        <v>28.0</v>
      </c>
      <c r="C716" s="158" t="s">
        <v>4016</v>
      </c>
    </row>
    <row r="717" ht="15.75" customHeight="1">
      <c r="A717" s="38" t="s">
        <v>4017</v>
      </c>
      <c r="B717" s="159">
        <v>48.0</v>
      </c>
      <c r="C717" s="158" t="s">
        <v>4018</v>
      </c>
    </row>
    <row r="718" ht="15.75" customHeight="1">
      <c r="A718" s="38" t="s">
        <v>4019</v>
      </c>
      <c r="B718" s="159">
        <v>39.0</v>
      </c>
      <c r="C718" s="158" t="s">
        <v>2832</v>
      </c>
    </row>
    <row r="719" ht="15.75" customHeight="1">
      <c r="A719" s="38" t="s">
        <v>4020</v>
      </c>
      <c r="B719" s="159">
        <v>47.0</v>
      </c>
      <c r="C719" s="158" t="s">
        <v>4018</v>
      </c>
    </row>
    <row r="720" ht="15.75" customHeight="1">
      <c r="A720" s="38" t="s">
        <v>4021</v>
      </c>
      <c r="B720" s="159">
        <v>25.0</v>
      </c>
      <c r="C720" s="158" t="s">
        <v>4022</v>
      </c>
    </row>
    <row r="721" ht="15.75" customHeight="1">
      <c r="A721" s="38" t="s">
        <v>4023</v>
      </c>
      <c r="B721" s="159">
        <v>39.0</v>
      </c>
      <c r="C721" s="158" t="s">
        <v>4024</v>
      </c>
    </row>
    <row r="722" ht="15.75" customHeight="1">
      <c r="A722" s="38" t="s">
        <v>4025</v>
      </c>
      <c r="B722" s="159">
        <v>25.0</v>
      </c>
      <c r="C722" s="158" t="s">
        <v>4026</v>
      </c>
    </row>
    <row r="723" ht="15.75" customHeight="1">
      <c r="A723" s="38" t="s">
        <v>4027</v>
      </c>
      <c r="B723" s="159">
        <v>27.0</v>
      </c>
      <c r="C723" s="158" t="s">
        <v>4028</v>
      </c>
    </row>
    <row r="724" ht="15.75" customHeight="1">
      <c r="A724" s="38" t="s">
        <v>4029</v>
      </c>
      <c r="B724" s="159">
        <v>24.0</v>
      </c>
      <c r="C724" s="158" t="s">
        <v>4030</v>
      </c>
    </row>
    <row r="725" ht="15.75" customHeight="1">
      <c r="A725" s="38" t="s">
        <v>4031</v>
      </c>
      <c r="B725" s="159">
        <v>33.0</v>
      </c>
      <c r="C725" s="158" t="s">
        <v>4032</v>
      </c>
    </row>
    <row r="726" ht="15.75" customHeight="1">
      <c r="A726" s="38" t="s">
        <v>4033</v>
      </c>
      <c r="B726" s="159">
        <v>23.0</v>
      </c>
      <c r="C726" s="158" t="s">
        <v>4034</v>
      </c>
    </row>
    <row r="727" ht="15.75" customHeight="1">
      <c r="A727" s="38" t="s">
        <v>4035</v>
      </c>
      <c r="B727" s="159">
        <v>35.0</v>
      </c>
      <c r="C727" s="158" t="s">
        <v>4036</v>
      </c>
    </row>
    <row r="728" ht="15.75" customHeight="1">
      <c r="A728" s="38" t="s">
        <v>4037</v>
      </c>
      <c r="B728" s="159">
        <v>30.0</v>
      </c>
      <c r="C728" s="158" t="s">
        <v>4038</v>
      </c>
    </row>
    <row r="729" ht="15.75" customHeight="1">
      <c r="A729" s="38" t="s">
        <v>4039</v>
      </c>
      <c r="B729" s="159">
        <v>29.0</v>
      </c>
      <c r="C729" s="158" t="s">
        <v>4040</v>
      </c>
    </row>
    <row r="730" ht="15.75" customHeight="1">
      <c r="A730" s="38" t="s">
        <v>4041</v>
      </c>
      <c r="B730" s="159">
        <v>37.0</v>
      </c>
      <c r="C730" s="158" t="s">
        <v>4042</v>
      </c>
    </row>
    <row r="731" ht="15.75" customHeight="1">
      <c r="A731" s="38" t="s">
        <v>4043</v>
      </c>
      <c r="B731" s="159">
        <v>28.0</v>
      </c>
      <c r="C731" s="158" t="s">
        <v>4044</v>
      </c>
    </row>
    <row r="732" ht="15.75" customHeight="1">
      <c r="A732" s="38" t="s">
        <v>4045</v>
      </c>
      <c r="B732" s="159">
        <v>47.0</v>
      </c>
      <c r="C732" s="158" t="s">
        <v>4046</v>
      </c>
    </row>
    <row r="733" ht="15.75" customHeight="1">
      <c r="A733" s="38" t="s">
        <v>4047</v>
      </c>
      <c r="B733" s="159">
        <v>30.0</v>
      </c>
      <c r="C733" s="158" t="s">
        <v>4048</v>
      </c>
    </row>
    <row r="734" ht="15.75" customHeight="1">
      <c r="A734" s="38" t="s">
        <v>620</v>
      </c>
      <c r="B734" s="159">
        <v>0.0</v>
      </c>
      <c r="C734" s="151"/>
    </row>
    <row r="735" ht="15.75" customHeight="1">
      <c r="A735" s="38" t="s">
        <v>4049</v>
      </c>
      <c r="B735" s="159">
        <v>45.0</v>
      </c>
      <c r="C735" s="158" t="s">
        <v>4050</v>
      </c>
    </row>
    <row r="736" ht="15.75" customHeight="1">
      <c r="A736" s="38" t="s">
        <v>4051</v>
      </c>
      <c r="B736" s="159">
        <v>46.0</v>
      </c>
      <c r="C736" s="158" t="s">
        <v>2834</v>
      </c>
    </row>
    <row r="737" ht="15.75" customHeight="1">
      <c r="A737" s="38" t="s">
        <v>4052</v>
      </c>
      <c r="B737" s="159">
        <v>38.0</v>
      </c>
      <c r="C737" s="158" t="s">
        <v>2875</v>
      </c>
    </row>
    <row r="738" ht="15.75" customHeight="1">
      <c r="A738" s="38" t="s">
        <v>4053</v>
      </c>
      <c r="B738" s="159">
        <v>44.0</v>
      </c>
      <c r="C738" s="158" t="s">
        <v>2834</v>
      </c>
    </row>
    <row r="739" ht="15.75" customHeight="1">
      <c r="A739" s="38" t="s">
        <v>4054</v>
      </c>
      <c r="B739" s="159">
        <v>47.0</v>
      </c>
      <c r="C739" s="158" t="s">
        <v>4055</v>
      </c>
    </row>
    <row r="740" ht="15.75" customHeight="1">
      <c r="A740" s="38" t="s">
        <v>4056</v>
      </c>
      <c r="B740" s="159">
        <v>46.0</v>
      </c>
      <c r="C740" s="158" t="s">
        <v>4057</v>
      </c>
    </row>
    <row r="741" ht="15.75" customHeight="1">
      <c r="A741" s="38" t="s">
        <v>4058</v>
      </c>
      <c r="B741" s="159">
        <v>46.0</v>
      </c>
      <c r="C741" s="158" t="s">
        <v>4059</v>
      </c>
    </row>
    <row r="742" ht="15.75" customHeight="1">
      <c r="A742" s="38" t="s">
        <v>4060</v>
      </c>
      <c r="B742" s="159">
        <v>47.0</v>
      </c>
      <c r="C742" s="158" t="s">
        <v>4061</v>
      </c>
    </row>
    <row r="743" ht="15.75" customHeight="1">
      <c r="A743" s="38" t="s">
        <v>4062</v>
      </c>
      <c r="B743" s="159">
        <v>43.0</v>
      </c>
      <c r="C743" s="158" t="s">
        <v>4063</v>
      </c>
    </row>
    <row r="744" ht="15.75" customHeight="1">
      <c r="A744" s="38" t="s">
        <v>4064</v>
      </c>
      <c r="B744" s="159">
        <v>46.0</v>
      </c>
      <c r="C744" s="158" t="s">
        <v>4065</v>
      </c>
    </row>
    <row r="745" ht="15.75" customHeight="1">
      <c r="A745" s="38" t="s">
        <v>4066</v>
      </c>
      <c r="B745" s="159">
        <v>40.0</v>
      </c>
      <c r="C745" s="158" t="s">
        <v>4067</v>
      </c>
    </row>
    <row r="746" ht="15.75" customHeight="1">
      <c r="A746" s="38" t="s">
        <v>4068</v>
      </c>
      <c r="B746" s="159">
        <v>45.0</v>
      </c>
      <c r="C746" s="158" t="s">
        <v>4069</v>
      </c>
    </row>
    <row r="747" ht="15.75" customHeight="1">
      <c r="A747" s="38" t="s">
        <v>4070</v>
      </c>
      <c r="B747" s="159">
        <v>48.0</v>
      </c>
      <c r="C747" s="158" t="s">
        <v>4071</v>
      </c>
    </row>
    <row r="748" ht="15.75" customHeight="1">
      <c r="A748" s="38" t="s">
        <v>4072</v>
      </c>
      <c r="B748" s="159">
        <v>44.0</v>
      </c>
      <c r="C748" s="158" t="s">
        <v>4073</v>
      </c>
    </row>
    <row r="749" ht="15.75" customHeight="1">
      <c r="A749" s="38" t="s">
        <v>4074</v>
      </c>
      <c r="B749" s="159">
        <v>46.0</v>
      </c>
      <c r="C749" s="158" t="s">
        <v>4075</v>
      </c>
    </row>
    <row r="750" ht="15.75" customHeight="1">
      <c r="A750" s="38" t="s">
        <v>4076</v>
      </c>
      <c r="B750" s="159">
        <v>47.0</v>
      </c>
      <c r="C750" s="158" t="s">
        <v>4077</v>
      </c>
    </row>
    <row r="751" ht="15.75" customHeight="1">
      <c r="A751" s="38" t="s">
        <v>4078</v>
      </c>
      <c r="B751" s="159">
        <v>45.0</v>
      </c>
      <c r="C751" s="158" t="s">
        <v>4079</v>
      </c>
    </row>
    <row r="752" ht="15.75" customHeight="1">
      <c r="A752" s="38" t="s">
        <v>4080</v>
      </c>
      <c r="B752" s="159">
        <v>48.0</v>
      </c>
      <c r="C752" s="158" t="s">
        <v>4081</v>
      </c>
    </row>
    <row r="753" ht="15.75" customHeight="1">
      <c r="A753" s="38" t="s">
        <v>4082</v>
      </c>
      <c r="B753" s="159">
        <v>45.0</v>
      </c>
      <c r="C753" s="158" t="s">
        <v>4083</v>
      </c>
    </row>
    <row r="754" ht="15.75" customHeight="1">
      <c r="A754" s="38" t="s">
        <v>4084</v>
      </c>
      <c r="B754" s="159">
        <v>45.0</v>
      </c>
      <c r="C754" s="158" t="s">
        <v>4085</v>
      </c>
    </row>
    <row r="755" ht="15.75" customHeight="1">
      <c r="A755" s="38" t="s">
        <v>4086</v>
      </c>
      <c r="B755" s="159">
        <v>45.0</v>
      </c>
      <c r="C755" s="158" t="s">
        <v>4087</v>
      </c>
    </row>
    <row r="756" ht="15.75" customHeight="1">
      <c r="A756" s="38" t="s">
        <v>4088</v>
      </c>
      <c r="B756" s="159">
        <v>31.0</v>
      </c>
      <c r="C756" s="158" t="s">
        <v>4089</v>
      </c>
    </row>
    <row r="757" ht="15.75" customHeight="1">
      <c r="A757" s="38" t="s">
        <v>4090</v>
      </c>
      <c r="B757" s="159">
        <v>32.0</v>
      </c>
      <c r="C757" s="158" t="s">
        <v>4091</v>
      </c>
    </row>
    <row r="758" ht="15.75" customHeight="1">
      <c r="A758" s="38" t="s">
        <v>4092</v>
      </c>
      <c r="B758" s="159">
        <v>39.0</v>
      </c>
      <c r="C758" s="158" t="s">
        <v>4093</v>
      </c>
    </row>
    <row r="759" ht="15.75" customHeight="1">
      <c r="A759" s="38" t="s">
        <v>4094</v>
      </c>
      <c r="B759" s="159">
        <v>34.0</v>
      </c>
      <c r="C759" s="158" t="s">
        <v>4095</v>
      </c>
    </row>
    <row r="760" ht="15.75" customHeight="1">
      <c r="A760" s="38" t="s">
        <v>4096</v>
      </c>
      <c r="B760" s="159">
        <v>36.0</v>
      </c>
      <c r="C760" s="158" t="s">
        <v>4097</v>
      </c>
    </row>
    <row r="761" ht="15.75" customHeight="1">
      <c r="A761" s="38" t="s">
        <v>4098</v>
      </c>
      <c r="B761" s="159">
        <v>24.0</v>
      </c>
      <c r="C761" s="158" t="s">
        <v>4099</v>
      </c>
    </row>
    <row r="762" ht="15.75" customHeight="1">
      <c r="A762" s="38" t="s">
        <v>4100</v>
      </c>
      <c r="B762" s="159">
        <v>26.0</v>
      </c>
      <c r="C762" s="158" t="s">
        <v>4101</v>
      </c>
    </row>
    <row r="763" ht="15.75" customHeight="1">
      <c r="A763" s="38" t="s">
        <v>4102</v>
      </c>
      <c r="B763" s="159">
        <v>26.0</v>
      </c>
      <c r="C763" s="158" t="s">
        <v>4103</v>
      </c>
    </row>
    <row r="764" ht="15.75" customHeight="1">
      <c r="A764" s="38" t="s">
        <v>4104</v>
      </c>
      <c r="B764" s="159">
        <v>29.0</v>
      </c>
      <c r="C764" s="158" t="s">
        <v>4105</v>
      </c>
    </row>
    <row r="765" ht="15.75" customHeight="1">
      <c r="A765" s="38" t="s">
        <v>4106</v>
      </c>
      <c r="B765" s="159">
        <v>38.0</v>
      </c>
      <c r="C765" s="158" t="s">
        <v>4107</v>
      </c>
    </row>
    <row r="766" ht="15.75" customHeight="1">
      <c r="A766" s="38" t="s">
        <v>4108</v>
      </c>
      <c r="B766" s="159">
        <v>36.0</v>
      </c>
      <c r="C766" s="158" t="s">
        <v>4109</v>
      </c>
    </row>
    <row r="767" ht="15.75" customHeight="1">
      <c r="A767" s="38" t="s">
        <v>4110</v>
      </c>
      <c r="B767" s="159">
        <v>25.0</v>
      </c>
      <c r="C767" s="158" t="s">
        <v>4111</v>
      </c>
    </row>
    <row r="768" ht="15.75" customHeight="1">
      <c r="A768" s="38" t="s">
        <v>4112</v>
      </c>
      <c r="B768" s="159">
        <v>31.0</v>
      </c>
      <c r="C768" s="158" t="s">
        <v>4113</v>
      </c>
    </row>
    <row r="769" ht="15.75" customHeight="1">
      <c r="A769" s="38" t="s">
        <v>4114</v>
      </c>
      <c r="B769" s="159">
        <v>38.0</v>
      </c>
      <c r="C769" s="158" t="s">
        <v>2875</v>
      </c>
    </row>
    <row r="770" ht="15.75" customHeight="1">
      <c r="A770" s="38" t="s">
        <v>4115</v>
      </c>
      <c r="B770" s="159">
        <v>45.0</v>
      </c>
      <c r="C770" s="158" t="s">
        <v>4116</v>
      </c>
    </row>
    <row r="771" ht="15.75" customHeight="1">
      <c r="A771" s="38" t="s">
        <v>343</v>
      </c>
      <c r="B771" s="159">
        <v>40.0</v>
      </c>
      <c r="C771" s="158" t="s">
        <v>4117</v>
      </c>
    </row>
    <row r="772" ht="15.75" customHeight="1">
      <c r="A772" s="38" t="s">
        <v>4118</v>
      </c>
      <c r="B772" s="159">
        <v>37.0</v>
      </c>
      <c r="C772" s="158" t="s">
        <v>2875</v>
      </c>
    </row>
    <row r="773" ht="15.75" customHeight="1">
      <c r="A773" s="38" t="s">
        <v>891</v>
      </c>
      <c r="B773" s="159">
        <v>40.0</v>
      </c>
      <c r="C773" s="158" t="s">
        <v>2875</v>
      </c>
    </row>
    <row r="774" ht="15.75" customHeight="1">
      <c r="A774" s="38" t="s">
        <v>4119</v>
      </c>
      <c r="B774" s="159">
        <v>41.0</v>
      </c>
      <c r="C774" s="158" t="s">
        <v>4120</v>
      </c>
    </row>
    <row r="775" ht="15.75" customHeight="1">
      <c r="A775" s="38" t="s">
        <v>4121</v>
      </c>
      <c r="B775" s="159">
        <v>37.0</v>
      </c>
      <c r="C775" s="158" t="s">
        <v>4122</v>
      </c>
    </row>
    <row r="776" ht="15.75" customHeight="1">
      <c r="A776" s="38" t="s">
        <v>4123</v>
      </c>
      <c r="B776" s="159">
        <v>0.0</v>
      </c>
      <c r="C776" s="151"/>
    </row>
    <row r="777" ht="15.75" customHeight="1">
      <c r="A777" s="38" t="s">
        <v>4124</v>
      </c>
      <c r="B777" s="159">
        <v>30.0</v>
      </c>
      <c r="C777" s="158" t="s">
        <v>4125</v>
      </c>
    </row>
    <row r="778" ht="15.75" customHeight="1">
      <c r="A778" s="38" t="s">
        <v>4126</v>
      </c>
      <c r="B778" s="159">
        <v>15.0</v>
      </c>
      <c r="C778" s="158" t="s">
        <v>4127</v>
      </c>
    </row>
    <row r="779" ht="15.75" customHeight="1">
      <c r="A779" s="38" t="s">
        <v>4128</v>
      </c>
      <c r="B779" s="159">
        <v>29.0</v>
      </c>
      <c r="C779" s="158" t="s">
        <v>4129</v>
      </c>
    </row>
    <row r="780" ht="15.75" customHeight="1">
      <c r="A780" s="38" t="s">
        <v>4130</v>
      </c>
      <c r="B780" s="159">
        <v>29.0</v>
      </c>
      <c r="C780" s="158" t="s">
        <v>4131</v>
      </c>
    </row>
    <row r="781" ht="15.75" customHeight="1">
      <c r="A781" s="38" t="s">
        <v>4132</v>
      </c>
      <c r="B781" s="159">
        <v>32.0</v>
      </c>
      <c r="C781" s="158" t="s">
        <v>4133</v>
      </c>
    </row>
    <row r="782" ht="15.75" customHeight="1">
      <c r="A782" s="38" t="s">
        <v>4134</v>
      </c>
      <c r="B782" s="159">
        <v>30.0</v>
      </c>
      <c r="C782" s="158" t="s">
        <v>4135</v>
      </c>
    </row>
    <row r="783" ht="15.75" customHeight="1">
      <c r="A783" s="38" t="s">
        <v>4136</v>
      </c>
      <c r="B783" s="159">
        <v>40.0</v>
      </c>
      <c r="C783" s="158" t="s">
        <v>4137</v>
      </c>
    </row>
    <row r="784" ht="15.75" customHeight="1">
      <c r="A784" s="38" t="s">
        <v>4138</v>
      </c>
      <c r="B784" s="159">
        <v>41.0</v>
      </c>
      <c r="C784" s="158" t="s">
        <v>4137</v>
      </c>
    </row>
    <row r="785" ht="15.75" customHeight="1">
      <c r="A785" s="38" t="s">
        <v>4139</v>
      </c>
      <c r="B785" s="159">
        <v>46.0</v>
      </c>
      <c r="C785" s="158" t="s">
        <v>2834</v>
      </c>
    </row>
    <row r="786" ht="15.75" customHeight="1">
      <c r="A786" s="38" t="s">
        <v>4140</v>
      </c>
      <c r="B786" s="159">
        <v>42.0</v>
      </c>
      <c r="C786" s="158" t="s">
        <v>4137</v>
      </c>
    </row>
    <row r="787" ht="15.75" customHeight="1">
      <c r="A787" s="38" t="s">
        <v>4141</v>
      </c>
      <c r="B787" s="159">
        <v>46.0</v>
      </c>
      <c r="C787" s="158" t="s">
        <v>2834</v>
      </c>
    </row>
    <row r="788" ht="15.75" customHeight="1">
      <c r="A788" s="38" t="s">
        <v>4142</v>
      </c>
      <c r="B788" s="159">
        <v>46.0</v>
      </c>
      <c r="C788" s="158" t="s">
        <v>2834</v>
      </c>
    </row>
    <row r="789" ht="15.75" customHeight="1">
      <c r="A789" s="38" t="s">
        <v>4143</v>
      </c>
      <c r="B789" s="159">
        <v>46.0</v>
      </c>
      <c r="C789" s="158" t="s">
        <v>2834</v>
      </c>
    </row>
    <row r="790" ht="15.75" customHeight="1">
      <c r="A790" s="38" t="s">
        <v>4144</v>
      </c>
      <c r="B790" s="159">
        <v>40.0</v>
      </c>
      <c r="C790" s="158" t="s">
        <v>4145</v>
      </c>
    </row>
    <row r="791" ht="15.75" customHeight="1">
      <c r="A791" s="38" t="s">
        <v>340</v>
      </c>
      <c r="B791" s="159">
        <v>49.0</v>
      </c>
      <c r="C791" s="158" t="s">
        <v>3147</v>
      </c>
    </row>
    <row r="792" ht="15.75" customHeight="1">
      <c r="A792" s="38" t="s">
        <v>4146</v>
      </c>
      <c r="B792" s="159">
        <v>47.0</v>
      </c>
      <c r="C792" s="158" t="s">
        <v>4147</v>
      </c>
    </row>
    <row r="793" ht="15.75" customHeight="1">
      <c r="A793" s="38" t="s">
        <v>4148</v>
      </c>
      <c r="B793" s="159">
        <v>48.0</v>
      </c>
      <c r="C793" s="158" t="s">
        <v>4149</v>
      </c>
    </row>
    <row r="794" ht="15.75" customHeight="1">
      <c r="A794" s="38" t="s">
        <v>4150</v>
      </c>
      <c r="B794" s="159">
        <v>44.0</v>
      </c>
      <c r="C794" s="158" t="s">
        <v>4151</v>
      </c>
    </row>
    <row r="795" ht="15.75" customHeight="1">
      <c r="A795" s="38" t="s">
        <v>4152</v>
      </c>
      <c r="B795" s="159">
        <v>41.0</v>
      </c>
      <c r="C795" s="158" t="s">
        <v>4153</v>
      </c>
    </row>
    <row r="796" ht="15.75" customHeight="1">
      <c r="A796" s="38" t="s">
        <v>4154</v>
      </c>
      <c r="B796" s="159">
        <v>48.0</v>
      </c>
      <c r="C796" s="158" t="s">
        <v>4155</v>
      </c>
    </row>
    <row r="797" ht="15.75" customHeight="1">
      <c r="A797" s="38" t="s">
        <v>4156</v>
      </c>
      <c r="B797" s="159">
        <v>46.0</v>
      </c>
      <c r="C797" s="158" t="s">
        <v>4157</v>
      </c>
    </row>
    <row r="798" ht="15.75" customHeight="1">
      <c r="A798" s="38" t="s">
        <v>4158</v>
      </c>
      <c r="B798" s="159">
        <v>42.0</v>
      </c>
      <c r="C798" s="158" t="s">
        <v>4159</v>
      </c>
    </row>
    <row r="799" ht="15.75" customHeight="1">
      <c r="A799" s="38" t="s">
        <v>4160</v>
      </c>
      <c r="B799" s="159">
        <v>46.0</v>
      </c>
      <c r="C799" s="158" t="s">
        <v>4161</v>
      </c>
    </row>
    <row r="800" ht="15.75" customHeight="1">
      <c r="A800" s="38" t="s">
        <v>4162</v>
      </c>
      <c r="B800" s="159">
        <v>48.0</v>
      </c>
      <c r="C800" s="158" t="s">
        <v>4163</v>
      </c>
    </row>
    <row r="801" ht="15.75" customHeight="1">
      <c r="A801" s="38" t="s">
        <v>4164</v>
      </c>
      <c r="B801" s="159">
        <v>36.0</v>
      </c>
      <c r="C801" s="158" t="s">
        <v>4165</v>
      </c>
    </row>
    <row r="802" ht="15.75" customHeight="1">
      <c r="A802" s="33"/>
      <c r="B802" s="156"/>
      <c r="C802" s="151"/>
    </row>
    <row r="803" ht="15.75" customHeight="1">
      <c r="A803" s="33"/>
      <c r="B803" s="156"/>
      <c r="C803" s="151"/>
    </row>
    <row r="804" ht="15.75" customHeight="1">
      <c r="A804" s="33"/>
      <c r="B804" s="156"/>
      <c r="C804" s="151"/>
    </row>
    <row r="805" ht="15.75" customHeight="1">
      <c r="A805" s="33"/>
      <c r="B805" s="156"/>
      <c r="C805" s="151"/>
    </row>
    <row r="806" ht="15.75" customHeight="1">
      <c r="A806" s="33"/>
      <c r="B806" s="156"/>
      <c r="C806" s="151"/>
    </row>
    <row r="807" ht="15.75" customHeight="1">
      <c r="A807" s="33"/>
      <c r="B807" s="156"/>
      <c r="C807" s="151"/>
    </row>
    <row r="808" ht="15.75" customHeight="1">
      <c r="A808" s="33"/>
      <c r="B808" s="156"/>
      <c r="C808" s="151"/>
    </row>
    <row r="809" ht="15.75" customHeight="1">
      <c r="A809" s="33"/>
      <c r="B809" s="156"/>
      <c r="C809" s="151"/>
    </row>
    <row r="810" ht="15.75" customHeight="1">
      <c r="A810" s="33"/>
      <c r="B810" s="156"/>
      <c r="C810" s="151"/>
    </row>
    <row r="811" ht="15.75" customHeight="1">
      <c r="A811" s="33"/>
      <c r="B811" s="156"/>
      <c r="C811" s="151"/>
    </row>
    <row r="812" ht="15.75" customHeight="1">
      <c r="A812" s="33"/>
      <c r="B812" s="156"/>
      <c r="C812" s="151"/>
    </row>
    <row r="813" ht="15.75" customHeight="1">
      <c r="A813" s="33"/>
      <c r="B813" s="156"/>
      <c r="C813" s="151"/>
    </row>
    <row r="814" ht="15.75" customHeight="1">
      <c r="A814" s="33"/>
      <c r="B814" s="156"/>
      <c r="C814" s="151"/>
    </row>
    <row r="815" ht="15.75" customHeight="1">
      <c r="A815" s="33"/>
      <c r="B815" s="156"/>
      <c r="C815" s="151"/>
    </row>
    <row r="816" ht="15.75" customHeight="1">
      <c r="A816" s="33"/>
      <c r="B816" s="156"/>
      <c r="C816" s="151"/>
    </row>
    <row r="817" ht="15.75" customHeight="1">
      <c r="A817" s="33"/>
      <c r="B817" s="156"/>
      <c r="C817" s="151"/>
    </row>
    <row r="818" ht="15.75" customHeight="1">
      <c r="A818" s="33"/>
      <c r="B818" s="156"/>
      <c r="C818" s="151"/>
    </row>
    <row r="819" ht="15.75" customHeight="1">
      <c r="A819" s="33"/>
      <c r="B819" s="156"/>
      <c r="C819" s="151"/>
    </row>
    <row r="820" ht="15.75" customHeight="1">
      <c r="A820" s="33"/>
      <c r="B820" s="156"/>
      <c r="C820" s="151"/>
    </row>
    <row r="821" ht="15.75" customHeight="1">
      <c r="A821" s="33"/>
      <c r="B821" s="156"/>
      <c r="C821" s="151"/>
    </row>
    <row r="822" ht="15.75" customHeight="1">
      <c r="A822" s="33"/>
      <c r="B822" s="156"/>
      <c r="C822" s="151"/>
    </row>
    <row r="823" ht="15.75" customHeight="1">
      <c r="A823" s="33"/>
      <c r="B823" s="156"/>
      <c r="C823" s="151"/>
    </row>
    <row r="824" ht="15.75" customHeight="1">
      <c r="A824" s="33"/>
      <c r="B824" s="156"/>
      <c r="C824" s="151"/>
    </row>
    <row r="825" ht="15.75" customHeight="1">
      <c r="A825" s="33"/>
      <c r="B825" s="156"/>
      <c r="C825" s="151"/>
    </row>
    <row r="826" ht="15.75" customHeight="1">
      <c r="A826" s="33"/>
      <c r="B826" s="156"/>
      <c r="C826" s="151"/>
    </row>
    <row r="827" ht="15.75" customHeight="1">
      <c r="A827" s="33"/>
      <c r="B827" s="156"/>
      <c r="C827" s="151"/>
    </row>
    <row r="828" ht="15.75" customHeight="1">
      <c r="A828" s="33"/>
      <c r="B828" s="156"/>
      <c r="C828" s="151"/>
    </row>
    <row r="829" ht="15.75" customHeight="1">
      <c r="A829" s="33"/>
      <c r="B829" s="156"/>
      <c r="C829" s="151"/>
    </row>
    <row r="830" ht="15.75" customHeight="1">
      <c r="A830" s="33"/>
      <c r="B830" s="156"/>
      <c r="C830" s="151"/>
    </row>
    <row r="831" ht="15.75" customHeight="1">
      <c r="A831" s="33"/>
      <c r="B831" s="156"/>
      <c r="C831" s="151"/>
    </row>
    <row r="832" ht="15.75" customHeight="1">
      <c r="A832" s="33"/>
      <c r="B832" s="156"/>
      <c r="C832" s="151"/>
    </row>
    <row r="833" ht="15.75" customHeight="1">
      <c r="A833" s="33"/>
      <c r="B833" s="156"/>
      <c r="C833" s="151"/>
    </row>
    <row r="834" ht="15.75" customHeight="1">
      <c r="A834" s="33"/>
      <c r="B834" s="156"/>
      <c r="C834" s="151"/>
    </row>
    <row r="835" ht="15.75" customHeight="1">
      <c r="A835" s="33"/>
      <c r="B835" s="156"/>
      <c r="C835" s="151"/>
    </row>
    <row r="836" ht="15.75" customHeight="1">
      <c r="A836" s="33"/>
      <c r="B836" s="156"/>
      <c r="C836" s="151"/>
    </row>
    <row r="837" ht="15.75" customHeight="1">
      <c r="A837" s="33"/>
      <c r="B837" s="156"/>
      <c r="C837" s="151"/>
    </row>
    <row r="838" ht="15.75" customHeight="1">
      <c r="A838" s="33"/>
      <c r="B838" s="156"/>
      <c r="C838" s="151"/>
    </row>
    <row r="839" ht="15.75" customHeight="1">
      <c r="A839" s="33"/>
      <c r="B839" s="156"/>
      <c r="C839" s="151"/>
    </row>
    <row r="840" ht="15.75" customHeight="1">
      <c r="A840" s="33"/>
      <c r="B840" s="156"/>
      <c r="C840" s="151"/>
    </row>
    <row r="841" ht="15.75" customHeight="1">
      <c r="A841" s="33"/>
      <c r="B841" s="156"/>
      <c r="C841" s="151"/>
    </row>
    <row r="842" ht="15.75" customHeight="1">
      <c r="A842" s="33"/>
      <c r="B842" s="156"/>
      <c r="C842" s="151"/>
    </row>
    <row r="843" ht="15.75" customHeight="1">
      <c r="A843" s="33"/>
      <c r="B843" s="156"/>
      <c r="C843" s="151"/>
    </row>
    <row r="844" ht="15.75" customHeight="1">
      <c r="A844" s="33"/>
      <c r="B844" s="156"/>
      <c r="C844" s="151"/>
    </row>
    <row r="845" ht="15.75" customHeight="1">
      <c r="A845" s="33"/>
      <c r="B845" s="156"/>
      <c r="C845" s="151"/>
    </row>
    <row r="846" ht="15.75" customHeight="1">
      <c r="A846" s="33"/>
      <c r="B846" s="156"/>
      <c r="C846" s="151"/>
    </row>
    <row r="847" ht="15.75" customHeight="1">
      <c r="A847" s="33"/>
      <c r="B847" s="156"/>
      <c r="C847" s="151"/>
    </row>
    <row r="848" ht="15.75" customHeight="1">
      <c r="A848" s="33"/>
      <c r="B848" s="156"/>
      <c r="C848" s="151"/>
    </row>
    <row r="849" ht="15.75" customHeight="1">
      <c r="A849" s="33"/>
      <c r="B849" s="156"/>
      <c r="C849" s="151"/>
    </row>
    <row r="850" ht="15.75" customHeight="1">
      <c r="A850" s="33"/>
      <c r="B850" s="156"/>
      <c r="C850" s="151"/>
    </row>
    <row r="851" ht="15.75" customHeight="1">
      <c r="A851" s="33"/>
      <c r="B851" s="156"/>
      <c r="C851" s="151"/>
    </row>
    <row r="852" ht="15.75" customHeight="1">
      <c r="A852" s="33"/>
      <c r="B852" s="156"/>
      <c r="C852" s="151"/>
    </row>
    <row r="853" ht="15.75" customHeight="1">
      <c r="A853" s="33"/>
      <c r="B853" s="156"/>
      <c r="C853" s="151"/>
    </row>
    <row r="854" ht="15.75" customHeight="1">
      <c r="A854" s="33"/>
      <c r="B854" s="156"/>
      <c r="C854" s="151"/>
    </row>
    <row r="855" ht="15.75" customHeight="1">
      <c r="A855" s="33"/>
      <c r="B855" s="156"/>
      <c r="C855" s="151"/>
    </row>
    <row r="856" ht="15.75" customHeight="1">
      <c r="A856" s="33"/>
      <c r="B856" s="156"/>
      <c r="C856" s="151"/>
    </row>
    <row r="857" ht="15.75" customHeight="1">
      <c r="A857" s="33"/>
      <c r="B857" s="156"/>
      <c r="C857" s="151"/>
    </row>
    <row r="858" ht="15.75" customHeight="1">
      <c r="A858" s="33"/>
      <c r="B858" s="156"/>
      <c r="C858" s="151"/>
    </row>
    <row r="859" ht="15.75" customHeight="1">
      <c r="A859" s="33"/>
      <c r="B859" s="156"/>
      <c r="C859" s="151"/>
    </row>
    <row r="860" ht="15.75" customHeight="1">
      <c r="A860" s="33"/>
      <c r="B860" s="156"/>
      <c r="C860" s="151"/>
    </row>
    <row r="861" ht="15.75" customHeight="1">
      <c r="A861" s="33"/>
      <c r="B861" s="156"/>
      <c r="C861" s="151"/>
    </row>
    <row r="862" ht="15.75" customHeight="1">
      <c r="A862" s="33"/>
      <c r="B862" s="156"/>
      <c r="C862" s="151"/>
    </row>
    <row r="863" ht="15.75" customHeight="1">
      <c r="A863" s="33"/>
      <c r="B863" s="156"/>
      <c r="C863" s="151"/>
    </row>
    <row r="864" ht="15.75" customHeight="1">
      <c r="A864" s="33"/>
      <c r="B864" s="156"/>
      <c r="C864" s="151"/>
    </row>
    <row r="865" ht="15.75" customHeight="1">
      <c r="A865" s="33"/>
      <c r="B865" s="156"/>
      <c r="C865" s="151"/>
    </row>
    <row r="866" ht="15.75" customHeight="1">
      <c r="A866" s="33"/>
      <c r="B866" s="156"/>
      <c r="C866" s="151"/>
    </row>
    <row r="867" ht="15.75" customHeight="1">
      <c r="A867" s="33"/>
      <c r="B867" s="156"/>
      <c r="C867" s="151"/>
    </row>
    <row r="868" ht="15.75" customHeight="1">
      <c r="A868" s="33"/>
      <c r="B868" s="156"/>
      <c r="C868" s="151"/>
    </row>
    <row r="869" ht="15.75" customHeight="1">
      <c r="A869" s="33"/>
      <c r="B869" s="156"/>
      <c r="C869" s="151"/>
    </row>
    <row r="870" ht="15.75" customHeight="1">
      <c r="A870" s="33"/>
      <c r="B870" s="156"/>
      <c r="C870" s="151"/>
    </row>
    <row r="871" ht="15.75" customHeight="1">
      <c r="A871" s="33"/>
      <c r="B871" s="156"/>
      <c r="C871" s="151"/>
    </row>
    <row r="872" ht="15.75" customHeight="1">
      <c r="A872" s="33"/>
      <c r="B872" s="156"/>
      <c r="C872" s="151"/>
    </row>
    <row r="873" ht="15.75" customHeight="1">
      <c r="A873" s="33"/>
      <c r="B873" s="156"/>
      <c r="C873" s="151"/>
    </row>
    <row r="874" ht="15.75" customHeight="1">
      <c r="A874" s="33"/>
      <c r="B874" s="156"/>
      <c r="C874" s="151"/>
    </row>
    <row r="875" ht="15.75" customHeight="1">
      <c r="A875" s="33"/>
      <c r="B875" s="156"/>
      <c r="C875" s="151"/>
    </row>
    <row r="876" ht="15.75" customHeight="1">
      <c r="A876" s="33"/>
      <c r="B876" s="156"/>
      <c r="C876" s="151"/>
    </row>
    <row r="877" ht="15.75" customHeight="1">
      <c r="A877" s="33"/>
      <c r="B877" s="156"/>
      <c r="C877" s="151"/>
    </row>
    <row r="878" ht="15.75" customHeight="1">
      <c r="A878" s="33"/>
      <c r="B878" s="156"/>
      <c r="C878" s="151"/>
    </row>
    <row r="879" ht="15.75" customHeight="1">
      <c r="A879" s="33"/>
      <c r="B879" s="156"/>
      <c r="C879" s="151"/>
    </row>
    <row r="880" ht="15.75" customHeight="1">
      <c r="A880" s="33"/>
      <c r="B880" s="156"/>
      <c r="C880" s="151"/>
    </row>
    <row r="881" ht="15.75" customHeight="1">
      <c r="A881" s="33"/>
      <c r="B881" s="156"/>
      <c r="C881" s="151"/>
    </row>
    <row r="882" ht="15.75" customHeight="1">
      <c r="A882" s="33"/>
      <c r="B882" s="156"/>
      <c r="C882" s="151"/>
    </row>
    <row r="883" ht="15.75" customHeight="1">
      <c r="A883" s="33"/>
      <c r="B883" s="156"/>
      <c r="C883" s="151"/>
    </row>
    <row r="884" ht="15.75" customHeight="1">
      <c r="A884" s="33"/>
      <c r="B884" s="156"/>
      <c r="C884" s="151"/>
    </row>
    <row r="885" ht="15.75" customHeight="1">
      <c r="A885" s="33"/>
      <c r="B885" s="156"/>
      <c r="C885" s="151"/>
    </row>
    <row r="886" ht="15.75" customHeight="1">
      <c r="A886" s="33"/>
      <c r="B886" s="156"/>
      <c r="C886" s="151"/>
    </row>
    <row r="887" ht="15.75" customHeight="1">
      <c r="A887" s="33"/>
      <c r="B887" s="156"/>
      <c r="C887" s="151"/>
    </row>
    <row r="888" ht="15.75" customHeight="1">
      <c r="A888" s="33"/>
      <c r="B888" s="156"/>
      <c r="C888" s="151"/>
    </row>
    <row r="889" ht="15.75" customHeight="1">
      <c r="A889" s="33"/>
      <c r="B889" s="156"/>
      <c r="C889" s="151"/>
    </row>
    <row r="890" ht="15.75" customHeight="1">
      <c r="A890" s="33"/>
      <c r="B890" s="156"/>
      <c r="C890" s="151"/>
    </row>
    <row r="891" ht="15.75" customHeight="1">
      <c r="A891" s="33"/>
      <c r="B891" s="156"/>
      <c r="C891" s="151"/>
    </row>
    <row r="892" ht="15.75" customHeight="1">
      <c r="A892" s="33"/>
      <c r="B892" s="156"/>
      <c r="C892" s="151"/>
    </row>
    <row r="893" ht="15.75" customHeight="1">
      <c r="A893" s="33"/>
      <c r="B893" s="156"/>
      <c r="C893" s="151"/>
    </row>
    <row r="894" ht="15.75" customHeight="1">
      <c r="A894" s="33"/>
      <c r="B894" s="156"/>
      <c r="C894" s="151"/>
    </row>
    <row r="895" ht="15.75" customHeight="1">
      <c r="A895" s="33"/>
      <c r="B895" s="156"/>
      <c r="C895" s="151"/>
    </row>
    <row r="896" ht="15.75" customHeight="1">
      <c r="A896" s="33"/>
      <c r="B896" s="156"/>
      <c r="C896" s="151"/>
    </row>
    <row r="897" ht="15.75" customHeight="1">
      <c r="A897" s="33"/>
      <c r="B897" s="156"/>
      <c r="C897" s="151"/>
    </row>
    <row r="898" ht="15.75" customHeight="1">
      <c r="A898" s="33"/>
      <c r="B898" s="156"/>
      <c r="C898" s="151"/>
    </row>
    <row r="899" ht="15.75" customHeight="1">
      <c r="A899" s="33"/>
      <c r="B899" s="156"/>
      <c r="C899" s="151"/>
    </row>
    <row r="900" ht="15.75" customHeight="1">
      <c r="A900" s="33"/>
      <c r="B900" s="156"/>
      <c r="C900" s="151"/>
    </row>
    <row r="901" ht="15.75" customHeight="1">
      <c r="A901" s="33"/>
      <c r="B901" s="156"/>
      <c r="C901" s="151"/>
    </row>
    <row r="902" ht="15.75" customHeight="1">
      <c r="A902" s="33"/>
      <c r="B902" s="156"/>
      <c r="C902" s="151"/>
    </row>
    <row r="903" ht="15.75" customHeight="1">
      <c r="A903" s="33"/>
      <c r="B903" s="156"/>
      <c r="C903" s="151"/>
    </row>
    <row r="904" ht="15.75" customHeight="1">
      <c r="A904" s="33"/>
      <c r="B904" s="156"/>
      <c r="C904" s="151"/>
    </row>
    <row r="905" ht="15.75" customHeight="1">
      <c r="A905" s="33"/>
      <c r="B905" s="156"/>
      <c r="C905" s="151"/>
    </row>
    <row r="906" ht="15.75" customHeight="1">
      <c r="A906" s="33"/>
      <c r="B906" s="156"/>
      <c r="C906" s="151"/>
    </row>
    <row r="907" ht="15.75" customHeight="1">
      <c r="A907" s="33"/>
      <c r="B907" s="156"/>
      <c r="C907" s="151"/>
    </row>
    <row r="908" ht="15.75" customHeight="1">
      <c r="A908" s="33"/>
      <c r="B908" s="156"/>
      <c r="C908" s="151"/>
    </row>
    <row r="909" ht="15.75" customHeight="1">
      <c r="A909" s="33"/>
      <c r="B909" s="156"/>
      <c r="C909" s="151"/>
    </row>
    <row r="910" ht="15.75" customHeight="1">
      <c r="A910" s="33"/>
      <c r="B910" s="156"/>
      <c r="C910" s="151"/>
    </row>
    <row r="911" ht="15.75" customHeight="1">
      <c r="A911" s="33"/>
      <c r="B911" s="156"/>
      <c r="C911" s="151"/>
    </row>
    <row r="912" ht="15.75" customHeight="1">
      <c r="A912" s="33"/>
      <c r="B912" s="156"/>
      <c r="C912" s="151"/>
    </row>
    <row r="913" ht="15.75" customHeight="1">
      <c r="A913" s="33"/>
      <c r="B913" s="156"/>
      <c r="C913" s="151"/>
    </row>
    <row r="914" ht="15.75" customHeight="1">
      <c r="A914" s="33"/>
      <c r="B914" s="156"/>
      <c r="C914" s="151"/>
    </row>
    <row r="915" ht="15.75" customHeight="1">
      <c r="A915" s="33"/>
      <c r="B915" s="156"/>
      <c r="C915" s="151"/>
    </row>
    <row r="916" ht="15.75" customHeight="1">
      <c r="A916" s="33"/>
      <c r="B916" s="156"/>
      <c r="C916" s="151"/>
    </row>
    <row r="917" ht="15.75" customHeight="1">
      <c r="A917" s="33"/>
      <c r="B917" s="156"/>
      <c r="C917" s="151"/>
    </row>
    <row r="918" ht="15.75" customHeight="1">
      <c r="A918" s="33"/>
      <c r="B918" s="156"/>
      <c r="C918" s="151"/>
    </row>
    <row r="919" ht="15.75" customHeight="1">
      <c r="A919" s="33"/>
      <c r="B919" s="156"/>
      <c r="C919" s="151"/>
    </row>
    <row r="920" ht="15.75" customHeight="1">
      <c r="A920" s="33"/>
      <c r="B920" s="156"/>
      <c r="C920" s="151"/>
    </row>
    <row r="921" ht="15.75" customHeight="1">
      <c r="A921" s="33"/>
      <c r="B921" s="156"/>
      <c r="C921" s="151"/>
    </row>
    <row r="922" ht="15.75" customHeight="1">
      <c r="A922" s="33"/>
      <c r="B922" s="156"/>
      <c r="C922" s="151"/>
    </row>
    <row r="923" ht="15.75" customHeight="1">
      <c r="A923" s="33"/>
      <c r="B923" s="156"/>
      <c r="C923" s="151"/>
    </row>
    <row r="924" ht="15.75" customHeight="1">
      <c r="A924" s="33"/>
      <c r="B924" s="156"/>
      <c r="C924" s="151"/>
    </row>
    <row r="925" ht="15.75" customHeight="1">
      <c r="A925" s="33"/>
      <c r="B925" s="156"/>
      <c r="C925" s="151"/>
    </row>
    <row r="926" ht="15.75" customHeight="1">
      <c r="A926" s="33"/>
      <c r="B926" s="156"/>
      <c r="C926" s="151"/>
    </row>
    <row r="927" ht="15.75" customHeight="1">
      <c r="A927" s="33"/>
      <c r="B927" s="156"/>
      <c r="C927" s="151"/>
    </row>
    <row r="928" ht="15.75" customHeight="1">
      <c r="A928" s="33"/>
      <c r="B928" s="156"/>
      <c r="C928" s="151"/>
    </row>
    <row r="929" ht="15.75" customHeight="1">
      <c r="A929" s="33"/>
      <c r="B929" s="156"/>
      <c r="C929" s="151"/>
    </row>
    <row r="930" ht="15.75" customHeight="1">
      <c r="A930" s="33"/>
      <c r="B930" s="156"/>
      <c r="C930" s="151"/>
    </row>
    <row r="931" ht="15.75" customHeight="1">
      <c r="A931" s="33"/>
      <c r="B931" s="156"/>
      <c r="C931" s="151"/>
    </row>
    <row r="932" ht="15.75" customHeight="1">
      <c r="A932" s="33"/>
      <c r="B932" s="156"/>
      <c r="C932" s="151"/>
    </row>
    <row r="933" ht="15.75" customHeight="1">
      <c r="A933" s="33"/>
      <c r="B933" s="156"/>
      <c r="C933" s="151"/>
    </row>
    <row r="934" ht="15.75" customHeight="1">
      <c r="A934" s="33"/>
      <c r="B934" s="156"/>
      <c r="C934" s="151"/>
    </row>
    <row r="935" ht="15.75" customHeight="1">
      <c r="A935" s="33"/>
      <c r="B935" s="156"/>
      <c r="C935" s="151"/>
    </row>
    <row r="936" ht="15.75" customHeight="1">
      <c r="A936" s="33"/>
      <c r="B936" s="156"/>
      <c r="C936" s="151"/>
    </row>
    <row r="937" ht="15.75" customHeight="1">
      <c r="A937" s="33"/>
      <c r="B937" s="156"/>
      <c r="C937" s="151"/>
    </row>
    <row r="938" ht="15.75" customHeight="1">
      <c r="A938" s="33"/>
      <c r="B938" s="156"/>
      <c r="C938" s="151"/>
    </row>
    <row r="939" ht="15.75" customHeight="1">
      <c r="A939" s="33"/>
      <c r="B939" s="156"/>
      <c r="C939" s="151"/>
    </row>
    <row r="940" ht="15.75" customHeight="1">
      <c r="A940" s="33"/>
      <c r="B940" s="156"/>
      <c r="C940" s="151"/>
    </row>
    <row r="941" ht="15.75" customHeight="1">
      <c r="A941" s="33"/>
      <c r="B941" s="156"/>
      <c r="C941" s="151"/>
    </row>
    <row r="942" ht="15.75" customHeight="1">
      <c r="A942" s="33"/>
      <c r="B942" s="156"/>
      <c r="C942" s="151"/>
    </row>
    <row r="943" ht="15.75" customHeight="1">
      <c r="A943" s="33"/>
      <c r="B943" s="156"/>
      <c r="C943" s="151"/>
    </row>
    <row r="944" ht="15.75" customHeight="1">
      <c r="A944" s="33"/>
      <c r="B944" s="156"/>
      <c r="C944" s="151"/>
    </row>
    <row r="945" ht="15.75" customHeight="1">
      <c r="A945" s="33"/>
      <c r="B945" s="156"/>
      <c r="C945" s="151"/>
    </row>
    <row r="946" ht="15.75" customHeight="1">
      <c r="A946" s="33"/>
      <c r="B946" s="156"/>
      <c r="C946" s="151"/>
    </row>
    <row r="947" ht="15.75" customHeight="1">
      <c r="A947" s="33"/>
      <c r="B947" s="156"/>
      <c r="C947" s="151"/>
    </row>
    <row r="948" ht="15.75" customHeight="1">
      <c r="A948" s="33"/>
      <c r="B948" s="156"/>
      <c r="C948" s="151"/>
    </row>
    <row r="949" ht="15.75" customHeight="1">
      <c r="A949" s="33"/>
      <c r="B949" s="156"/>
      <c r="C949" s="151"/>
    </row>
    <row r="950" ht="15.75" customHeight="1">
      <c r="A950" s="33"/>
      <c r="B950" s="156"/>
      <c r="C950" s="151"/>
    </row>
    <row r="951" ht="15.75" customHeight="1">
      <c r="A951" s="33"/>
      <c r="B951" s="156"/>
      <c r="C951" s="151"/>
    </row>
    <row r="952" ht="15.75" customHeight="1">
      <c r="A952" s="33"/>
      <c r="B952" s="156"/>
      <c r="C952" s="151"/>
    </row>
    <row r="953" ht="15.75" customHeight="1">
      <c r="A953" s="33"/>
      <c r="B953" s="156"/>
      <c r="C953" s="151"/>
    </row>
    <row r="954" ht="15.75" customHeight="1">
      <c r="A954" s="33"/>
      <c r="B954" s="156"/>
      <c r="C954" s="151"/>
    </row>
    <row r="955" ht="15.75" customHeight="1">
      <c r="A955" s="33"/>
      <c r="B955" s="156"/>
      <c r="C955" s="151"/>
    </row>
    <row r="956" ht="15.75" customHeight="1">
      <c r="A956" s="33"/>
      <c r="B956" s="156"/>
      <c r="C956" s="151"/>
    </row>
    <row r="957" ht="15.75" customHeight="1">
      <c r="A957" s="33"/>
      <c r="B957" s="156"/>
      <c r="C957" s="151"/>
    </row>
    <row r="958" ht="15.75" customHeight="1">
      <c r="A958" s="33"/>
      <c r="B958" s="156"/>
      <c r="C958" s="151"/>
    </row>
    <row r="959" ht="15.75" customHeight="1">
      <c r="A959" s="33"/>
      <c r="B959" s="156"/>
      <c r="C959" s="151"/>
    </row>
    <row r="960" ht="15.75" customHeight="1">
      <c r="A960" s="33"/>
      <c r="B960" s="156"/>
      <c r="C960" s="151"/>
    </row>
    <row r="961" ht="15.75" customHeight="1">
      <c r="A961" s="33"/>
      <c r="B961" s="156"/>
      <c r="C961" s="151"/>
    </row>
    <row r="962" ht="15.75" customHeight="1">
      <c r="A962" s="33"/>
      <c r="B962" s="156"/>
      <c r="C962" s="151"/>
    </row>
    <row r="963" ht="15.75" customHeight="1">
      <c r="A963" s="33"/>
      <c r="B963" s="156"/>
      <c r="C963" s="151"/>
    </row>
    <row r="964" ht="15.75" customHeight="1">
      <c r="A964" s="33"/>
      <c r="B964" s="156"/>
      <c r="C964" s="151"/>
    </row>
    <row r="965" ht="15.75" customHeight="1">
      <c r="A965" s="33"/>
      <c r="B965" s="156"/>
      <c r="C965" s="151"/>
    </row>
    <row r="966" ht="15.75" customHeight="1">
      <c r="A966" s="33"/>
      <c r="B966" s="156"/>
      <c r="C966" s="151"/>
    </row>
    <row r="967" ht="15.75" customHeight="1">
      <c r="A967" s="33"/>
      <c r="B967" s="156"/>
      <c r="C967" s="151"/>
    </row>
    <row r="968" ht="15.75" customHeight="1">
      <c r="A968" s="33"/>
      <c r="B968" s="156"/>
      <c r="C968" s="151"/>
    </row>
    <row r="969" ht="15.75" customHeight="1">
      <c r="A969" s="33"/>
      <c r="B969" s="156"/>
      <c r="C969" s="151"/>
    </row>
    <row r="970" ht="15.75" customHeight="1">
      <c r="A970" s="33"/>
      <c r="B970" s="156"/>
      <c r="C970" s="151"/>
    </row>
    <row r="971" ht="15.75" customHeight="1">
      <c r="A971" s="33"/>
      <c r="B971" s="156"/>
      <c r="C971" s="151"/>
    </row>
    <row r="972" ht="15.75" customHeight="1">
      <c r="A972" s="33"/>
      <c r="B972" s="156"/>
      <c r="C972" s="151"/>
    </row>
    <row r="973" ht="15.75" customHeight="1">
      <c r="A973" s="33"/>
      <c r="B973" s="156"/>
      <c r="C973" s="151"/>
    </row>
    <row r="974" ht="15.75" customHeight="1">
      <c r="A974" s="33"/>
      <c r="B974" s="156"/>
      <c r="C974" s="151"/>
    </row>
    <row r="975" ht="15.75" customHeight="1">
      <c r="A975" s="33"/>
      <c r="B975" s="156"/>
      <c r="C975" s="151"/>
    </row>
    <row r="976" ht="15.75" customHeight="1">
      <c r="A976" s="33"/>
      <c r="B976" s="156"/>
      <c r="C976" s="151"/>
    </row>
    <row r="977" ht="15.75" customHeight="1">
      <c r="A977" s="33"/>
      <c r="B977" s="156"/>
      <c r="C977" s="151"/>
    </row>
    <row r="978" ht="15.75" customHeight="1">
      <c r="A978" s="33"/>
      <c r="B978" s="156"/>
      <c r="C978" s="151"/>
    </row>
    <row r="979" ht="15.75" customHeight="1">
      <c r="A979" s="33"/>
      <c r="B979" s="156"/>
      <c r="C979" s="151"/>
    </row>
    <row r="980" ht="15.75" customHeight="1">
      <c r="A980" s="33"/>
      <c r="B980" s="156"/>
      <c r="C980" s="151"/>
    </row>
    <row r="981" ht="15.75" customHeight="1">
      <c r="A981" s="33"/>
      <c r="B981" s="156"/>
      <c r="C981" s="151"/>
    </row>
    <row r="982" ht="15.75" customHeight="1">
      <c r="A982" s="33"/>
      <c r="B982" s="156"/>
      <c r="C982" s="151"/>
    </row>
    <row r="983" ht="15.75" customHeight="1">
      <c r="A983" s="33"/>
      <c r="B983" s="156"/>
      <c r="C983" s="151"/>
    </row>
    <row r="984" ht="15.75" customHeight="1">
      <c r="A984" s="33"/>
      <c r="B984" s="156"/>
      <c r="C984" s="151"/>
    </row>
    <row r="985" ht="15.75" customHeight="1">
      <c r="A985" s="33"/>
      <c r="B985" s="156"/>
      <c r="C985" s="151"/>
    </row>
    <row r="986" ht="15.75" customHeight="1">
      <c r="A986" s="33"/>
      <c r="B986" s="156"/>
      <c r="C986" s="151"/>
    </row>
    <row r="987" ht="15.75" customHeight="1">
      <c r="A987" s="33"/>
      <c r="B987" s="156"/>
      <c r="C987" s="151"/>
    </row>
    <row r="988" ht="15.75" customHeight="1">
      <c r="A988" s="33"/>
      <c r="B988" s="156"/>
      <c r="C988" s="151"/>
    </row>
    <row r="989" ht="15.75" customHeight="1">
      <c r="A989" s="33"/>
      <c r="B989" s="156"/>
      <c r="C989" s="151"/>
    </row>
    <row r="990" ht="15.75" customHeight="1">
      <c r="A990" s="33"/>
      <c r="B990" s="156"/>
      <c r="C990" s="151"/>
    </row>
    <row r="991" ht="15.75" customHeight="1">
      <c r="A991" s="33"/>
      <c r="B991" s="156"/>
      <c r="C991" s="151"/>
    </row>
    <row r="992" ht="15.75" customHeight="1">
      <c r="A992" s="33"/>
      <c r="B992" s="156"/>
      <c r="C992" s="151"/>
    </row>
    <row r="993" ht="15.75" customHeight="1">
      <c r="A993" s="33"/>
      <c r="B993" s="156"/>
      <c r="C993" s="151"/>
    </row>
    <row r="994" ht="15.75" customHeight="1">
      <c r="A994" s="33"/>
      <c r="B994" s="156"/>
      <c r="C994" s="151"/>
    </row>
    <row r="995" ht="15.75" customHeight="1">
      <c r="A995" s="33"/>
      <c r="B995" s="156"/>
      <c r="C995" s="151"/>
    </row>
    <row r="996" ht="15.75" customHeight="1">
      <c r="A996" s="33"/>
      <c r="B996" s="156"/>
      <c r="C996" s="151"/>
    </row>
    <row r="997" ht="15.75" customHeight="1">
      <c r="A997" s="33"/>
      <c r="B997" s="156"/>
      <c r="C997" s="151"/>
    </row>
    <row r="998" ht="15.75" customHeight="1">
      <c r="A998" s="33"/>
      <c r="B998" s="156"/>
      <c r="C998" s="151"/>
    </row>
    <row r="999" ht="15.75" customHeight="1">
      <c r="A999" s="33"/>
      <c r="B999" s="156"/>
      <c r="C999" s="151"/>
    </row>
    <row r="1000" ht="15.75" customHeight="1">
      <c r="A1000" s="33"/>
      <c r="B1000" s="156"/>
      <c r="C1000" s="151"/>
    </row>
    <row r="1001" ht="15.75" customHeight="1">
      <c r="A1001" s="33"/>
      <c r="B1001" s="156"/>
      <c r="C1001" s="151"/>
    </row>
    <row r="1002" ht="15.75" customHeight="1">
      <c r="A1002" s="33"/>
      <c r="B1002" s="156"/>
      <c r="C1002" s="151"/>
    </row>
    <row r="1003" ht="15.75" customHeight="1">
      <c r="A1003" s="33"/>
      <c r="B1003" s="156"/>
      <c r="C1003" s="151"/>
    </row>
    <row r="1004" ht="15.75" customHeight="1">
      <c r="A1004" s="33"/>
      <c r="B1004" s="156"/>
      <c r="C1004" s="151"/>
    </row>
    <row r="1005" ht="15.75" customHeight="1">
      <c r="A1005" s="33"/>
      <c r="B1005" s="156"/>
      <c r="C1005" s="151"/>
    </row>
    <row r="1006" ht="15.75" customHeight="1">
      <c r="A1006" s="33"/>
      <c r="B1006" s="156"/>
      <c r="C1006" s="151"/>
    </row>
    <row r="1007" ht="15.75" customHeight="1">
      <c r="A1007" s="33"/>
      <c r="B1007" s="156"/>
      <c r="C1007" s="151"/>
    </row>
    <row r="1008" ht="15.75" customHeight="1">
      <c r="A1008" s="33"/>
      <c r="B1008" s="156"/>
      <c r="C1008" s="151"/>
    </row>
    <row r="1009" ht="15.75" customHeight="1">
      <c r="A1009" s="33"/>
      <c r="B1009" s="156"/>
      <c r="C1009" s="151"/>
    </row>
    <row r="1010" ht="15.75" customHeight="1">
      <c r="A1010" s="33"/>
      <c r="B1010" s="156"/>
      <c r="C1010" s="151"/>
    </row>
    <row r="1011" ht="15.75" customHeight="1">
      <c r="A1011" s="33"/>
      <c r="B1011" s="156"/>
      <c r="C1011" s="151"/>
    </row>
    <row r="1012" ht="15.75" customHeight="1">
      <c r="A1012" s="33"/>
      <c r="B1012" s="156"/>
      <c r="C1012" s="151"/>
    </row>
    <row r="1013" ht="15.75" customHeight="1">
      <c r="A1013" s="33"/>
      <c r="B1013" s="156"/>
      <c r="C1013" s="151"/>
    </row>
    <row r="1014" ht="15.75" customHeight="1">
      <c r="A1014" s="33"/>
      <c r="B1014" s="156"/>
      <c r="C1014" s="151"/>
    </row>
    <row r="1015" ht="15.75" customHeight="1">
      <c r="A1015" s="33"/>
      <c r="B1015" s="156"/>
      <c r="C1015" s="151"/>
    </row>
    <row r="1016" ht="15.75" customHeight="1">
      <c r="A1016" s="33"/>
      <c r="B1016" s="156"/>
      <c r="C1016" s="151"/>
    </row>
    <row r="1017" ht="15.75" customHeight="1">
      <c r="A1017" s="33"/>
      <c r="B1017" s="156"/>
      <c r="C1017" s="151"/>
    </row>
    <row r="1018" ht="15.75" customHeight="1">
      <c r="A1018" s="33"/>
      <c r="B1018" s="156"/>
      <c r="C1018" s="151"/>
    </row>
    <row r="1019" ht="15.75" customHeight="1">
      <c r="A1019" s="33"/>
      <c r="B1019" s="156"/>
      <c r="C1019" s="151"/>
    </row>
    <row r="1020" ht="15.75" customHeight="1">
      <c r="A1020" s="33"/>
      <c r="B1020" s="156"/>
      <c r="C1020" s="151"/>
    </row>
    <row r="1021" ht="15.75" customHeight="1">
      <c r="A1021" s="33"/>
      <c r="B1021" s="156"/>
      <c r="C1021" s="151"/>
    </row>
    <row r="1022" ht="15.75" customHeight="1">
      <c r="A1022" s="33"/>
      <c r="B1022" s="156"/>
      <c r="C1022" s="151"/>
    </row>
    <row r="1023" ht="15.75" customHeight="1">
      <c r="A1023" s="33"/>
      <c r="B1023" s="156"/>
      <c r="C1023" s="151"/>
    </row>
    <row r="1024" ht="15.75" customHeight="1">
      <c r="A1024" s="33"/>
      <c r="B1024" s="156"/>
      <c r="C1024" s="151"/>
    </row>
    <row r="1025" ht="15.75" customHeight="1">
      <c r="A1025" s="33"/>
      <c r="B1025" s="156"/>
      <c r="C1025" s="151"/>
    </row>
    <row r="1026" ht="15.75" customHeight="1">
      <c r="A1026" s="33"/>
      <c r="B1026" s="156"/>
      <c r="C1026" s="151"/>
    </row>
    <row r="1027" ht="15.75" customHeight="1">
      <c r="A1027" s="33"/>
      <c r="B1027" s="156"/>
      <c r="C1027" s="151"/>
    </row>
    <row r="1028" ht="15.75" customHeight="1">
      <c r="A1028" s="33"/>
      <c r="B1028" s="156"/>
      <c r="C1028" s="151"/>
    </row>
    <row r="1029" ht="15.75" customHeight="1">
      <c r="A1029" s="33"/>
      <c r="B1029" s="156"/>
      <c r="C1029" s="151"/>
    </row>
    <row r="1030" ht="15.75" customHeight="1">
      <c r="A1030" s="33"/>
      <c r="B1030" s="156"/>
      <c r="C1030" s="151"/>
    </row>
    <row r="1031" ht="15.75" customHeight="1">
      <c r="A1031" s="33"/>
      <c r="B1031" s="156"/>
      <c r="C1031" s="151"/>
    </row>
    <row r="1032" ht="15.75" customHeight="1">
      <c r="A1032" s="33"/>
      <c r="B1032" s="156"/>
      <c r="C1032" s="151"/>
    </row>
    <row r="1033" ht="15.75" customHeight="1">
      <c r="A1033" s="33"/>
      <c r="B1033" s="156"/>
      <c r="C1033" s="151"/>
    </row>
    <row r="1034" ht="15.75" customHeight="1">
      <c r="A1034" s="33"/>
      <c r="B1034" s="156"/>
      <c r="C1034" s="151"/>
    </row>
    <row r="1035" ht="15.75" customHeight="1">
      <c r="A1035" s="33"/>
      <c r="B1035" s="156"/>
      <c r="C1035" s="151"/>
    </row>
    <row r="1036" ht="15.75" customHeight="1">
      <c r="A1036" s="33"/>
      <c r="B1036" s="156"/>
      <c r="C1036" s="151"/>
    </row>
    <row r="1037" ht="15.75" customHeight="1">
      <c r="A1037" s="33"/>
      <c r="B1037" s="156"/>
      <c r="C1037" s="151"/>
    </row>
    <row r="1038" ht="15.75" customHeight="1">
      <c r="A1038" s="33"/>
      <c r="B1038" s="156"/>
      <c r="C1038" s="151"/>
    </row>
    <row r="1039" ht="15.75" customHeight="1">
      <c r="A1039" s="33"/>
      <c r="B1039" s="156"/>
      <c r="C1039" s="151"/>
    </row>
    <row r="1040" ht="15.75" customHeight="1">
      <c r="A1040" s="33"/>
      <c r="B1040" s="156"/>
      <c r="C1040" s="151"/>
    </row>
    <row r="1041" ht="15.75" customHeight="1">
      <c r="A1041" s="33"/>
      <c r="B1041" s="156"/>
      <c r="C1041" s="151"/>
    </row>
    <row r="1042" ht="15.75" customHeight="1">
      <c r="A1042" s="33"/>
      <c r="B1042" s="156"/>
      <c r="C1042" s="151"/>
    </row>
    <row r="1043" ht="15.75" customHeight="1">
      <c r="A1043" s="33"/>
      <c r="B1043" s="156"/>
      <c r="C1043" s="151"/>
    </row>
    <row r="1044" ht="15.75" customHeight="1">
      <c r="A1044" s="33"/>
      <c r="B1044" s="156"/>
      <c r="C1044" s="151"/>
    </row>
    <row r="1045" ht="15.75" customHeight="1">
      <c r="A1045" s="33"/>
      <c r="B1045" s="156"/>
      <c r="C1045" s="151"/>
    </row>
    <row r="1046" ht="15.75" customHeight="1">
      <c r="A1046" s="33"/>
      <c r="B1046" s="156"/>
      <c r="C1046" s="151"/>
    </row>
    <row r="1047" ht="15.75" customHeight="1">
      <c r="A1047" s="33"/>
      <c r="B1047" s="156"/>
      <c r="C1047" s="151"/>
    </row>
    <row r="1048" ht="15.75" customHeight="1">
      <c r="A1048" s="33"/>
      <c r="B1048" s="156"/>
      <c r="C1048" s="151"/>
    </row>
    <row r="1049" ht="15.75" customHeight="1">
      <c r="A1049" s="33"/>
      <c r="B1049" s="156"/>
      <c r="C1049" s="151"/>
    </row>
    <row r="1050" ht="15.75" customHeight="1">
      <c r="A1050" s="33"/>
      <c r="B1050" s="156"/>
      <c r="C1050" s="151"/>
    </row>
    <row r="1051" ht="15.75" customHeight="1">
      <c r="A1051" s="33"/>
      <c r="B1051" s="156"/>
      <c r="C1051" s="151"/>
    </row>
    <row r="1052" ht="15.75" customHeight="1">
      <c r="A1052" s="33"/>
      <c r="B1052" s="156"/>
      <c r="C1052" s="151"/>
    </row>
    <row r="1053" ht="15.75" customHeight="1">
      <c r="A1053" s="33"/>
      <c r="B1053" s="156"/>
      <c r="C1053" s="151"/>
    </row>
    <row r="1054" ht="15.75" customHeight="1">
      <c r="A1054" s="33"/>
      <c r="B1054" s="156"/>
      <c r="C1054" s="151"/>
    </row>
    <row r="1055" ht="15.75" customHeight="1">
      <c r="A1055" s="33"/>
      <c r="B1055" s="156"/>
      <c r="C1055" s="151"/>
    </row>
    <row r="1056" ht="15.75" customHeight="1">
      <c r="A1056" s="33"/>
      <c r="B1056" s="156"/>
      <c r="C1056" s="151"/>
    </row>
    <row r="1057" ht="15.75" customHeight="1">
      <c r="A1057" s="33"/>
      <c r="B1057" s="156"/>
      <c r="C1057" s="151"/>
    </row>
    <row r="1058" ht="15.75" customHeight="1">
      <c r="A1058" s="33"/>
      <c r="B1058" s="156"/>
      <c r="C1058" s="151"/>
    </row>
    <row r="1059" ht="15.75" customHeight="1">
      <c r="A1059" s="33"/>
      <c r="B1059" s="156"/>
      <c r="C1059" s="151"/>
    </row>
    <row r="1060" ht="15.75" customHeight="1">
      <c r="A1060" s="33"/>
      <c r="B1060" s="156"/>
      <c r="C1060" s="151"/>
    </row>
    <row r="1061" ht="15.75" customHeight="1">
      <c r="A1061" s="33"/>
      <c r="B1061" s="156"/>
      <c r="C1061" s="151"/>
    </row>
    <row r="1062" ht="15.75" customHeight="1">
      <c r="A1062" s="33"/>
      <c r="B1062" s="156"/>
      <c r="C1062" s="151"/>
    </row>
    <row r="1063" ht="15.75" customHeight="1">
      <c r="A1063" s="33"/>
      <c r="B1063" s="156"/>
      <c r="C1063" s="151"/>
    </row>
    <row r="1064" ht="15.75" customHeight="1">
      <c r="A1064" s="33"/>
      <c r="B1064" s="156"/>
      <c r="C1064" s="151"/>
    </row>
    <row r="1065" ht="15.75" customHeight="1">
      <c r="A1065" s="33"/>
      <c r="B1065" s="156"/>
      <c r="C1065" s="151"/>
    </row>
    <row r="1066" ht="15.75" customHeight="1">
      <c r="A1066" s="33"/>
      <c r="B1066" s="156"/>
      <c r="C1066" s="151"/>
    </row>
    <row r="1067" ht="15.75" customHeight="1">
      <c r="A1067" s="33"/>
      <c r="B1067" s="156"/>
      <c r="C1067" s="151"/>
    </row>
    <row r="1068" ht="15.75" customHeight="1">
      <c r="A1068" s="33"/>
      <c r="B1068" s="156"/>
      <c r="C1068" s="151"/>
    </row>
    <row r="1069" ht="15.75" customHeight="1">
      <c r="A1069" s="33"/>
      <c r="B1069" s="156"/>
      <c r="C1069" s="151"/>
    </row>
    <row r="1070" ht="15.75" customHeight="1">
      <c r="A1070" s="33"/>
      <c r="B1070" s="156"/>
      <c r="C1070" s="151"/>
    </row>
    <row r="1071" ht="15.75" customHeight="1">
      <c r="A1071" s="33"/>
      <c r="B1071" s="156"/>
      <c r="C1071" s="151"/>
    </row>
    <row r="1072" ht="15.75" customHeight="1">
      <c r="A1072" s="33"/>
      <c r="B1072" s="156"/>
      <c r="C1072" s="151"/>
    </row>
    <row r="1073" ht="15.75" customHeight="1">
      <c r="A1073" s="33"/>
      <c r="B1073" s="156"/>
      <c r="C1073" s="151"/>
    </row>
    <row r="1074" ht="15.75" customHeight="1">
      <c r="A1074" s="33"/>
      <c r="B1074" s="156"/>
      <c r="C1074" s="15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3" max="3" width="64.25"/>
  </cols>
  <sheetData>
    <row r="1">
      <c r="A1" s="37" t="s">
        <v>2795</v>
      </c>
      <c r="B1" s="37" t="s">
        <v>4166</v>
      </c>
      <c r="C1" s="158" t="s">
        <v>2526</v>
      </c>
    </row>
    <row r="2">
      <c r="A2" s="37" t="s">
        <v>4167</v>
      </c>
      <c r="B2" s="37">
        <v>0.0</v>
      </c>
      <c r="C2" s="151"/>
    </row>
    <row r="3">
      <c r="A3" s="37" t="s">
        <v>801</v>
      </c>
      <c r="B3" s="37">
        <v>17.0</v>
      </c>
      <c r="C3" s="158" t="s">
        <v>4168</v>
      </c>
    </row>
    <row r="4">
      <c r="A4" s="37" t="s">
        <v>4169</v>
      </c>
      <c r="B4" s="37">
        <v>25.0</v>
      </c>
      <c r="C4" s="158" t="s">
        <v>4170</v>
      </c>
    </row>
    <row r="5">
      <c r="A5" s="37" t="s">
        <v>370</v>
      </c>
      <c r="B5" s="37">
        <v>25.0</v>
      </c>
      <c r="C5" s="158" t="s">
        <v>4171</v>
      </c>
    </row>
    <row r="6">
      <c r="A6" s="37" t="s">
        <v>4172</v>
      </c>
      <c r="B6" s="37">
        <v>27.0</v>
      </c>
      <c r="C6" s="158" t="s">
        <v>4173</v>
      </c>
    </row>
    <row r="7">
      <c r="A7" s="37" t="s">
        <v>4174</v>
      </c>
      <c r="B7" s="37">
        <v>28.0</v>
      </c>
      <c r="C7" s="158" t="s">
        <v>4175</v>
      </c>
    </row>
    <row r="8">
      <c r="A8" s="37" t="s">
        <v>4176</v>
      </c>
      <c r="B8" s="37">
        <v>29.0</v>
      </c>
      <c r="C8" s="158" t="s">
        <v>4177</v>
      </c>
    </row>
    <row r="9">
      <c r="A9" s="37" t="s">
        <v>4178</v>
      </c>
      <c r="B9" s="37">
        <v>30.0</v>
      </c>
      <c r="C9" s="158" t="s">
        <v>4179</v>
      </c>
    </row>
    <row r="10">
      <c r="A10" s="37" t="s">
        <v>149</v>
      </c>
      <c r="B10" s="37">
        <v>32.0</v>
      </c>
      <c r="C10" s="158" t="s">
        <v>4180</v>
      </c>
    </row>
    <row r="11">
      <c r="A11" s="37" t="s">
        <v>4181</v>
      </c>
      <c r="B11" s="37">
        <v>37.0</v>
      </c>
      <c r="C11" s="158" t="s">
        <v>4182</v>
      </c>
    </row>
    <row r="12">
      <c r="A12" s="37" t="s">
        <v>4183</v>
      </c>
      <c r="B12" s="37">
        <v>37.0</v>
      </c>
      <c r="C12" s="158" t="s">
        <v>4184</v>
      </c>
    </row>
    <row r="13">
      <c r="A13" s="37" t="s">
        <v>4185</v>
      </c>
      <c r="B13" s="37">
        <v>37.0</v>
      </c>
      <c r="C13" s="158" t="s">
        <v>4184</v>
      </c>
    </row>
    <row r="14">
      <c r="A14" s="37" t="s">
        <v>690</v>
      </c>
      <c r="B14" s="37">
        <v>38.0</v>
      </c>
      <c r="C14" s="158" t="s">
        <v>4186</v>
      </c>
    </row>
    <row r="15">
      <c r="A15" s="37" t="s">
        <v>87</v>
      </c>
      <c r="B15" s="37">
        <v>40.0</v>
      </c>
      <c r="C15" s="158" t="s">
        <v>4187</v>
      </c>
    </row>
    <row r="16">
      <c r="A16" s="37" t="s">
        <v>4188</v>
      </c>
      <c r="B16" s="37">
        <v>40.0</v>
      </c>
      <c r="C16" s="158" t="s">
        <v>4189</v>
      </c>
    </row>
    <row r="17">
      <c r="A17" s="37" t="s">
        <v>246</v>
      </c>
      <c r="B17" s="37">
        <v>41.0</v>
      </c>
      <c r="C17" s="158" t="s">
        <v>4190</v>
      </c>
    </row>
    <row r="18">
      <c r="A18" s="37" t="s">
        <v>878</v>
      </c>
      <c r="B18" s="37">
        <v>42.0</v>
      </c>
      <c r="C18" s="158" t="s">
        <v>4191</v>
      </c>
    </row>
    <row r="19">
      <c r="A19" s="37" t="s">
        <v>889</v>
      </c>
      <c r="B19" s="37">
        <v>42.0</v>
      </c>
      <c r="C19" s="158" t="s">
        <v>4192</v>
      </c>
    </row>
    <row r="20">
      <c r="A20" s="37" t="s">
        <v>4193</v>
      </c>
      <c r="B20" s="37">
        <v>43.0</v>
      </c>
      <c r="C20" s="158" t="s">
        <v>4180</v>
      </c>
    </row>
    <row r="21">
      <c r="A21" s="37" t="s">
        <v>4194</v>
      </c>
      <c r="B21" s="37">
        <v>45.0</v>
      </c>
      <c r="C21" s="158" t="s">
        <v>4195</v>
      </c>
    </row>
    <row r="22">
      <c r="A22" s="37" t="s">
        <v>907</v>
      </c>
      <c r="B22" s="37">
        <v>45.0</v>
      </c>
      <c r="C22" s="158" t="s">
        <v>4196</v>
      </c>
    </row>
    <row r="23">
      <c r="A23" s="37" t="s">
        <v>4197</v>
      </c>
      <c r="B23" s="37">
        <v>45.0</v>
      </c>
      <c r="C23" s="158" t="s">
        <v>4198</v>
      </c>
    </row>
    <row r="24">
      <c r="A24" s="37" t="s">
        <v>4199</v>
      </c>
      <c r="B24" s="37">
        <v>46.0</v>
      </c>
      <c r="C24" s="158" t="s">
        <v>4200</v>
      </c>
    </row>
    <row r="25">
      <c r="A25" s="37" t="s">
        <v>4201</v>
      </c>
      <c r="B25" s="37">
        <v>46.0</v>
      </c>
      <c r="C25" s="158" t="s">
        <v>4202</v>
      </c>
    </row>
    <row r="26">
      <c r="A26" s="37" t="s">
        <v>4203</v>
      </c>
      <c r="B26" s="37">
        <v>46.0</v>
      </c>
      <c r="C26" s="158" t="s">
        <v>4202</v>
      </c>
    </row>
    <row r="27">
      <c r="A27" s="37" t="s">
        <v>4204</v>
      </c>
      <c r="B27" s="37">
        <v>46.0</v>
      </c>
      <c r="C27" s="158" t="s">
        <v>4205</v>
      </c>
    </row>
    <row r="28">
      <c r="A28" s="37" t="s">
        <v>1335</v>
      </c>
      <c r="B28" s="37">
        <v>49.0</v>
      </c>
      <c r="C28" s="158" t="s">
        <v>4206</v>
      </c>
    </row>
    <row r="29">
      <c r="A29" s="37" t="s">
        <v>1213</v>
      </c>
      <c r="B29" s="37">
        <v>50.0</v>
      </c>
      <c r="C29" s="158" t="s">
        <v>4207</v>
      </c>
    </row>
    <row r="30">
      <c r="A30" s="37" t="s">
        <v>4208</v>
      </c>
      <c r="B30" s="37">
        <v>50.0</v>
      </c>
      <c r="C30" s="158" t="s">
        <v>4209</v>
      </c>
    </row>
    <row r="31">
      <c r="A31" s="37" t="s">
        <v>4210</v>
      </c>
      <c r="B31" s="37">
        <v>50.0</v>
      </c>
      <c r="C31" s="158" t="s">
        <v>4202</v>
      </c>
    </row>
    <row r="32">
      <c r="A32" s="37" t="s">
        <v>1281</v>
      </c>
      <c r="B32" s="37">
        <v>50.0</v>
      </c>
      <c r="C32" s="158" t="s">
        <v>4202</v>
      </c>
    </row>
    <row r="33">
      <c r="A33" s="37" t="s">
        <v>4211</v>
      </c>
      <c r="B33" s="37">
        <v>51.0</v>
      </c>
      <c r="C33" s="158" t="s">
        <v>4202</v>
      </c>
    </row>
    <row r="34">
      <c r="A34" s="37" t="s">
        <v>4212</v>
      </c>
      <c r="B34" s="37">
        <v>51.0</v>
      </c>
      <c r="C34" s="158" t="s">
        <v>4213</v>
      </c>
    </row>
    <row r="35">
      <c r="A35" s="37" t="s">
        <v>4214</v>
      </c>
      <c r="B35" s="37">
        <v>52.0</v>
      </c>
      <c r="C35" s="158" t="s">
        <v>4215</v>
      </c>
    </row>
    <row r="36">
      <c r="A36" s="37" t="s">
        <v>4216</v>
      </c>
      <c r="B36" s="37">
        <v>52.0</v>
      </c>
      <c r="C36" s="158" t="s">
        <v>4217</v>
      </c>
    </row>
    <row r="37">
      <c r="A37" s="37" t="s">
        <v>4218</v>
      </c>
      <c r="B37" s="37">
        <v>52.0</v>
      </c>
      <c r="C37" s="158" t="s">
        <v>4217</v>
      </c>
    </row>
    <row r="38">
      <c r="A38" s="37" t="s">
        <v>4219</v>
      </c>
      <c r="B38" s="37">
        <v>53.0</v>
      </c>
      <c r="C38" s="158" t="s">
        <v>4220</v>
      </c>
    </row>
    <row r="39">
      <c r="A39" s="37" t="s">
        <v>4221</v>
      </c>
      <c r="B39" s="37">
        <v>53.0</v>
      </c>
      <c r="C39" s="158" t="s">
        <v>4220</v>
      </c>
    </row>
    <row r="40">
      <c r="A40" s="37" t="s">
        <v>4222</v>
      </c>
      <c r="B40" s="37">
        <v>53.0</v>
      </c>
      <c r="C40" s="158" t="s">
        <v>4223</v>
      </c>
    </row>
    <row r="41">
      <c r="A41" s="37" t="s">
        <v>1292</v>
      </c>
      <c r="B41" s="37">
        <v>53.0</v>
      </c>
      <c r="C41" s="158" t="s">
        <v>4224</v>
      </c>
    </row>
    <row r="42">
      <c r="A42" s="37" t="s">
        <v>4225</v>
      </c>
      <c r="B42" s="37">
        <v>54.0</v>
      </c>
      <c r="C42" s="158" t="s">
        <v>4226</v>
      </c>
    </row>
    <row r="43">
      <c r="A43" s="37" t="s">
        <v>659</v>
      </c>
      <c r="B43" s="37">
        <v>55.0</v>
      </c>
      <c r="C43" s="158" t="s">
        <v>4227</v>
      </c>
    </row>
    <row r="44">
      <c r="A44" s="37" t="s">
        <v>4228</v>
      </c>
      <c r="B44" s="37">
        <v>55.0</v>
      </c>
      <c r="C44" s="158" t="s">
        <v>4229</v>
      </c>
    </row>
    <row r="45">
      <c r="A45" s="37" t="s">
        <v>1254</v>
      </c>
      <c r="B45" s="37">
        <v>55.0</v>
      </c>
      <c r="C45" s="158" t="s">
        <v>4230</v>
      </c>
    </row>
    <row r="46">
      <c r="A46" s="37" t="s">
        <v>4231</v>
      </c>
      <c r="B46" s="37">
        <v>55.0</v>
      </c>
      <c r="C46" s="158" t="s">
        <v>4230</v>
      </c>
    </row>
    <row r="47">
      <c r="A47" s="37" t="s">
        <v>1030</v>
      </c>
      <c r="B47" s="37">
        <v>60.0</v>
      </c>
      <c r="C47" s="158" t="s">
        <v>4232</v>
      </c>
    </row>
    <row r="48">
      <c r="A48" s="37" t="s">
        <v>930</v>
      </c>
      <c r="B48" s="37">
        <v>60.0</v>
      </c>
      <c r="C48" s="158" t="s">
        <v>4230</v>
      </c>
    </row>
    <row r="49">
      <c r="A49" s="37" t="s">
        <v>1298</v>
      </c>
      <c r="B49" s="37">
        <v>61.0</v>
      </c>
      <c r="C49" s="158" t="s">
        <v>4233</v>
      </c>
    </row>
    <row r="50">
      <c r="A50" s="37" t="s">
        <v>4234</v>
      </c>
      <c r="B50" s="37">
        <v>62.0</v>
      </c>
      <c r="C50" s="158" t="s">
        <v>4235</v>
      </c>
    </row>
    <row r="51">
      <c r="A51" s="37" t="s">
        <v>261</v>
      </c>
      <c r="C51" s="151"/>
    </row>
    <row r="52">
      <c r="A52" s="37" t="s">
        <v>4236</v>
      </c>
      <c r="B52" s="37">
        <v>63.0</v>
      </c>
      <c r="C52" s="158" t="s">
        <v>4237</v>
      </c>
    </row>
    <row r="53">
      <c r="A53" s="37" t="s">
        <v>1286</v>
      </c>
      <c r="B53" s="37">
        <v>64.0</v>
      </c>
      <c r="C53" s="158" t="s">
        <v>4238</v>
      </c>
    </row>
    <row r="54">
      <c r="A54" s="37" t="s">
        <v>355</v>
      </c>
      <c r="B54" s="37">
        <v>66.0</v>
      </c>
      <c r="C54" s="158" t="s">
        <v>4239</v>
      </c>
    </row>
    <row r="55">
      <c r="A55" s="37" t="s">
        <v>648</v>
      </c>
      <c r="B55" s="37">
        <v>66.0</v>
      </c>
      <c r="C55" s="158" t="s">
        <v>4240</v>
      </c>
    </row>
    <row r="56">
      <c r="A56" s="37" t="s">
        <v>4241</v>
      </c>
      <c r="B56" s="37">
        <v>67.0</v>
      </c>
      <c r="C56" s="158" t="s">
        <v>4242</v>
      </c>
    </row>
    <row r="57">
      <c r="A57" s="37" t="s">
        <v>4243</v>
      </c>
      <c r="B57" s="37">
        <v>68.0</v>
      </c>
      <c r="C57" s="158" t="s">
        <v>4244</v>
      </c>
    </row>
    <row r="58">
      <c r="A58" s="37" t="s">
        <v>4245</v>
      </c>
      <c r="B58" s="37">
        <v>68.0</v>
      </c>
      <c r="C58" s="158" t="s">
        <v>4246</v>
      </c>
    </row>
    <row r="59">
      <c r="A59" s="37" t="s">
        <v>4247</v>
      </c>
      <c r="B59" s="37">
        <v>70.0</v>
      </c>
      <c r="C59" s="158" t="s">
        <v>4248</v>
      </c>
    </row>
    <row r="60">
      <c r="A60" s="37" t="s">
        <v>4249</v>
      </c>
      <c r="B60" s="37">
        <v>70.0</v>
      </c>
      <c r="C60" s="158" t="s">
        <v>4250</v>
      </c>
    </row>
    <row r="61">
      <c r="A61" s="37" t="s">
        <v>728</v>
      </c>
      <c r="B61" s="37">
        <v>70.0</v>
      </c>
      <c r="C61" s="158" t="s">
        <v>4251</v>
      </c>
    </row>
    <row r="62">
      <c r="A62" s="37" t="s">
        <v>4252</v>
      </c>
      <c r="B62" s="37">
        <v>71.0</v>
      </c>
      <c r="C62" s="158" t="s">
        <v>4253</v>
      </c>
    </row>
    <row r="63">
      <c r="A63" s="37" t="s">
        <v>4254</v>
      </c>
      <c r="B63" s="37">
        <v>71.0</v>
      </c>
      <c r="C63" s="158" t="s">
        <v>4255</v>
      </c>
    </row>
    <row r="64">
      <c r="A64" s="37" t="s">
        <v>4256</v>
      </c>
      <c r="B64" s="37">
        <v>72.0</v>
      </c>
      <c r="C64" s="158" t="s">
        <v>4257</v>
      </c>
    </row>
    <row r="65">
      <c r="A65" s="37" t="s">
        <v>4258</v>
      </c>
      <c r="B65" s="37">
        <v>72.0</v>
      </c>
      <c r="C65" s="158" t="s">
        <v>4259</v>
      </c>
    </row>
    <row r="66">
      <c r="A66" s="37" t="s">
        <v>869</v>
      </c>
      <c r="B66" s="37">
        <v>72.0</v>
      </c>
      <c r="C66" s="158" t="s">
        <v>4260</v>
      </c>
    </row>
    <row r="67">
      <c r="A67" s="37" t="s">
        <v>338</v>
      </c>
      <c r="C67" s="151"/>
    </row>
    <row r="68">
      <c r="A68" s="37" t="s">
        <v>4261</v>
      </c>
      <c r="B68" s="37">
        <v>72.0</v>
      </c>
      <c r="C68" s="158" t="s">
        <v>4262</v>
      </c>
    </row>
    <row r="69">
      <c r="A69" s="37" t="s">
        <v>4263</v>
      </c>
      <c r="B69" s="37">
        <v>73.0</v>
      </c>
      <c r="C69" s="158" t="s">
        <v>4264</v>
      </c>
    </row>
    <row r="70">
      <c r="A70" s="37" t="s">
        <v>4265</v>
      </c>
      <c r="B70" s="37">
        <v>73.0</v>
      </c>
      <c r="C70" s="158" t="s">
        <v>4266</v>
      </c>
    </row>
    <row r="71">
      <c r="A71" s="37" t="s">
        <v>31</v>
      </c>
      <c r="B71" s="37">
        <v>73.0</v>
      </c>
      <c r="C71" s="167" t="s">
        <v>4267</v>
      </c>
    </row>
    <row r="72">
      <c r="A72" s="37" t="s">
        <v>4268</v>
      </c>
      <c r="C72" s="151"/>
    </row>
    <row r="73">
      <c r="A73" s="37" t="s">
        <v>4269</v>
      </c>
      <c r="B73" s="37">
        <v>73.0</v>
      </c>
      <c r="C73" s="158" t="s">
        <v>4270</v>
      </c>
    </row>
    <row r="74">
      <c r="A74" s="37" t="s">
        <v>399</v>
      </c>
      <c r="B74" s="37">
        <v>74.0</v>
      </c>
      <c r="C74" s="158" t="s">
        <v>4271</v>
      </c>
    </row>
    <row r="75">
      <c r="A75" s="37" t="s">
        <v>4272</v>
      </c>
      <c r="B75" s="37">
        <v>74.0</v>
      </c>
      <c r="C75" s="158" t="s">
        <v>4273</v>
      </c>
    </row>
    <row r="76">
      <c r="A76" s="37" t="s">
        <v>1047</v>
      </c>
      <c r="B76" s="37">
        <v>74.0</v>
      </c>
      <c r="C76" s="158" t="s">
        <v>4274</v>
      </c>
    </row>
    <row r="77">
      <c r="A77" s="37" t="s">
        <v>4275</v>
      </c>
      <c r="B77" s="37">
        <v>74.0</v>
      </c>
      <c r="C77" s="158" t="s">
        <v>4276</v>
      </c>
    </row>
    <row r="78">
      <c r="A78" s="37" t="s">
        <v>4277</v>
      </c>
      <c r="B78" s="37">
        <v>75.0</v>
      </c>
      <c r="C78" s="158" t="s">
        <v>4278</v>
      </c>
    </row>
    <row r="79">
      <c r="A79" s="37" t="s">
        <v>4279</v>
      </c>
      <c r="B79" s="37">
        <v>77.0</v>
      </c>
      <c r="C79" s="158" t="s">
        <v>4280</v>
      </c>
    </row>
    <row r="80">
      <c r="A80" s="37" t="s">
        <v>4281</v>
      </c>
      <c r="B80" s="37">
        <v>77.0</v>
      </c>
      <c r="C80" s="158" t="s">
        <v>4282</v>
      </c>
    </row>
    <row r="81">
      <c r="A81" s="37" t="s">
        <v>535</v>
      </c>
      <c r="B81" s="37">
        <v>77.0</v>
      </c>
      <c r="C81" s="158" t="s">
        <v>4283</v>
      </c>
    </row>
    <row r="82">
      <c r="A82" s="37" t="s">
        <v>666</v>
      </c>
      <c r="B82" s="37">
        <v>77.0</v>
      </c>
      <c r="C82" s="158" t="s">
        <v>4284</v>
      </c>
    </row>
    <row r="83">
      <c r="A83" s="37" t="s">
        <v>4285</v>
      </c>
      <c r="B83" s="37">
        <v>78.0</v>
      </c>
      <c r="C83" s="158" t="s">
        <v>4286</v>
      </c>
    </row>
    <row r="84">
      <c r="A84" s="37" t="s">
        <v>1016</v>
      </c>
      <c r="B84" s="37">
        <v>78.0</v>
      </c>
      <c r="C84" s="158" t="s">
        <v>4287</v>
      </c>
    </row>
    <row r="85">
      <c r="A85" s="37" t="s">
        <v>4288</v>
      </c>
      <c r="B85" s="37">
        <v>78.0</v>
      </c>
      <c r="C85" s="158" t="s">
        <v>4289</v>
      </c>
    </row>
    <row r="86">
      <c r="A86" s="37" t="s">
        <v>4290</v>
      </c>
      <c r="B86" s="37">
        <v>78.0</v>
      </c>
      <c r="C86" s="158" t="s">
        <v>4291</v>
      </c>
    </row>
    <row r="87">
      <c r="A87" s="37" t="s">
        <v>4292</v>
      </c>
      <c r="C87" s="151"/>
    </row>
    <row r="88">
      <c r="A88" s="37" t="s">
        <v>4293</v>
      </c>
      <c r="B88" s="37">
        <v>78.0</v>
      </c>
      <c r="C88" s="151"/>
    </row>
    <row r="89">
      <c r="A89" s="37" t="s">
        <v>792</v>
      </c>
      <c r="B89" s="37">
        <v>79.0</v>
      </c>
      <c r="C89" s="158" t="s">
        <v>4294</v>
      </c>
    </row>
    <row r="90">
      <c r="A90" s="37" t="s">
        <v>4295</v>
      </c>
      <c r="B90" s="37">
        <v>80.0</v>
      </c>
      <c r="C90" s="158" t="s">
        <v>4296</v>
      </c>
    </row>
    <row r="91">
      <c r="A91" s="37" t="s">
        <v>4297</v>
      </c>
      <c r="B91" s="37">
        <v>80.0</v>
      </c>
      <c r="C91" s="158" t="s">
        <v>4298</v>
      </c>
    </row>
    <row r="92">
      <c r="A92" s="37" t="s">
        <v>815</v>
      </c>
      <c r="B92" s="37">
        <v>80.0</v>
      </c>
      <c r="C92" s="158" t="s">
        <v>4299</v>
      </c>
    </row>
    <row r="93">
      <c r="A93" s="37" t="s">
        <v>4300</v>
      </c>
      <c r="B93" s="37">
        <v>80.0</v>
      </c>
      <c r="C93" s="158" t="s">
        <v>4301</v>
      </c>
    </row>
    <row r="94">
      <c r="A94" s="37" t="s">
        <v>4302</v>
      </c>
      <c r="C94" s="151"/>
    </row>
    <row r="95">
      <c r="A95" s="37" t="s">
        <v>4303</v>
      </c>
      <c r="B95" s="37">
        <v>81.0</v>
      </c>
      <c r="C95" s="158" t="s">
        <v>4304</v>
      </c>
    </row>
    <row r="96">
      <c r="A96" s="37" t="s">
        <v>4305</v>
      </c>
      <c r="B96" s="37">
        <v>81.0</v>
      </c>
      <c r="C96" s="158" t="s">
        <v>4306</v>
      </c>
    </row>
    <row r="97">
      <c r="A97" s="37" t="s">
        <v>4307</v>
      </c>
      <c r="C97" s="151"/>
    </row>
    <row r="98">
      <c r="A98" s="37" t="s">
        <v>4308</v>
      </c>
      <c r="B98" s="37">
        <v>81.0</v>
      </c>
      <c r="C98" s="158" t="s">
        <v>4309</v>
      </c>
    </row>
    <row r="99">
      <c r="A99" s="37" t="s">
        <v>4310</v>
      </c>
      <c r="B99" s="37">
        <v>81.0</v>
      </c>
      <c r="C99" s="158" t="s">
        <v>4311</v>
      </c>
    </row>
    <row r="100">
      <c r="A100" s="37" t="s">
        <v>4312</v>
      </c>
      <c r="B100" s="37">
        <v>81.0</v>
      </c>
      <c r="C100" s="158" t="s">
        <v>4313</v>
      </c>
    </row>
    <row r="101">
      <c r="A101" s="37" t="s">
        <v>1327</v>
      </c>
      <c r="B101" s="37">
        <v>82.0</v>
      </c>
      <c r="C101" s="158" t="s">
        <v>4314</v>
      </c>
    </row>
    <row r="102">
      <c r="A102" s="37" t="s">
        <v>4315</v>
      </c>
      <c r="C102" s="151"/>
    </row>
    <row r="103">
      <c r="A103" s="37" t="s">
        <v>4316</v>
      </c>
      <c r="B103" s="37">
        <v>82.0</v>
      </c>
      <c r="C103" s="158" t="s">
        <v>4317</v>
      </c>
    </row>
    <row r="104">
      <c r="A104" s="37" t="s">
        <v>4318</v>
      </c>
      <c r="B104" s="37">
        <v>82.0</v>
      </c>
      <c r="C104" s="158" t="s">
        <v>4319</v>
      </c>
    </row>
    <row r="105">
      <c r="A105" s="37" t="s">
        <v>4320</v>
      </c>
      <c r="C105" s="151"/>
    </row>
    <row r="106">
      <c r="A106" s="37" t="s">
        <v>675</v>
      </c>
      <c r="B106" s="37">
        <v>82.0</v>
      </c>
      <c r="C106" s="158" t="s">
        <v>4321</v>
      </c>
    </row>
    <row r="107">
      <c r="A107" s="37" t="s">
        <v>4322</v>
      </c>
      <c r="B107" s="37">
        <v>82.0</v>
      </c>
      <c r="C107" s="158" t="s">
        <v>4323</v>
      </c>
    </row>
    <row r="108">
      <c r="A108" s="37" t="s">
        <v>4324</v>
      </c>
      <c r="C108" s="151"/>
    </row>
    <row r="109">
      <c r="A109" s="37" t="s">
        <v>4325</v>
      </c>
      <c r="B109" s="37">
        <v>82.0</v>
      </c>
      <c r="C109" s="158" t="s">
        <v>4326</v>
      </c>
    </row>
    <row r="110">
      <c r="A110" s="37" t="s">
        <v>4327</v>
      </c>
      <c r="B110" s="37">
        <v>83.0</v>
      </c>
      <c r="C110" s="158" t="s">
        <v>4328</v>
      </c>
    </row>
    <row r="111">
      <c r="A111" s="37" t="s">
        <v>4329</v>
      </c>
      <c r="B111" s="37">
        <v>83.0</v>
      </c>
      <c r="C111" s="158" t="s">
        <v>4330</v>
      </c>
    </row>
    <row r="112">
      <c r="A112" s="37" t="s">
        <v>4331</v>
      </c>
      <c r="B112" s="37">
        <v>84.0</v>
      </c>
      <c r="C112" s="158" t="s">
        <v>4332</v>
      </c>
    </row>
    <row r="113">
      <c r="A113" s="37" t="s">
        <v>4333</v>
      </c>
      <c r="B113" s="37">
        <v>84.0</v>
      </c>
      <c r="C113" s="158" t="s">
        <v>4334</v>
      </c>
    </row>
    <row r="114">
      <c r="A114" s="37" t="s">
        <v>4335</v>
      </c>
      <c r="C114" s="151"/>
    </row>
    <row r="115">
      <c r="A115" s="37" t="s">
        <v>4336</v>
      </c>
      <c r="B115" s="37">
        <v>84.0</v>
      </c>
      <c r="C115" s="158" t="s">
        <v>4337</v>
      </c>
    </row>
    <row r="116">
      <c r="A116" s="37" t="s">
        <v>4338</v>
      </c>
      <c r="C116" s="151"/>
    </row>
    <row r="117">
      <c r="A117" s="37" t="s">
        <v>4339</v>
      </c>
      <c r="B117" s="37">
        <v>85.0</v>
      </c>
      <c r="C117" s="158" t="s">
        <v>4340</v>
      </c>
    </row>
    <row r="118">
      <c r="A118" s="37" t="s">
        <v>4341</v>
      </c>
      <c r="B118" s="37">
        <v>85.0</v>
      </c>
      <c r="C118" s="158" t="s">
        <v>4342</v>
      </c>
    </row>
    <row r="119">
      <c r="A119" s="37" t="s">
        <v>156</v>
      </c>
      <c r="B119" s="37">
        <v>85.0</v>
      </c>
      <c r="C119" s="158" t="s">
        <v>4343</v>
      </c>
    </row>
    <row r="120">
      <c r="A120" s="37" t="s">
        <v>4344</v>
      </c>
      <c r="B120" s="37">
        <v>85.0</v>
      </c>
      <c r="C120" s="158" t="s">
        <v>4345</v>
      </c>
    </row>
    <row r="121">
      <c r="A121" s="37" t="s">
        <v>1349</v>
      </c>
      <c r="B121" s="37">
        <v>85.0</v>
      </c>
      <c r="C121" s="158" t="s">
        <v>4346</v>
      </c>
    </row>
    <row r="122">
      <c r="A122" s="37" t="s">
        <v>4347</v>
      </c>
      <c r="B122" s="37">
        <v>85.0</v>
      </c>
      <c r="C122" s="158" t="s">
        <v>4328</v>
      </c>
    </row>
    <row r="123">
      <c r="A123" s="37" t="s">
        <v>4348</v>
      </c>
      <c r="C123" s="151"/>
    </row>
    <row r="124">
      <c r="A124" s="37" t="s">
        <v>4349</v>
      </c>
      <c r="B124" s="37">
        <v>85.0</v>
      </c>
      <c r="C124" s="158" t="s">
        <v>4299</v>
      </c>
    </row>
    <row r="125">
      <c r="A125" s="37" t="s">
        <v>4350</v>
      </c>
      <c r="B125" s="37">
        <v>85.0</v>
      </c>
      <c r="C125" s="158" t="s">
        <v>4351</v>
      </c>
    </row>
    <row r="126">
      <c r="A126" s="37" t="s">
        <v>4352</v>
      </c>
      <c r="B126" s="37">
        <v>85.0</v>
      </c>
      <c r="C126" s="158" t="s">
        <v>4353</v>
      </c>
    </row>
    <row r="127">
      <c r="A127" s="37" t="s">
        <v>4354</v>
      </c>
      <c r="B127" s="37">
        <v>86.0</v>
      </c>
      <c r="C127" s="158" t="s">
        <v>4355</v>
      </c>
    </row>
    <row r="128">
      <c r="A128" s="37" t="s">
        <v>4356</v>
      </c>
      <c r="B128" s="37">
        <v>86.0</v>
      </c>
      <c r="C128" s="158" t="s">
        <v>4357</v>
      </c>
    </row>
    <row r="129">
      <c r="A129" s="37" t="s">
        <v>4358</v>
      </c>
      <c r="B129" s="37">
        <v>87.0</v>
      </c>
      <c r="C129" s="158" t="s">
        <v>4359</v>
      </c>
    </row>
    <row r="130">
      <c r="A130" s="37" t="s">
        <v>4360</v>
      </c>
      <c r="B130" s="37">
        <v>87.0</v>
      </c>
      <c r="C130" s="158" t="s">
        <v>4328</v>
      </c>
    </row>
    <row r="131">
      <c r="A131" s="37" t="s">
        <v>4361</v>
      </c>
      <c r="B131" s="37">
        <v>87.0</v>
      </c>
      <c r="C131" s="158" t="s">
        <v>4362</v>
      </c>
    </row>
    <row r="132">
      <c r="A132" s="37" t="s">
        <v>1383</v>
      </c>
      <c r="B132" s="37">
        <v>87.0</v>
      </c>
      <c r="C132" s="158" t="s">
        <v>4363</v>
      </c>
    </row>
    <row r="133">
      <c r="A133" s="37" t="s">
        <v>4364</v>
      </c>
      <c r="C133" s="151"/>
    </row>
    <row r="134">
      <c r="A134" s="37" t="s">
        <v>4365</v>
      </c>
      <c r="B134" s="37">
        <v>88.0</v>
      </c>
      <c r="C134" s="158" t="s">
        <v>4366</v>
      </c>
    </row>
    <row r="135">
      <c r="A135" s="37" t="s">
        <v>4367</v>
      </c>
      <c r="B135" s="37">
        <v>88.0</v>
      </c>
      <c r="C135" s="158" t="s">
        <v>4368</v>
      </c>
    </row>
    <row r="136">
      <c r="A136" s="37" t="s">
        <v>4369</v>
      </c>
      <c r="C136" s="151"/>
    </row>
    <row r="137">
      <c r="A137" s="37" t="s">
        <v>1363</v>
      </c>
      <c r="B137" s="37">
        <v>88.0</v>
      </c>
      <c r="C137" s="158" t="s">
        <v>4370</v>
      </c>
    </row>
    <row r="138">
      <c r="A138" s="37" t="s">
        <v>4371</v>
      </c>
      <c r="B138" s="37">
        <v>88.0</v>
      </c>
      <c r="C138" s="158" t="s">
        <v>4372</v>
      </c>
    </row>
    <row r="139">
      <c r="A139" s="37" t="s">
        <v>4373</v>
      </c>
      <c r="C139" s="151"/>
    </row>
    <row r="140">
      <c r="A140" s="37" t="s">
        <v>4374</v>
      </c>
      <c r="B140" s="37">
        <v>89.0</v>
      </c>
      <c r="C140" s="158" t="s">
        <v>4375</v>
      </c>
    </row>
    <row r="141">
      <c r="A141" s="37" t="s">
        <v>4376</v>
      </c>
      <c r="B141" s="37">
        <v>89.0</v>
      </c>
      <c r="C141" s="158" t="s">
        <v>4377</v>
      </c>
    </row>
    <row r="142">
      <c r="A142" s="37" t="s">
        <v>4378</v>
      </c>
      <c r="C142" s="151"/>
    </row>
    <row r="143">
      <c r="A143" s="37" t="s">
        <v>4379</v>
      </c>
      <c r="B143" s="37">
        <v>89.0</v>
      </c>
      <c r="C143" s="158" t="s">
        <v>4380</v>
      </c>
    </row>
    <row r="144">
      <c r="A144" s="37" t="s">
        <v>4381</v>
      </c>
      <c r="B144" s="37">
        <v>89.0</v>
      </c>
      <c r="C144" s="158" t="s">
        <v>4382</v>
      </c>
    </row>
    <row r="145">
      <c r="A145" s="37" t="s">
        <v>708</v>
      </c>
      <c r="C145" s="151"/>
    </row>
    <row r="146">
      <c r="A146" s="37" t="s">
        <v>4383</v>
      </c>
      <c r="B146" s="37">
        <v>89.0</v>
      </c>
      <c r="C146" s="158" t="s">
        <v>4384</v>
      </c>
    </row>
    <row r="147">
      <c r="A147" s="37" t="s">
        <v>4385</v>
      </c>
      <c r="B147" s="37">
        <v>89.0</v>
      </c>
      <c r="C147" s="158" t="s">
        <v>4386</v>
      </c>
    </row>
    <row r="148">
      <c r="A148" s="37" t="s">
        <v>4387</v>
      </c>
      <c r="C148" s="151"/>
    </row>
    <row r="149">
      <c r="A149" s="37" t="s">
        <v>668</v>
      </c>
      <c r="B149" s="37">
        <v>89.0</v>
      </c>
      <c r="C149" s="158" t="s">
        <v>4388</v>
      </c>
    </row>
    <row r="150">
      <c r="A150" s="37" t="s">
        <v>4389</v>
      </c>
      <c r="C150" s="151"/>
    </row>
    <row r="151">
      <c r="A151" s="37" t="s">
        <v>4390</v>
      </c>
      <c r="B151" s="37">
        <v>89.0</v>
      </c>
      <c r="C151" s="158" t="s">
        <v>4391</v>
      </c>
    </row>
    <row r="152">
      <c r="A152" s="37" t="s">
        <v>1052</v>
      </c>
      <c r="B152" s="37">
        <v>90.0</v>
      </c>
      <c r="C152" s="158" t="s">
        <v>4392</v>
      </c>
    </row>
    <row r="153">
      <c r="A153" s="37" t="s">
        <v>846</v>
      </c>
      <c r="B153" s="37">
        <v>90.0</v>
      </c>
      <c r="C153" s="158" t="s">
        <v>4393</v>
      </c>
    </row>
    <row r="154">
      <c r="A154" s="37" t="s">
        <v>4394</v>
      </c>
      <c r="B154" s="37">
        <v>90.0</v>
      </c>
      <c r="C154" s="158" t="s">
        <v>4395</v>
      </c>
    </row>
    <row r="155">
      <c r="A155" s="37" t="s">
        <v>4396</v>
      </c>
      <c r="B155" s="37">
        <v>90.0</v>
      </c>
      <c r="C155" s="158" t="s">
        <v>4397</v>
      </c>
    </row>
    <row r="156">
      <c r="A156" s="37" t="s">
        <v>4398</v>
      </c>
      <c r="C156" s="151"/>
    </row>
    <row r="157">
      <c r="A157" s="37" t="s">
        <v>4399</v>
      </c>
      <c r="B157" s="37">
        <v>90.0</v>
      </c>
      <c r="C157" s="158" t="s">
        <v>4400</v>
      </c>
    </row>
    <row r="158">
      <c r="A158" s="37" t="s">
        <v>4401</v>
      </c>
      <c r="B158" s="37">
        <v>90.0</v>
      </c>
      <c r="C158" s="158" t="s">
        <v>4402</v>
      </c>
    </row>
    <row r="159">
      <c r="A159" s="37" t="s">
        <v>4403</v>
      </c>
      <c r="B159" s="37">
        <v>90.0</v>
      </c>
      <c r="C159" s="158" t="s">
        <v>4404</v>
      </c>
    </row>
    <row r="160">
      <c r="A160" s="37" t="s">
        <v>4405</v>
      </c>
      <c r="C160" s="151"/>
    </row>
    <row r="161">
      <c r="A161" s="37" t="s">
        <v>4406</v>
      </c>
      <c r="B161" s="37">
        <v>90.0</v>
      </c>
      <c r="C161" s="158" t="s">
        <v>4407</v>
      </c>
    </row>
    <row r="162">
      <c r="A162" s="37" t="s">
        <v>4408</v>
      </c>
      <c r="B162" s="37">
        <v>91.0</v>
      </c>
      <c r="C162" s="158" t="s">
        <v>4409</v>
      </c>
    </row>
    <row r="163">
      <c r="A163" s="37" t="s">
        <v>4410</v>
      </c>
      <c r="B163" s="37">
        <v>91.0</v>
      </c>
      <c r="C163" s="158" t="s">
        <v>4411</v>
      </c>
    </row>
    <row r="164">
      <c r="A164" s="37" t="s">
        <v>1046</v>
      </c>
      <c r="B164" s="37">
        <v>91.0</v>
      </c>
      <c r="C164" s="158" t="s">
        <v>4412</v>
      </c>
    </row>
    <row r="165">
      <c r="A165" s="37" t="s">
        <v>66</v>
      </c>
      <c r="C165" s="151"/>
    </row>
    <row r="166">
      <c r="A166" s="37" t="s">
        <v>4413</v>
      </c>
      <c r="B166" s="37">
        <v>92.0</v>
      </c>
      <c r="C166" s="158" t="s">
        <v>4414</v>
      </c>
    </row>
    <row r="167">
      <c r="A167" s="37" t="s">
        <v>4415</v>
      </c>
      <c r="B167" s="37">
        <v>92.0</v>
      </c>
      <c r="C167" s="158" t="s">
        <v>4416</v>
      </c>
    </row>
    <row r="168">
      <c r="A168" s="37" t="s">
        <v>4417</v>
      </c>
      <c r="B168" s="37">
        <v>92.0</v>
      </c>
      <c r="C168" s="158" t="s">
        <v>4418</v>
      </c>
    </row>
    <row r="169">
      <c r="A169" s="37" t="s">
        <v>4419</v>
      </c>
      <c r="C169" s="151"/>
    </row>
    <row r="170">
      <c r="A170" s="37" t="s">
        <v>692</v>
      </c>
      <c r="B170" s="37">
        <v>92.0</v>
      </c>
      <c r="C170" s="158" t="s">
        <v>4420</v>
      </c>
    </row>
    <row r="171">
      <c r="A171" s="37" t="s">
        <v>4421</v>
      </c>
      <c r="C171" s="151"/>
    </row>
    <row r="172">
      <c r="A172" s="37" t="s">
        <v>4422</v>
      </c>
      <c r="B172" s="37">
        <v>92.0</v>
      </c>
      <c r="C172" s="158" t="s">
        <v>4423</v>
      </c>
    </row>
    <row r="173">
      <c r="A173" s="37" t="s">
        <v>4424</v>
      </c>
      <c r="C173" s="151"/>
    </row>
    <row r="174">
      <c r="A174" s="37" t="s">
        <v>336</v>
      </c>
      <c r="B174" s="37">
        <v>92.0</v>
      </c>
      <c r="C174" s="158" t="s">
        <v>4425</v>
      </c>
    </row>
    <row r="175">
      <c r="A175" s="37" t="s">
        <v>560</v>
      </c>
      <c r="B175" s="37">
        <v>92.0</v>
      </c>
      <c r="C175" s="158" t="s">
        <v>4420</v>
      </c>
    </row>
    <row r="176">
      <c r="A176" s="37" t="s">
        <v>4426</v>
      </c>
      <c r="C176" s="151"/>
    </row>
    <row r="177">
      <c r="C177" s="151"/>
    </row>
    <row r="178">
      <c r="C178" s="151"/>
    </row>
    <row r="179">
      <c r="C179" s="151"/>
    </row>
    <row r="180">
      <c r="C180" s="151"/>
    </row>
    <row r="181">
      <c r="C181" s="151"/>
    </row>
    <row r="182">
      <c r="C182" s="151"/>
    </row>
    <row r="183">
      <c r="C183" s="151"/>
    </row>
    <row r="184">
      <c r="C184" s="151"/>
    </row>
    <row r="185">
      <c r="C185" s="151"/>
    </row>
    <row r="186">
      <c r="C186" s="151"/>
    </row>
    <row r="187">
      <c r="C187" s="151"/>
    </row>
    <row r="188">
      <c r="C188" s="151"/>
    </row>
    <row r="189">
      <c r="C189" s="151"/>
    </row>
    <row r="190">
      <c r="C190" s="151"/>
    </row>
    <row r="191">
      <c r="C191" s="151"/>
    </row>
    <row r="192">
      <c r="C192" s="151"/>
    </row>
    <row r="193">
      <c r="C193" s="151"/>
    </row>
    <row r="194">
      <c r="C194" s="151"/>
    </row>
    <row r="195">
      <c r="C195" s="151"/>
    </row>
    <row r="196">
      <c r="C196" s="151"/>
    </row>
    <row r="197">
      <c r="C197" s="151"/>
    </row>
    <row r="198">
      <c r="C198" s="151"/>
    </row>
    <row r="199">
      <c r="C199" s="151"/>
    </row>
    <row r="200">
      <c r="C200" s="151"/>
    </row>
    <row r="201">
      <c r="C201" s="151"/>
    </row>
    <row r="202">
      <c r="C202" s="151"/>
    </row>
    <row r="203">
      <c r="C203" s="151"/>
    </row>
    <row r="204">
      <c r="C204" s="151"/>
    </row>
    <row r="205">
      <c r="C205" s="151"/>
    </row>
    <row r="206">
      <c r="C206" s="151"/>
    </row>
    <row r="207">
      <c r="C207" s="151"/>
    </row>
    <row r="208">
      <c r="C208" s="151"/>
    </row>
    <row r="209">
      <c r="C209" s="151"/>
    </row>
    <row r="210">
      <c r="C210" s="151"/>
    </row>
    <row r="211">
      <c r="C211" s="151"/>
    </row>
    <row r="212">
      <c r="C212" s="151"/>
    </row>
    <row r="213">
      <c r="C213" s="151"/>
    </row>
    <row r="214">
      <c r="C214" s="151"/>
    </row>
    <row r="215">
      <c r="C215" s="151"/>
    </row>
    <row r="216">
      <c r="C216" s="151"/>
    </row>
    <row r="217">
      <c r="C217" s="151"/>
    </row>
    <row r="218">
      <c r="C218" s="151"/>
    </row>
    <row r="219">
      <c r="C219" s="151"/>
    </row>
    <row r="220">
      <c r="C220" s="151"/>
    </row>
    <row r="221">
      <c r="C221" s="151"/>
    </row>
    <row r="222">
      <c r="C222" s="151"/>
    </row>
    <row r="223">
      <c r="C223" s="151"/>
    </row>
    <row r="224">
      <c r="C224" s="151"/>
    </row>
    <row r="225">
      <c r="C225" s="151"/>
    </row>
    <row r="226">
      <c r="C226" s="151"/>
    </row>
    <row r="227">
      <c r="C227" s="151"/>
    </row>
    <row r="228">
      <c r="C228" s="151"/>
    </row>
    <row r="229">
      <c r="C229" s="151"/>
    </row>
    <row r="230">
      <c r="C230" s="151"/>
    </row>
    <row r="231">
      <c r="C231" s="151"/>
    </row>
    <row r="232">
      <c r="C232" s="151"/>
    </row>
    <row r="233">
      <c r="C233" s="151"/>
    </row>
    <row r="234">
      <c r="C234" s="151"/>
    </row>
    <row r="235">
      <c r="C235" s="151"/>
    </row>
    <row r="236">
      <c r="C236" s="151"/>
    </row>
    <row r="237">
      <c r="C237" s="151"/>
    </row>
    <row r="238">
      <c r="C238" s="151"/>
    </row>
    <row r="239">
      <c r="C239" s="151"/>
    </row>
    <row r="240">
      <c r="C240" s="151"/>
    </row>
    <row r="241">
      <c r="C241" s="151"/>
    </row>
    <row r="242">
      <c r="C242" s="151"/>
    </row>
    <row r="243">
      <c r="C243" s="151"/>
    </row>
    <row r="244">
      <c r="C244" s="151"/>
    </row>
    <row r="245">
      <c r="C245" s="151"/>
    </row>
    <row r="246">
      <c r="C246" s="151"/>
    </row>
    <row r="247">
      <c r="C247" s="151"/>
    </row>
    <row r="248">
      <c r="C248" s="151"/>
    </row>
    <row r="249">
      <c r="C249" s="151"/>
    </row>
    <row r="250">
      <c r="C250" s="151"/>
    </row>
    <row r="251">
      <c r="C251" s="151"/>
    </row>
    <row r="252">
      <c r="C252" s="151"/>
    </row>
    <row r="253">
      <c r="C253" s="151"/>
    </row>
    <row r="254">
      <c r="C254" s="151"/>
    </row>
    <row r="255">
      <c r="C255" s="151"/>
    </row>
    <row r="256">
      <c r="C256" s="151"/>
    </row>
    <row r="257">
      <c r="C257" s="151"/>
    </row>
    <row r="258">
      <c r="C258" s="151"/>
    </row>
    <row r="259">
      <c r="C259" s="151"/>
    </row>
    <row r="260">
      <c r="C260" s="151"/>
    </row>
    <row r="261">
      <c r="C261" s="151"/>
    </row>
    <row r="262">
      <c r="C262" s="151"/>
    </row>
    <row r="263">
      <c r="C263" s="151"/>
    </row>
    <row r="264">
      <c r="C264" s="151"/>
    </row>
    <row r="265">
      <c r="C265" s="151"/>
    </row>
    <row r="266">
      <c r="C266" s="151"/>
    </row>
    <row r="267">
      <c r="C267" s="151"/>
    </row>
    <row r="268">
      <c r="C268" s="151"/>
    </row>
    <row r="269">
      <c r="C269" s="151"/>
    </row>
    <row r="270">
      <c r="C270" s="151"/>
    </row>
    <row r="271">
      <c r="C271" s="151"/>
    </row>
    <row r="272">
      <c r="C272" s="151"/>
    </row>
    <row r="273">
      <c r="C273" s="151"/>
    </row>
    <row r="274">
      <c r="C274" s="151"/>
    </row>
    <row r="275">
      <c r="C275" s="151"/>
    </row>
    <row r="276">
      <c r="C276" s="151"/>
    </row>
    <row r="277">
      <c r="C277" s="151"/>
    </row>
    <row r="278">
      <c r="C278" s="151"/>
    </row>
    <row r="279">
      <c r="C279" s="151"/>
    </row>
    <row r="280">
      <c r="C280" s="151"/>
    </row>
    <row r="281">
      <c r="C281" s="151"/>
    </row>
    <row r="282">
      <c r="C282" s="151"/>
    </row>
    <row r="283">
      <c r="C283" s="151"/>
    </row>
    <row r="284">
      <c r="C284" s="151"/>
    </row>
    <row r="285">
      <c r="C285" s="151"/>
    </row>
    <row r="286">
      <c r="C286" s="151"/>
    </row>
    <row r="287">
      <c r="C287" s="151"/>
    </row>
    <row r="288">
      <c r="C288" s="151"/>
    </row>
    <row r="289">
      <c r="C289" s="151"/>
    </row>
    <row r="290">
      <c r="C290" s="151"/>
    </row>
    <row r="291">
      <c r="C291" s="151"/>
    </row>
    <row r="292">
      <c r="C292" s="151"/>
    </row>
    <row r="293">
      <c r="C293" s="151"/>
    </row>
    <row r="294">
      <c r="C294" s="151"/>
    </row>
    <row r="295">
      <c r="C295" s="151"/>
    </row>
    <row r="296">
      <c r="C296" s="151"/>
    </row>
    <row r="297">
      <c r="C297" s="151"/>
    </row>
    <row r="298">
      <c r="C298" s="151"/>
    </row>
    <row r="299">
      <c r="C299" s="151"/>
    </row>
    <row r="300">
      <c r="C300" s="151"/>
    </row>
    <row r="301">
      <c r="C301" s="151"/>
    </row>
    <row r="302">
      <c r="C302" s="151"/>
    </row>
    <row r="303">
      <c r="C303" s="151"/>
    </row>
    <row r="304">
      <c r="C304" s="151"/>
    </row>
    <row r="305">
      <c r="C305" s="151"/>
    </row>
    <row r="306">
      <c r="C306" s="151"/>
    </row>
    <row r="307">
      <c r="C307" s="151"/>
    </row>
    <row r="308">
      <c r="C308" s="151"/>
    </row>
    <row r="309">
      <c r="C309" s="151"/>
    </row>
    <row r="310">
      <c r="C310" s="151"/>
    </row>
    <row r="311">
      <c r="C311" s="151"/>
    </row>
    <row r="312">
      <c r="C312" s="151"/>
    </row>
    <row r="313">
      <c r="C313" s="151"/>
    </row>
    <row r="314">
      <c r="C314" s="151"/>
    </row>
    <row r="315">
      <c r="C315" s="151"/>
    </row>
    <row r="316">
      <c r="C316" s="151"/>
    </row>
    <row r="317">
      <c r="C317" s="151"/>
    </row>
    <row r="318">
      <c r="C318" s="151"/>
    </row>
    <row r="319">
      <c r="C319" s="151"/>
    </row>
    <row r="320">
      <c r="C320" s="151"/>
    </row>
    <row r="321">
      <c r="C321" s="151"/>
    </row>
    <row r="322">
      <c r="C322" s="151"/>
    </row>
    <row r="323">
      <c r="C323" s="151"/>
    </row>
    <row r="324">
      <c r="C324" s="151"/>
    </row>
    <row r="325">
      <c r="C325" s="151"/>
    </row>
    <row r="326">
      <c r="C326" s="151"/>
    </row>
    <row r="327">
      <c r="C327" s="151"/>
    </row>
    <row r="328">
      <c r="C328" s="151"/>
    </row>
    <row r="329">
      <c r="C329" s="151"/>
    </row>
    <row r="330">
      <c r="C330" s="151"/>
    </row>
    <row r="331">
      <c r="C331" s="151"/>
    </row>
    <row r="332">
      <c r="C332" s="151"/>
    </row>
    <row r="333">
      <c r="C333" s="151"/>
    </row>
    <row r="334">
      <c r="C334" s="151"/>
    </row>
    <row r="335">
      <c r="C335" s="151"/>
    </row>
    <row r="336">
      <c r="C336" s="151"/>
    </row>
    <row r="337">
      <c r="C337" s="151"/>
    </row>
    <row r="338">
      <c r="C338" s="151"/>
    </row>
    <row r="339">
      <c r="C339" s="151"/>
    </row>
    <row r="340">
      <c r="C340" s="151"/>
    </row>
    <row r="341">
      <c r="C341" s="151"/>
    </row>
    <row r="342">
      <c r="C342" s="151"/>
    </row>
    <row r="343">
      <c r="C343" s="151"/>
    </row>
    <row r="344">
      <c r="C344" s="151"/>
    </row>
    <row r="345">
      <c r="C345" s="151"/>
    </row>
    <row r="346">
      <c r="C346" s="151"/>
    </row>
    <row r="347">
      <c r="C347" s="151"/>
    </row>
    <row r="348">
      <c r="C348" s="151"/>
    </row>
    <row r="349">
      <c r="C349" s="151"/>
    </row>
    <row r="350">
      <c r="C350" s="151"/>
    </row>
    <row r="351">
      <c r="C351" s="151"/>
    </row>
    <row r="352">
      <c r="C352" s="151"/>
    </row>
    <row r="353">
      <c r="C353" s="151"/>
    </row>
    <row r="354">
      <c r="C354" s="151"/>
    </row>
    <row r="355">
      <c r="C355" s="151"/>
    </row>
    <row r="356">
      <c r="C356" s="151"/>
    </row>
    <row r="357">
      <c r="C357" s="151"/>
    </row>
    <row r="358">
      <c r="C358" s="151"/>
    </row>
    <row r="359">
      <c r="C359" s="151"/>
    </row>
    <row r="360">
      <c r="C360" s="151"/>
    </row>
    <row r="361">
      <c r="C361" s="151"/>
    </row>
    <row r="362">
      <c r="C362" s="151"/>
    </row>
    <row r="363">
      <c r="C363" s="151"/>
    </row>
    <row r="364">
      <c r="C364" s="151"/>
    </row>
    <row r="365">
      <c r="C365" s="151"/>
    </row>
    <row r="366">
      <c r="C366" s="151"/>
    </row>
    <row r="367">
      <c r="C367" s="151"/>
    </row>
    <row r="368">
      <c r="C368" s="151"/>
    </row>
    <row r="369">
      <c r="C369" s="151"/>
    </row>
    <row r="370">
      <c r="C370" s="151"/>
    </row>
    <row r="371">
      <c r="C371" s="151"/>
    </row>
    <row r="372">
      <c r="C372" s="151"/>
    </row>
    <row r="373">
      <c r="C373" s="151"/>
    </row>
    <row r="374">
      <c r="C374" s="151"/>
    </row>
    <row r="375">
      <c r="C375" s="151"/>
    </row>
    <row r="376">
      <c r="C376" s="151"/>
    </row>
    <row r="377">
      <c r="C377" s="151"/>
    </row>
    <row r="378">
      <c r="C378" s="151"/>
    </row>
    <row r="379">
      <c r="C379" s="151"/>
    </row>
    <row r="380">
      <c r="C380" s="151"/>
    </row>
    <row r="381">
      <c r="C381" s="151"/>
    </row>
    <row r="382">
      <c r="C382" s="151"/>
    </row>
    <row r="383">
      <c r="C383" s="151"/>
    </row>
    <row r="384">
      <c r="C384" s="151"/>
    </row>
    <row r="385">
      <c r="C385" s="151"/>
    </row>
    <row r="386">
      <c r="C386" s="151"/>
    </row>
    <row r="387">
      <c r="C387" s="151"/>
    </row>
    <row r="388">
      <c r="C388" s="151"/>
    </row>
    <row r="389">
      <c r="C389" s="151"/>
    </row>
    <row r="390">
      <c r="C390" s="151"/>
    </row>
    <row r="391">
      <c r="C391" s="151"/>
    </row>
    <row r="392">
      <c r="C392" s="151"/>
    </row>
    <row r="393">
      <c r="C393" s="151"/>
    </row>
    <row r="394">
      <c r="C394" s="151"/>
    </row>
    <row r="395">
      <c r="C395" s="151"/>
    </row>
    <row r="396">
      <c r="C396" s="151"/>
    </row>
    <row r="397">
      <c r="C397" s="151"/>
    </row>
    <row r="398">
      <c r="C398" s="151"/>
    </row>
    <row r="399">
      <c r="C399" s="151"/>
    </row>
    <row r="400">
      <c r="C400" s="151"/>
    </row>
    <row r="401">
      <c r="C401" s="151"/>
    </row>
    <row r="402">
      <c r="C402" s="151"/>
    </row>
    <row r="403">
      <c r="C403" s="151"/>
    </row>
    <row r="404">
      <c r="C404" s="151"/>
    </row>
    <row r="405">
      <c r="C405" s="151"/>
    </row>
    <row r="406">
      <c r="C406" s="151"/>
    </row>
    <row r="407">
      <c r="C407" s="151"/>
    </row>
    <row r="408">
      <c r="C408" s="151"/>
    </row>
    <row r="409">
      <c r="C409" s="151"/>
    </row>
    <row r="410">
      <c r="C410" s="151"/>
    </row>
    <row r="411">
      <c r="C411" s="151"/>
    </row>
    <row r="412">
      <c r="C412" s="151"/>
    </row>
    <row r="413">
      <c r="C413" s="151"/>
    </row>
    <row r="414">
      <c r="C414" s="151"/>
    </row>
    <row r="415">
      <c r="C415" s="151"/>
    </row>
    <row r="416">
      <c r="C416" s="151"/>
    </row>
    <row r="417">
      <c r="C417" s="151"/>
    </row>
    <row r="418">
      <c r="C418" s="151"/>
    </row>
    <row r="419">
      <c r="C419" s="151"/>
    </row>
    <row r="420">
      <c r="C420" s="151"/>
    </row>
    <row r="421">
      <c r="C421" s="151"/>
    </row>
    <row r="422">
      <c r="C422" s="151"/>
    </row>
    <row r="423">
      <c r="C423" s="151"/>
    </row>
    <row r="424">
      <c r="C424" s="151"/>
    </row>
    <row r="425">
      <c r="C425" s="151"/>
    </row>
    <row r="426">
      <c r="C426" s="151"/>
    </row>
    <row r="427">
      <c r="C427" s="151"/>
    </row>
    <row r="428">
      <c r="C428" s="151"/>
    </row>
    <row r="429">
      <c r="C429" s="151"/>
    </row>
    <row r="430">
      <c r="C430" s="151"/>
    </row>
    <row r="431">
      <c r="C431" s="151"/>
    </row>
    <row r="432">
      <c r="C432" s="151"/>
    </row>
    <row r="433">
      <c r="C433" s="151"/>
    </row>
    <row r="434">
      <c r="C434" s="151"/>
    </row>
    <row r="435">
      <c r="C435" s="151"/>
    </row>
    <row r="436">
      <c r="C436" s="151"/>
    </row>
    <row r="437">
      <c r="C437" s="151"/>
    </row>
    <row r="438">
      <c r="C438" s="151"/>
    </row>
    <row r="439">
      <c r="C439" s="151"/>
    </row>
    <row r="440">
      <c r="C440" s="151"/>
    </row>
    <row r="441">
      <c r="C441" s="151"/>
    </row>
    <row r="442">
      <c r="C442" s="151"/>
    </row>
    <row r="443">
      <c r="C443" s="151"/>
    </row>
    <row r="444">
      <c r="C444" s="151"/>
    </row>
    <row r="445">
      <c r="C445" s="151"/>
    </row>
    <row r="446">
      <c r="C446" s="151"/>
    </row>
    <row r="447">
      <c r="C447" s="151"/>
    </row>
    <row r="448">
      <c r="C448" s="151"/>
    </row>
    <row r="449">
      <c r="C449" s="151"/>
    </row>
    <row r="450">
      <c r="C450" s="151"/>
    </row>
    <row r="451">
      <c r="C451" s="151"/>
    </row>
    <row r="452">
      <c r="C452" s="151"/>
    </row>
    <row r="453">
      <c r="C453" s="151"/>
    </row>
    <row r="454">
      <c r="C454" s="151"/>
    </row>
    <row r="455">
      <c r="C455" s="151"/>
    </row>
    <row r="456">
      <c r="C456" s="151"/>
    </row>
    <row r="457">
      <c r="C457" s="151"/>
    </row>
    <row r="458">
      <c r="C458" s="151"/>
    </row>
    <row r="459">
      <c r="C459" s="151"/>
    </row>
    <row r="460">
      <c r="C460" s="151"/>
    </row>
    <row r="461">
      <c r="C461" s="151"/>
    </row>
    <row r="462">
      <c r="C462" s="151"/>
    </row>
    <row r="463">
      <c r="C463" s="151"/>
    </row>
    <row r="464">
      <c r="C464" s="151"/>
    </row>
    <row r="465">
      <c r="C465" s="151"/>
    </row>
    <row r="466">
      <c r="C466" s="151"/>
    </row>
    <row r="467">
      <c r="C467" s="151"/>
    </row>
    <row r="468">
      <c r="C468" s="151"/>
    </row>
    <row r="469">
      <c r="C469" s="151"/>
    </row>
    <row r="470">
      <c r="C470" s="151"/>
    </row>
    <row r="471">
      <c r="C471" s="151"/>
    </row>
    <row r="472">
      <c r="C472" s="151"/>
    </row>
    <row r="473">
      <c r="C473" s="151"/>
    </row>
    <row r="474">
      <c r="C474" s="151"/>
    </row>
    <row r="475">
      <c r="C475" s="151"/>
    </row>
    <row r="476">
      <c r="C476" s="151"/>
    </row>
    <row r="477">
      <c r="C477" s="151"/>
    </row>
    <row r="478">
      <c r="C478" s="151"/>
    </row>
    <row r="479">
      <c r="C479" s="151"/>
    </row>
    <row r="480">
      <c r="C480" s="151"/>
    </row>
    <row r="481">
      <c r="C481" s="151"/>
    </row>
    <row r="482">
      <c r="C482" s="151"/>
    </row>
    <row r="483">
      <c r="C483" s="151"/>
    </row>
    <row r="484">
      <c r="C484" s="151"/>
    </row>
    <row r="485">
      <c r="C485" s="151"/>
    </row>
    <row r="486">
      <c r="C486" s="151"/>
    </row>
    <row r="487">
      <c r="C487" s="151"/>
    </row>
    <row r="488">
      <c r="C488" s="151"/>
    </row>
    <row r="489">
      <c r="C489" s="151"/>
    </row>
    <row r="490">
      <c r="C490" s="151"/>
    </row>
    <row r="491">
      <c r="C491" s="151"/>
    </row>
    <row r="492">
      <c r="C492" s="151"/>
    </row>
    <row r="493">
      <c r="C493" s="151"/>
    </row>
    <row r="494">
      <c r="C494" s="151"/>
    </row>
    <row r="495">
      <c r="C495" s="151"/>
    </row>
    <row r="496">
      <c r="C496" s="151"/>
    </row>
    <row r="497">
      <c r="C497" s="151"/>
    </row>
    <row r="498">
      <c r="C498" s="151"/>
    </row>
    <row r="499">
      <c r="C499" s="151"/>
    </row>
    <row r="500">
      <c r="C500" s="151"/>
    </row>
    <row r="501">
      <c r="C501" s="151"/>
    </row>
    <row r="502">
      <c r="C502" s="151"/>
    </row>
    <row r="503">
      <c r="C503" s="151"/>
    </row>
    <row r="504">
      <c r="C504" s="151"/>
    </row>
    <row r="505">
      <c r="C505" s="151"/>
    </row>
    <row r="506">
      <c r="C506" s="151"/>
    </row>
    <row r="507">
      <c r="C507" s="151"/>
    </row>
    <row r="508">
      <c r="C508" s="151"/>
    </row>
    <row r="509">
      <c r="C509" s="151"/>
    </row>
    <row r="510">
      <c r="C510" s="151"/>
    </row>
    <row r="511">
      <c r="C511" s="151"/>
    </row>
    <row r="512">
      <c r="C512" s="151"/>
    </row>
    <row r="513">
      <c r="C513" s="151"/>
    </row>
    <row r="514">
      <c r="C514" s="151"/>
    </row>
    <row r="515">
      <c r="C515" s="151"/>
    </row>
    <row r="516">
      <c r="C516" s="151"/>
    </row>
    <row r="517">
      <c r="C517" s="151"/>
    </row>
    <row r="518">
      <c r="C518" s="151"/>
    </row>
    <row r="519">
      <c r="C519" s="151"/>
    </row>
    <row r="520">
      <c r="C520" s="151"/>
    </row>
    <row r="521">
      <c r="C521" s="151"/>
    </row>
    <row r="522">
      <c r="C522" s="151"/>
    </row>
    <row r="523">
      <c r="C523" s="151"/>
    </row>
    <row r="524">
      <c r="C524" s="151"/>
    </row>
    <row r="525">
      <c r="C525" s="151"/>
    </row>
    <row r="526">
      <c r="C526" s="151"/>
    </row>
    <row r="527">
      <c r="C527" s="151"/>
    </row>
    <row r="528">
      <c r="C528" s="151"/>
    </row>
    <row r="529">
      <c r="C529" s="151"/>
    </row>
    <row r="530">
      <c r="C530" s="151"/>
    </row>
    <row r="531">
      <c r="C531" s="151"/>
    </row>
    <row r="532">
      <c r="C532" s="151"/>
    </row>
    <row r="533">
      <c r="C533" s="151"/>
    </row>
    <row r="534">
      <c r="C534" s="151"/>
    </row>
    <row r="535">
      <c r="C535" s="151"/>
    </row>
    <row r="536">
      <c r="C536" s="151"/>
    </row>
    <row r="537">
      <c r="C537" s="151"/>
    </row>
    <row r="538">
      <c r="C538" s="151"/>
    </row>
    <row r="539">
      <c r="C539" s="151"/>
    </row>
    <row r="540">
      <c r="C540" s="151"/>
    </row>
    <row r="541">
      <c r="C541" s="151"/>
    </row>
    <row r="542">
      <c r="C542" s="151"/>
    </row>
    <row r="543">
      <c r="C543" s="151"/>
    </row>
    <row r="544">
      <c r="C544" s="151"/>
    </row>
    <row r="545">
      <c r="C545" s="151"/>
    </row>
    <row r="546">
      <c r="C546" s="151"/>
    </row>
    <row r="547">
      <c r="C547" s="151"/>
    </row>
    <row r="548">
      <c r="C548" s="151"/>
    </row>
    <row r="549">
      <c r="C549" s="151"/>
    </row>
    <row r="550">
      <c r="C550" s="151"/>
    </row>
    <row r="551">
      <c r="C551" s="151"/>
    </row>
    <row r="552">
      <c r="C552" s="151"/>
    </row>
    <row r="553">
      <c r="C553" s="151"/>
    </row>
    <row r="554">
      <c r="C554" s="151"/>
    </row>
    <row r="555">
      <c r="C555" s="151"/>
    </row>
    <row r="556">
      <c r="C556" s="151"/>
    </row>
    <row r="557">
      <c r="C557" s="151"/>
    </row>
    <row r="558">
      <c r="C558" s="151"/>
    </row>
    <row r="559">
      <c r="C559" s="151"/>
    </row>
    <row r="560">
      <c r="C560" s="151"/>
    </row>
    <row r="561">
      <c r="C561" s="151"/>
    </row>
    <row r="562">
      <c r="C562" s="151"/>
    </row>
    <row r="563">
      <c r="C563" s="151"/>
    </row>
    <row r="564">
      <c r="C564" s="151"/>
    </row>
    <row r="565">
      <c r="C565" s="151"/>
    </row>
    <row r="566">
      <c r="C566" s="151"/>
    </row>
    <row r="567">
      <c r="C567" s="151"/>
    </row>
    <row r="568">
      <c r="C568" s="151"/>
    </row>
    <row r="569">
      <c r="C569" s="151"/>
    </row>
    <row r="570">
      <c r="C570" s="151"/>
    </row>
    <row r="571">
      <c r="C571" s="151"/>
    </row>
    <row r="572">
      <c r="C572" s="151"/>
    </row>
    <row r="573">
      <c r="C573" s="151"/>
    </row>
    <row r="574">
      <c r="C574" s="151"/>
    </row>
    <row r="575">
      <c r="C575" s="151"/>
    </row>
    <row r="576">
      <c r="C576" s="151"/>
    </row>
    <row r="577">
      <c r="C577" s="151"/>
    </row>
    <row r="578">
      <c r="C578" s="151"/>
    </row>
    <row r="579">
      <c r="C579" s="151"/>
    </row>
    <row r="580">
      <c r="C580" s="151"/>
    </row>
    <row r="581">
      <c r="C581" s="151"/>
    </row>
    <row r="582">
      <c r="C582" s="151"/>
    </row>
    <row r="583">
      <c r="C583" s="151"/>
    </row>
    <row r="584">
      <c r="C584" s="151"/>
    </row>
    <row r="585">
      <c r="C585" s="151"/>
    </row>
    <row r="586">
      <c r="C586" s="151"/>
    </row>
    <row r="587">
      <c r="C587" s="151"/>
    </row>
    <row r="588">
      <c r="C588" s="151"/>
    </row>
    <row r="589">
      <c r="C589" s="151"/>
    </row>
    <row r="590">
      <c r="C590" s="151"/>
    </row>
    <row r="591">
      <c r="C591" s="151"/>
    </row>
    <row r="592">
      <c r="C592" s="151"/>
    </row>
    <row r="593">
      <c r="C593" s="151"/>
    </row>
    <row r="594">
      <c r="C594" s="151"/>
    </row>
    <row r="595">
      <c r="C595" s="151"/>
    </row>
    <row r="596">
      <c r="C596" s="151"/>
    </row>
    <row r="597">
      <c r="C597" s="151"/>
    </row>
    <row r="598">
      <c r="C598" s="151"/>
    </row>
    <row r="599">
      <c r="C599" s="151"/>
    </row>
    <row r="600">
      <c r="C600" s="151"/>
    </row>
    <row r="601">
      <c r="C601" s="151"/>
    </row>
    <row r="602">
      <c r="C602" s="151"/>
    </row>
    <row r="603">
      <c r="C603" s="151"/>
    </row>
    <row r="604">
      <c r="C604" s="151"/>
    </row>
    <row r="605">
      <c r="C605" s="151"/>
    </row>
    <row r="606">
      <c r="C606" s="151"/>
    </row>
    <row r="607">
      <c r="C607" s="151"/>
    </row>
    <row r="608">
      <c r="C608" s="151"/>
    </row>
    <row r="609">
      <c r="C609" s="151"/>
    </row>
    <row r="610">
      <c r="C610" s="151"/>
    </row>
    <row r="611">
      <c r="C611" s="151"/>
    </row>
    <row r="612">
      <c r="C612" s="151"/>
    </row>
    <row r="613">
      <c r="C613" s="151"/>
    </row>
    <row r="614">
      <c r="C614" s="151"/>
    </row>
    <row r="615">
      <c r="C615" s="151"/>
    </row>
    <row r="616">
      <c r="C616" s="151"/>
    </row>
    <row r="617">
      <c r="C617" s="151"/>
    </row>
    <row r="618">
      <c r="C618" s="151"/>
    </row>
    <row r="619">
      <c r="C619" s="151"/>
    </row>
    <row r="620">
      <c r="C620" s="151"/>
    </row>
    <row r="621">
      <c r="C621" s="151"/>
    </row>
    <row r="622">
      <c r="C622" s="151"/>
    </row>
    <row r="623">
      <c r="C623" s="151"/>
    </row>
    <row r="624">
      <c r="C624" s="151"/>
    </row>
    <row r="625">
      <c r="C625" s="151"/>
    </row>
    <row r="626">
      <c r="C626" s="151"/>
    </row>
    <row r="627">
      <c r="C627" s="151"/>
    </row>
    <row r="628">
      <c r="C628" s="151"/>
    </row>
    <row r="629">
      <c r="C629" s="151"/>
    </row>
    <row r="630">
      <c r="C630" s="151"/>
    </row>
    <row r="631">
      <c r="C631" s="151"/>
    </row>
    <row r="632">
      <c r="C632" s="151"/>
    </row>
    <row r="633">
      <c r="C633" s="151"/>
    </row>
    <row r="634">
      <c r="C634" s="151"/>
    </row>
    <row r="635">
      <c r="C635" s="151"/>
    </row>
    <row r="636">
      <c r="C636" s="151"/>
    </row>
    <row r="637">
      <c r="C637" s="151"/>
    </row>
    <row r="638">
      <c r="C638" s="151"/>
    </row>
    <row r="639">
      <c r="C639" s="151"/>
    </row>
    <row r="640">
      <c r="C640" s="151"/>
    </row>
    <row r="641">
      <c r="C641" s="151"/>
    </row>
    <row r="642">
      <c r="C642" s="151"/>
    </row>
    <row r="643">
      <c r="C643" s="151"/>
    </row>
    <row r="644">
      <c r="C644" s="151"/>
    </row>
    <row r="645">
      <c r="C645" s="151"/>
    </row>
    <row r="646">
      <c r="C646" s="151"/>
    </row>
    <row r="647">
      <c r="C647" s="151"/>
    </row>
    <row r="648">
      <c r="C648" s="151"/>
    </row>
    <row r="649">
      <c r="C649" s="151"/>
    </row>
    <row r="650">
      <c r="C650" s="151"/>
    </row>
    <row r="651">
      <c r="C651" s="151"/>
    </row>
    <row r="652">
      <c r="C652" s="151"/>
    </row>
    <row r="653">
      <c r="C653" s="151"/>
    </row>
    <row r="654">
      <c r="C654" s="151"/>
    </row>
    <row r="655">
      <c r="C655" s="151"/>
    </row>
    <row r="656">
      <c r="C656" s="151"/>
    </row>
    <row r="657">
      <c r="C657" s="151"/>
    </row>
    <row r="658">
      <c r="C658" s="151"/>
    </row>
    <row r="659">
      <c r="C659" s="151"/>
    </row>
    <row r="660">
      <c r="C660" s="151"/>
    </row>
    <row r="661">
      <c r="C661" s="151"/>
    </row>
    <row r="662">
      <c r="C662" s="151"/>
    </row>
    <row r="663">
      <c r="C663" s="151"/>
    </row>
    <row r="664">
      <c r="C664" s="151"/>
    </row>
    <row r="665">
      <c r="C665" s="151"/>
    </row>
    <row r="666">
      <c r="C666" s="151"/>
    </row>
    <row r="667">
      <c r="C667" s="151"/>
    </row>
    <row r="668">
      <c r="C668" s="151"/>
    </row>
    <row r="669">
      <c r="C669" s="151"/>
    </row>
    <row r="670">
      <c r="C670" s="151"/>
    </row>
    <row r="671">
      <c r="C671" s="151"/>
    </row>
    <row r="672">
      <c r="C672" s="151"/>
    </row>
    <row r="673">
      <c r="C673" s="151"/>
    </row>
    <row r="674">
      <c r="C674" s="151"/>
    </row>
    <row r="675">
      <c r="C675" s="151"/>
    </row>
    <row r="676">
      <c r="C676" s="151"/>
    </row>
    <row r="677">
      <c r="C677" s="151"/>
    </row>
    <row r="678">
      <c r="C678" s="151"/>
    </row>
    <row r="679">
      <c r="C679" s="151"/>
    </row>
    <row r="680">
      <c r="C680" s="151"/>
    </row>
    <row r="681">
      <c r="C681" s="151"/>
    </row>
    <row r="682">
      <c r="C682" s="151"/>
    </row>
    <row r="683">
      <c r="C683" s="151"/>
    </row>
    <row r="684">
      <c r="C684" s="151"/>
    </row>
    <row r="685">
      <c r="C685" s="151"/>
    </row>
    <row r="686">
      <c r="C686" s="151"/>
    </row>
    <row r="687">
      <c r="C687" s="151"/>
    </row>
    <row r="688">
      <c r="C688" s="151"/>
    </row>
    <row r="689">
      <c r="C689" s="151"/>
    </row>
    <row r="690">
      <c r="C690" s="151"/>
    </row>
    <row r="691">
      <c r="C691" s="151"/>
    </row>
    <row r="692">
      <c r="C692" s="151"/>
    </row>
    <row r="693">
      <c r="C693" s="151"/>
    </row>
    <row r="694">
      <c r="C694" s="151"/>
    </row>
    <row r="695">
      <c r="C695" s="151"/>
    </row>
    <row r="696">
      <c r="C696" s="151"/>
    </row>
    <row r="697">
      <c r="C697" s="151"/>
    </row>
    <row r="698">
      <c r="C698" s="151"/>
    </row>
    <row r="699">
      <c r="C699" s="151"/>
    </row>
    <row r="700">
      <c r="C700" s="151"/>
    </row>
    <row r="701">
      <c r="C701" s="151"/>
    </row>
    <row r="702">
      <c r="C702" s="151"/>
    </row>
    <row r="703">
      <c r="C703" s="151"/>
    </row>
    <row r="704">
      <c r="C704" s="151"/>
    </row>
    <row r="705">
      <c r="C705" s="151"/>
    </row>
    <row r="706">
      <c r="C706" s="151"/>
    </row>
    <row r="707">
      <c r="C707" s="151"/>
    </row>
    <row r="708">
      <c r="C708" s="151"/>
    </row>
    <row r="709">
      <c r="C709" s="151"/>
    </row>
    <row r="710">
      <c r="C710" s="151"/>
    </row>
    <row r="711">
      <c r="C711" s="151"/>
    </row>
    <row r="712">
      <c r="C712" s="151"/>
    </row>
    <row r="713">
      <c r="C713" s="151"/>
    </row>
    <row r="714">
      <c r="C714" s="151"/>
    </row>
    <row r="715">
      <c r="C715" s="151"/>
    </row>
    <row r="716">
      <c r="C716" s="151"/>
    </row>
    <row r="717">
      <c r="C717" s="151"/>
    </row>
    <row r="718">
      <c r="C718" s="151"/>
    </row>
    <row r="719">
      <c r="C719" s="151"/>
    </row>
    <row r="720">
      <c r="C720" s="151"/>
    </row>
    <row r="721">
      <c r="C721" s="151"/>
    </row>
    <row r="722">
      <c r="C722" s="151"/>
    </row>
    <row r="723">
      <c r="C723" s="151"/>
    </row>
    <row r="724">
      <c r="C724" s="151"/>
    </row>
    <row r="725">
      <c r="C725" s="151"/>
    </row>
    <row r="726">
      <c r="C726" s="151"/>
    </row>
    <row r="727">
      <c r="C727" s="151"/>
    </row>
    <row r="728">
      <c r="C728" s="151"/>
    </row>
    <row r="729">
      <c r="C729" s="151"/>
    </row>
    <row r="730">
      <c r="C730" s="151"/>
    </row>
    <row r="731">
      <c r="C731" s="151"/>
    </row>
    <row r="732">
      <c r="C732" s="151"/>
    </row>
    <row r="733">
      <c r="C733" s="151"/>
    </row>
    <row r="734">
      <c r="C734" s="151"/>
    </row>
    <row r="735">
      <c r="C735" s="151"/>
    </row>
    <row r="736">
      <c r="C736" s="151"/>
    </row>
    <row r="737">
      <c r="C737" s="151"/>
    </row>
    <row r="738">
      <c r="C738" s="151"/>
    </row>
    <row r="739">
      <c r="C739" s="151"/>
    </row>
    <row r="740">
      <c r="C740" s="151"/>
    </row>
    <row r="741">
      <c r="C741" s="151"/>
    </row>
    <row r="742">
      <c r="C742" s="151"/>
    </row>
    <row r="743">
      <c r="C743" s="151"/>
    </row>
    <row r="744">
      <c r="C744" s="151"/>
    </row>
    <row r="745">
      <c r="C745" s="151"/>
    </row>
    <row r="746">
      <c r="C746" s="151"/>
    </row>
    <row r="747">
      <c r="C747" s="151"/>
    </row>
    <row r="748">
      <c r="C748" s="151"/>
    </row>
    <row r="749">
      <c r="C749" s="151"/>
    </row>
    <row r="750">
      <c r="C750" s="151"/>
    </row>
    <row r="751">
      <c r="C751" s="151"/>
    </row>
    <row r="752">
      <c r="C752" s="151"/>
    </row>
    <row r="753">
      <c r="C753" s="151"/>
    </row>
    <row r="754">
      <c r="C754" s="151"/>
    </row>
    <row r="755">
      <c r="C755" s="151"/>
    </row>
    <row r="756">
      <c r="C756" s="151"/>
    </row>
    <row r="757">
      <c r="C757" s="151"/>
    </row>
    <row r="758">
      <c r="C758" s="151"/>
    </row>
    <row r="759">
      <c r="C759" s="151"/>
    </row>
    <row r="760">
      <c r="C760" s="151"/>
    </row>
    <row r="761">
      <c r="C761" s="151"/>
    </row>
    <row r="762">
      <c r="C762" s="151"/>
    </row>
    <row r="763">
      <c r="C763" s="151"/>
    </row>
    <row r="764">
      <c r="C764" s="151"/>
    </row>
    <row r="765">
      <c r="C765" s="151"/>
    </row>
    <row r="766">
      <c r="C766" s="151"/>
    </row>
    <row r="767">
      <c r="C767" s="151"/>
    </row>
    <row r="768">
      <c r="C768" s="151"/>
    </row>
    <row r="769">
      <c r="C769" s="151"/>
    </row>
    <row r="770">
      <c r="C770" s="151"/>
    </row>
    <row r="771">
      <c r="C771" s="151"/>
    </row>
    <row r="772">
      <c r="C772" s="151"/>
    </row>
    <row r="773">
      <c r="C773" s="151"/>
    </row>
    <row r="774">
      <c r="C774" s="151"/>
    </row>
    <row r="775">
      <c r="C775" s="151"/>
    </row>
    <row r="776">
      <c r="C776" s="151"/>
    </row>
    <row r="777">
      <c r="C777" s="151"/>
    </row>
    <row r="778">
      <c r="C778" s="151"/>
    </row>
    <row r="779">
      <c r="C779" s="151"/>
    </row>
    <row r="780">
      <c r="C780" s="151"/>
    </row>
    <row r="781">
      <c r="C781" s="151"/>
    </row>
    <row r="782">
      <c r="C782" s="151"/>
    </row>
    <row r="783">
      <c r="C783" s="151"/>
    </row>
    <row r="784">
      <c r="C784" s="151"/>
    </row>
    <row r="785">
      <c r="C785" s="151"/>
    </row>
    <row r="786">
      <c r="C786" s="151"/>
    </row>
    <row r="787">
      <c r="C787" s="151"/>
    </row>
    <row r="788">
      <c r="C788" s="151"/>
    </row>
    <row r="789">
      <c r="C789" s="151"/>
    </row>
    <row r="790">
      <c r="C790" s="151"/>
    </row>
    <row r="791">
      <c r="C791" s="151"/>
    </row>
    <row r="792">
      <c r="C792" s="151"/>
    </row>
    <row r="793">
      <c r="C793" s="151"/>
    </row>
    <row r="794">
      <c r="C794" s="151"/>
    </row>
    <row r="795">
      <c r="C795" s="151"/>
    </row>
    <row r="796">
      <c r="C796" s="151"/>
    </row>
    <row r="797">
      <c r="C797" s="151"/>
    </row>
    <row r="798">
      <c r="C798" s="151"/>
    </row>
    <row r="799">
      <c r="C799" s="151"/>
    </row>
    <row r="800">
      <c r="C800" s="151"/>
    </row>
    <row r="801">
      <c r="C801" s="151"/>
    </row>
    <row r="802">
      <c r="C802" s="151"/>
    </row>
    <row r="803">
      <c r="C803" s="151"/>
    </row>
    <row r="804">
      <c r="C804" s="151"/>
    </row>
    <row r="805">
      <c r="C805" s="151"/>
    </row>
    <row r="806">
      <c r="C806" s="151"/>
    </row>
    <row r="807">
      <c r="C807" s="151"/>
    </row>
    <row r="808">
      <c r="C808" s="151"/>
    </row>
    <row r="809">
      <c r="C809" s="151"/>
    </row>
    <row r="810">
      <c r="C810" s="151"/>
    </row>
    <row r="811">
      <c r="C811" s="151"/>
    </row>
    <row r="812">
      <c r="C812" s="151"/>
    </row>
    <row r="813">
      <c r="C813" s="151"/>
    </row>
    <row r="814">
      <c r="C814" s="151"/>
    </row>
    <row r="815">
      <c r="C815" s="151"/>
    </row>
    <row r="816">
      <c r="C816" s="151"/>
    </row>
    <row r="817">
      <c r="C817" s="151"/>
    </row>
    <row r="818">
      <c r="C818" s="151"/>
    </row>
    <row r="819">
      <c r="C819" s="151"/>
    </row>
    <row r="820">
      <c r="C820" s="151"/>
    </row>
    <row r="821">
      <c r="C821" s="151"/>
    </row>
    <row r="822">
      <c r="C822" s="151"/>
    </row>
    <row r="823">
      <c r="C823" s="151"/>
    </row>
    <row r="824">
      <c r="C824" s="151"/>
    </row>
    <row r="825">
      <c r="C825" s="151"/>
    </row>
    <row r="826">
      <c r="C826" s="151"/>
    </row>
    <row r="827">
      <c r="C827" s="151"/>
    </row>
    <row r="828">
      <c r="C828" s="151"/>
    </row>
    <row r="829">
      <c r="C829" s="151"/>
    </row>
    <row r="830">
      <c r="C830" s="151"/>
    </row>
    <row r="831">
      <c r="C831" s="151"/>
    </row>
    <row r="832">
      <c r="C832" s="151"/>
    </row>
    <row r="833">
      <c r="C833" s="151"/>
    </row>
    <row r="834">
      <c r="C834" s="151"/>
    </row>
    <row r="835">
      <c r="C835" s="151"/>
    </row>
    <row r="836">
      <c r="C836" s="151"/>
    </row>
    <row r="837">
      <c r="C837" s="151"/>
    </row>
    <row r="838">
      <c r="C838" s="151"/>
    </row>
    <row r="839">
      <c r="C839" s="151"/>
    </row>
    <row r="840">
      <c r="C840" s="151"/>
    </row>
    <row r="841">
      <c r="C841" s="151"/>
    </row>
    <row r="842">
      <c r="C842" s="151"/>
    </row>
    <row r="843">
      <c r="C843" s="151"/>
    </row>
    <row r="844">
      <c r="C844" s="151"/>
    </row>
    <row r="845">
      <c r="C845" s="151"/>
    </row>
    <row r="846">
      <c r="C846" s="151"/>
    </row>
    <row r="847">
      <c r="C847" s="151"/>
    </row>
    <row r="848">
      <c r="C848" s="151"/>
    </row>
    <row r="849">
      <c r="C849" s="151"/>
    </row>
    <row r="850">
      <c r="C850" s="151"/>
    </row>
    <row r="851">
      <c r="C851" s="151"/>
    </row>
    <row r="852">
      <c r="C852" s="151"/>
    </row>
    <row r="853">
      <c r="C853" s="151"/>
    </row>
    <row r="854">
      <c r="C854" s="151"/>
    </row>
    <row r="855">
      <c r="C855" s="151"/>
    </row>
    <row r="856">
      <c r="C856" s="151"/>
    </row>
    <row r="857">
      <c r="C857" s="151"/>
    </row>
    <row r="858">
      <c r="C858" s="151"/>
    </row>
    <row r="859">
      <c r="C859" s="151"/>
    </row>
    <row r="860">
      <c r="C860" s="151"/>
    </row>
    <row r="861">
      <c r="C861" s="151"/>
    </row>
    <row r="862">
      <c r="C862" s="151"/>
    </row>
    <row r="863">
      <c r="C863" s="151"/>
    </row>
    <row r="864">
      <c r="C864" s="151"/>
    </row>
    <row r="865">
      <c r="C865" s="151"/>
    </row>
    <row r="866">
      <c r="C866" s="151"/>
    </row>
    <row r="867">
      <c r="C867" s="151"/>
    </row>
    <row r="868">
      <c r="C868" s="151"/>
    </row>
    <row r="869">
      <c r="C869" s="151"/>
    </row>
    <row r="870">
      <c r="C870" s="151"/>
    </row>
    <row r="871">
      <c r="C871" s="151"/>
    </row>
    <row r="872">
      <c r="C872" s="151"/>
    </row>
    <row r="873">
      <c r="C873" s="151"/>
    </row>
    <row r="874">
      <c r="C874" s="151"/>
    </row>
    <row r="875">
      <c r="C875" s="151"/>
    </row>
    <row r="876">
      <c r="C876" s="151"/>
    </row>
    <row r="877">
      <c r="C877" s="151"/>
    </row>
    <row r="878">
      <c r="C878" s="151"/>
    </row>
    <row r="879">
      <c r="C879" s="151"/>
    </row>
    <row r="880">
      <c r="C880" s="151"/>
    </row>
    <row r="881">
      <c r="C881" s="151"/>
    </row>
    <row r="882">
      <c r="C882" s="151"/>
    </row>
    <row r="883">
      <c r="C883" s="151"/>
    </row>
    <row r="884">
      <c r="C884" s="151"/>
    </row>
    <row r="885">
      <c r="C885" s="151"/>
    </row>
    <row r="886">
      <c r="C886" s="151"/>
    </row>
    <row r="887">
      <c r="C887" s="151"/>
    </row>
    <row r="888">
      <c r="C888" s="151"/>
    </row>
    <row r="889">
      <c r="C889" s="151"/>
    </row>
    <row r="890">
      <c r="C890" s="151"/>
    </row>
    <row r="891">
      <c r="C891" s="151"/>
    </row>
    <row r="892">
      <c r="C892" s="151"/>
    </row>
    <row r="893">
      <c r="C893" s="151"/>
    </row>
    <row r="894">
      <c r="C894" s="151"/>
    </row>
    <row r="895">
      <c r="C895" s="151"/>
    </row>
    <row r="896">
      <c r="C896" s="151"/>
    </row>
    <row r="897">
      <c r="C897" s="151"/>
    </row>
    <row r="898">
      <c r="C898" s="151"/>
    </row>
    <row r="899">
      <c r="C899" s="151"/>
    </row>
    <row r="900">
      <c r="C900" s="151"/>
    </row>
    <row r="901">
      <c r="C901" s="151"/>
    </row>
    <row r="902">
      <c r="C902" s="151"/>
    </row>
    <row r="903">
      <c r="C903" s="151"/>
    </row>
    <row r="904">
      <c r="C904" s="151"/>
    </row>
    <row r="905">
      <c r="C905" s="151"/>
    </row>
    <row r="906">
      <c r="C906" s="151"/>
    </row>
    <row r="907">
      <c r="C907" s="151"/>
    </row>
    <row r="908">
      <c r="C908" s="151"/>
    </row>
    <row r="909">
      <c r="C909" s="151"/>
    </row>
    <row r="910">
      <c r="C910" s="151"/>
    </row>
    <row r="911">
      <c r="C911" s="151"/>
    </row>
    <row r="912">
      <c r="C912" s="151"/>
    </row>
    <row r="913">
      <c r="C913" s="151"/>
    </row>
    <row r="914">
      <c r="C914" s="151"/>
    </row>
    <row r="915">
      <c r="C915" s="151"/>
    </row>
    <row r="916">
      <c r="C916" s="151"/>
    </row>
    <row r="917">
      <c r="C917" s="151"/>
    </row>
    <row r="918">
      <c r="C918" s="151"/>
    </row>
    <row r="919">
      <c r="C919" s="151"/>
    </row>
    <row r="920">
      <c r="C920" s="151"/>
    </row>
    <row r="921">
      <c r="C921" s="151"/>
    </row>
    <row r="922">
      <c r="C922" s="151"/>
    </row>
    <row r="923">
      <c r="C923" s="151"/>
    </row>
    <row r="924">
      <c r="C924" s="151"/>
    </row>
    <row r="925">
      <c r="C925" s="151"/>
    </row>
    <row r="926">
      <c r="C926" s="151"/>
    </row>
    <row r="927">
      <c r="C927" s="151"/>
    </row>
    <row r="928">
      <c r="C928" s="151"/>
    </row>
    <row r="929">
      <c r="C929" s="151"/>
    </row>
    <row r="930">
      <c r="C930" s="151"/>
    </row>
    <row r="931">
      <c r="C931" s="151"/>
    </row>
    <row r="932">
      <c r="C932" s="151"/>
    </row>
    <row r="933">
      <c r="C933" s="151"/>
    </row>
    <row r="934">
      <c r="C934" s="151"/>
    </row>
    <row r="935">
      <c r="C935" s="151"/>
    </row>
    <row r="936">
      <c r="C936" s="151"/>
    </row>
    <row r="937">
      <c r="C937" s="151"/>
    </row>
    <row r="938">
      <c r="C938" s="151"/>
    </row>
    <row r="939">
      <c r="C939" s="151"/>
    </row>
    <row r="940">
      <c r="C940" s="151"/>
    </row>
    <row r="941">
      <c r="C941" s="151"/>
    </row>
    <row r="942">
      <c r="C942" s="151"/>
    </row>
    <row r="943">
      <c r="C943" s="151"/>
    </row>
    <row r="944">
      <c r="C944" s="151"/>
    </row>
    <row r="945">
      <c r="C945" s="151"/>
    </row>
    <row r="946">
      <c r="C946" s="151"/>
    </row>
    <row r="947">
      <c r="C947" s="151"/>
    </row>
    <row r="948">
      <c r="C948" s="151"/>
    </row>
    <row r="949">
      <c r="C949" s="151"/>
    </row>
    <row r="950">
      <c r="C950" s="151"/>
    </row>
    <row r="951">
      <c r="C951" s="151"/>
    </row>
    <row r="952">
      <c r="C952" s="151"/>
    </row>
    <row r="953">
      <c r="C953" s="151"/>
    </row>
    <row r="954">
      <c r="C954" s="151"/>
    </row>
    <row r="955">
      <c r="C955" s="151"/>
    </row>
    <row r="956">
      <c r="C956" s="151"/>
    </row>
    <row r="957">
      <c r="C957" s="151"/>
    </row>
    <row r="958">
      <c r="C958" s="151"/>
    </row>
    <row r="959">
      <c r="C959" s="151"/>
    </row>
    <row r="960">
      <c r="C960" s="151"/>
    </row>
    <row r="961">
      <c r="C961" s="151"/>
    </row>
    <row r="962">
      <c r="C962" s="151"/>
    </row>
    <row r="963">
      <c r="C963" s="151"/>
    </row>
    <row r="964">
      <c r="C964" s="151"/>
    </row>
    <row r="965">
      <c r="C965" s="151"/>
    </row>
    <row r="966">
      <c r="C966" s="151"/>
    </row>
    <row r="967">
      <c r="C967" s="151"/>
    </row>
    <row r="968">
      <c r="C968" s="151"/>
    </row>
    <row r="969">
      <c r="C969" s="151"/>
    </row>
    <row r="970">
      <c r="C970" s="151"/>
    </row>
    <row r="971">
      <c r="C971" s="151"/>
    </row>
    <row r="972">
      <c r="C972" s="151"/>
    </row>
    <row r="973">
      <c r="C973" s="151"/>
    </row>
    <row r="974">
      <c r="C974" s="151"/>
    </row>
    <row r="975">
      <c r="C975" s="151"/>
    </row>
    <row r="976">
      <c r="C976" s="151"/>
    </row>
    <row r="977">
      <c r="C977" s="151"/>
    </row>
    <row r="978">
      <c r="C978" s="151"/>
    </row>
    <row r="979">
      <c r="C979" s="151"/>
    </row>
    <row r="980">
      <c r="C980" s="151"/>
    </row>
    <row r="981">
      <c r="C981" s="151"/>
    </row>
    <row r="982">
      <c r="C982" s="151"/>
    </row>
    <row r="983">
      <c r="C983" s="151"/>
    </row>
    <row r="984">
      <c r="C984" s="151"/>
    </row>
    <row r="985">
      <c r="C985" s="151"/>
    </row>
    <row r="986">
      <c r="C986" s="151"/>
    </row>
    <row r="987">
      <c r="C987" s="151"/>
    </row>
    <row r="988">
      <c r="C988" s="151"/>
    </row>
    <row r="989">
      <c r="C989" s="151"/>
    </row>
    <row r="990">
      <c r="C990" s="151"/>
    </row>
    <row r="991">
      <c r="C991" s="151"/>
    </row>
    <row r="992">
      <c r="C992" s="151"/>
    </row>
    <row r="993">
      <c r="C993" s="151"/>
    </row>
    <row r="994">
      <c r="C994" s="151"/>
    </row>
    <row r="995">
      <c r="C995" s="151"/>
    </row>
    <row r="996">
      <c r="C996" s="151"/>
    </row>
    <row r="997">
      <c r="C997" s="151"/>
    </row>
    <row r="998">
      <c r="C998" s="151"/>
    </row>
    <row r="999">
      <c r="C999" s="151"/>
    </row>
    <row r="1000">
      <c r="C1000" s="15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30.88"/>
    <col customWidth="1" min="4" max="4" width="24.25"/>
    <col customWidth="1" min="5" max="5" width="58.0"/>
    <col customWidth="1" min="6" max="6" width="22.25"/>
    <col customWidth="1" min="10" max="10" width="60.63"/>
    <col customWidth="1" min="11" max="11" width="24.25"/>
  </cols>
  <sheetData>
    <row r="1" ht="15.75" customHeight="1">
      <c r="A1" s="173" t="s">
        <v>3</v>
      </c>
      <c r="B1" s="173" t="s">
        <v>5</v>
      </c>
      <c r="C1" s="173" t="s">
        <v>7</v>
      </c>
      <c r="D1" s="158" t="s">
        <v>1747</v>
      </c>
      <c r="E1" s="158" t="s">
        <v>4427</v>
      </c>
      <c r="F1" s="158" t="s">
        <v>4428</v>
      </c>
      <c r="G1" s="151"/>
      <c r="H1" s="151"/>
      <c r="I1" s="151"/>
      <c r="J1" s="151"/>
      <c r="K1" s="151"/>
      <c r="L1" s="151"/>
      <c r="M1" s="151"/>
      <c r="N1" s="151"/>
      <c r="O1" s="151"/>
      <c r="P1" s="151"/>
      <c r="Q1" s="151"/>
      <c r="R1" s="151"/>
      <c r="S1" s="151"/>
      <c r="T1" s="151"/>
      <c r="U1" s="151"/>
      <c r="V1" s="151"/>
      <c r="W1" s="151"/>
      <c r="X1" s="151"/>
      <c r="Y1" s="151"/>
      <c r="Z1" s="151"/>
      <c r="AA1" s="151"/>
    </row>
    <row r="2" ht="15.75" hidden="1" customHeight="1">
      <c r="A2" s="158" t="s">
        <v>919</v>
      </c>
      <c r="B2" s="158" t="s">
        <v>918</v>
      </c>
      <c r="C2" s="158">
        <v>8.126397737E9</v>
      </c>
      <c r="D2" s="158" t="s">
        <v>1448</v>
      </c>
      <c r="E2" s="151"/>
      <c r="F2" s="151" t="str">
        <f t="array" ref="F2">XLOOKUP(B2, Summary!A:A, Summary!L:P)</f>
        <v>#N/A</v>
      </c>
      <c r="G2" s="151"/>
      <c r="H2" s="151"/>
      <c r="I2" s="151"/>
      <c r="J2" s="151"/>
      <c r="K2" s="151"/>
      <c r="L2" s="151"/>
      <c r="M2" s="151"/>
      <c r="N2" s="151"/>
      <c r="O2" s="151"/>
      <c r="P2" s="151"/>
      <c r="Q2" s="151"/>
      <c r="R2" s="151"/>
      <c r="S2" s="151"/>
      <c r="T2" s="151"/>
      <c r="U2" s="151"/>
      <c r="V2" s="151"/>
      <c r="W2" s="151"/>
      <c r="X2" s="151"/>
      <c r="Y2" s="151"/>
      <c r="Z2" s="151"/>
      <c r="AA2" s="151"/>
    </row>
    <row r="3" ht="15.75" hidden="1" customHeight="1">
      <c r="A3" s="158" t="s">
        <v>1678</v>
      </c>
      <c r="B3" s="158" t="s">
        <v>1024</v>
      </c>
      <c r="C3" s="158">
        <v>7.871464155E9</v>
      </c>
      <c r="D3" s="158" t="s">
        <v>1448</v>
      </c>
      <c r="E3" s="151" t="s">
        <v>1740</v>
      </c>
      <c r="F3" s="151"/>
      <c r="H3" s="158"/>
      <c r="I3" s="151"/>
      <c r="J3" s="151"/>
      <c r="K3" s="151"/>
      <c r="L3" s="151"/>
      <c r="M3" s="151"/>
      <c r="N3" s="151"/>
      <c r="O3" s="151"/>
      <c r="P3" s="151"/>
      <c r="Q3" s="151"/>
      <c r="R3" s="151"/>
      <c r="S3" s="151"/>
      <c r="T3" s="151"/>
      <c r="U3" s="151"/>
      <c r="V3" s="151"/>
      <c r="W3" s="151"/>
      <c r="X3" s="151"/>
      <c r="Y3" s="151"/>
      <c r="Z3" s="151"/>
      <c r="AA3" s="151"/>
    </row>
    <row r="4" ht="15.75" customHeight="1">
      <c r="A4" s="158" t="s">
        <v>1033</v>
      </c>
      <c r="B4" s="158" t="s">
        <v>322</v>
      </c>
      <c r="C4" s="158">
        <v>6.367755955E9</v>
      </c>
      <c r="D4" s="158" t="s">
        <v>1448</v>
      </c>
      <c r="E4" s="151" t="s">
        <v>1751</v>
      </c>
      <c r="F4" s="151" t="str">
        <f t="array" ref="F4">XLOOKUP(B4, Summary!A:A, Summary!L:P)</f>
        <v>#N/A</v>
      </c>
      <c r="G4" s="174"/>
      <c r="H4" s="175"/>
      <c r="I4" s="151"/>
      <c r="J4" s="151"/>
      <c r="K4" s="151"/>
      <c r="L4" s="151"/>
      <c r="M4" s="151"/>
      <c r="N4" s="151"/>
      <c r="O4" s="151"/>
      <c r="P4" s="151"/>
      <c r="Q4" s="151"/>
      <c r="R4" s="151"/>
      <c r="S4" s="151"/>
      <c r="T4" s="151"/>
      <c r="U4" s="151"/>
      <c r="V4" s="151"/>
      <c r="W4" s="151"/>
      <c r="X4" s="151"/>
      <c r="Y4" s="151"/>
      <c r="Z4" s="151"/>
      <c r="AA4" s="151"/>
    </row>
    <row r="5" ht="15.75" customHeight="1">
      <c r="A5" s="176" t="s">
        <v>1461</v>
      </c>
      <c r="B5" s="176" t="s">
        <v>1115</v>
      </c>
      <c r="C5" s="176">
        <v>9.999482864E9</v>
      </c>
      <c r="D5" s="176" t="s">
        <v>1448</v>
      </c>
      <c r="E5" s="177" t="s">
        <v>1790</v>
      </c>
      <c r="F5" s="177" t="str">
        <f t="array" ref="F5">XLOOKUP(B5, Summary!A:A, Summary!L:P)</f>
        <v>#N/A</v>
      </c>
      <c r="G5" s="174"/>
      <c r="H5" s="175"/>
      <c r="I5" s="151"/>
      <c r="J5" s="151"/>
      <c r="K5" s="151"/>
      <c r="L5" s="151"/>
      <c r="M5" s="151"/>
      <c r="N5" s="151"/>
      <c r="O5" s="151"/>
      <c r="P5" s="151"/>
      <c r="Q5" s="151"/>
      <c r="R5" s="151"/>
      <c r="S5" s="151"/>
      <c r="T5" s="151"/>
      <c r="U5" s="151"/>
      <c r="V5" s="151"/>
      <c r="W5" s="151"/>
      <c r="X5" s="151"/>
      <c r="Y5" s="151"/>
      <c r="Z5" s="151"/>
      <c r="AA5" s="151"/>
    </row>
    <row r="6" ht="15.75" customHeight="1">
      <c r="A6" s="178" t="s">
        <v>1607</v>
      </c>
      <c r="B6" s="178" t="s">
        <v>468</v>
      </c>
      <c r="C6" s="178">
        <v>7.388999447E9</v>
      </c>
      <c r="D6" s="178" t="s">
        <v>1448</v>
      </c>
      <c r="E6" s="179" t="s">
        <v>1817</v>
      </c>
      <c r="F6" s="179" t="str">
        <f t="array" ref="F6">XLOOKUP(B6, Summary!A:A, Summary!L:P)</f>
        <v>#N/A</v>
      </c>
      <c r="G6" s="180"/>
      <c r="H6" s="181"/>
      <c r="I6" s="151"/>
      <c r="J6" s="151"/>
      <c r="K6" s="151"/>
      <c r="L6" s="151"/>
      <c r="M6" s="151"/>
      <c r="N6" s="151"/>
      <c r="O6" s="151"/>
      <c r="P6" s="151"/>
      <c r="Q6" s="151"/>
      <c r="R6" s="151"/>
      <c r="S6" s="151"/>
      <c r="T6" s="151"/>
      <c r="U6" s="151"/>
      <c r="V6" s="151"/>
      <c r="W6" s="151"/>
      <c r="X6" s="151"/>
      <c r="Y6" s="151"/>
      <c r="Z6" s="151"/>
      <c r="AA6" s="151"/>
    </row>
    <row r="7" ht="15.75" hidden="1" customHeight="1">
      <c r="A7" s="176" t="s">
        <v>37</v>
      </c>
      <c r="B7" s="176" t="s">
        <v>39</v>
      </c>
      <c r="C7" s="176">
        <v>8.077448501E9</v>
      </c>
      <c r="D7" s="176" t="s">
        <v>1448</v>
      </c>
      <c r="E7" s="177" t="s">
        <v>1870</v>
      </c>
      <c r="F7" s="177"/>
      <c r="G7" s="182"/>
      <c r="H7" s="175"/>
      <c r="I7" s="151"/>
      <c r="J7" s="151"/>
      <c r="K7" s="151"/>
      <c r="L7" s="151"/>
      <c r="M7" s="151"/>
      <c r="N7" s="151"/>
      <c r="O7" s="151"/>
      <c r="P7" s="151"/>
      <c r="Q7" s="151"/>
      <c r="R7" s="151"/>
      <c r="S7" s="151"/>
      <c r="T7" s="151"/>
      <c r="U7" s="151"/>
      <c r="V7" s="151"/>
      <c r="W7" s="151"/>
      <c r="X7" s="151"/>
      <c r="Y7" s="151"/>
      <c r="Z7" s="151"/>
      <c r="AA7" s="151"/>
    </row>
    <row r="8" ht="15.75" hidden="1" customHeight="1">
      <c r="A8" s="178" t="s">
        <v>837</v>
      </c>
      <c r="B8" s="178" t="s">
        <v>838</v>
      </c>
      <c r="C8" s="178">
        <v>9.508492656E9</v>
      </c>
      <c r="D8" s="178" t="s">
        <v>1448</v>
      </c>
      <c r="E8" s="179"/>
      <c r="F8" s="179" t="str">
        <f t="array" ref="F8">XLOOKUP(B8, Summary!A:A, Summary!L:P)</f>
        <v>#N/A</v>
      </c>
      <c r="G8" s="179"/>
      <c r="H8" s="179"/>
      <c r="I8" s="151"/>
      <c r="J8" s="151"/>
      <c r="K8" s="151"/>
      <c r="L8" s="151"/>
      <c r="M8" s="151"/>
      <c r="N8" s="151"/>
      <c r="O8" s="151"/>
      <c r="P8" s="151"/>
      <c r="Q8" s="151"/>
      <c r="R8" s="151"/>
      <c r="S8" s="151"/>
      <c r="T8" s="151"/>
      <c r="U8" s="151"/>
      <c r="V8" s="151"/>
      <c r="W8" s="151"/>
      <c r="X8" s="151"/>
      <c r="Y8" s="151"/>
      <c r="Z8" s="151"/>
      <c r="AA8" s="151"/>
    </row>
    <row r="9" ht="15.75" hidden="1" customHeight="1">
      <c r="A9" s="176" t="s">
        <v>814</v>
      </c>
      <c r="B9" s="176" t="s">
        <v>813</v>
      </c>
      <c r="C9" s="176">
        <v>8.248409268E9</v>
      </c>
      <c r="D9" s="176" t="s">
        <v>1448</v>
      </c>
      <c r="E9" s="177"/>
      <c r="F9" s="177" t="str">
        <f t="array" ref="F9">XLOOKUP(B9, Summary!A:A, Summary!L:P)</f>
        <v>#N/A</v>
      </c>
      <c r="G9" s="177"/>
      <c r="H9" s="177"/>
      <c r="I9" s="151"/>
      <c r="J9" s="151"/>
      <c r="K9" s="151"/>
      <c r="L9" s="151"/>
      <c r="M9" s="151"/>
      <c r="N9" s="151"/>
      <c r="O9" s="151"/>
      <c r="P9" s="151"/>
      <c r="Q9" s="151"/>
      <c r="R9" s="151"/>
      <c r="S9" s="151"/>
      <c r="T9" s="151"/>
      <c r="U9" s="151"/>
      <c r="V9" s="151"/>
      <c r="W9" s="151"/>
      <c r="X9" s="151"/>
      <c r="Y9" s="151"/>
      <c r="Z9" s="151"/>
      <c r="AA9" s="151"/>
    </row>
    <row r="10" ht="15.75" hidden="1" customHeight="1">
      <c r="A10" s="183" t="s">
        <v>1862</v>
      </c>
      <c r="B10" s="183" t="s">
        <v>1107</v>
      </c>
      <c r="C10" s="184">
        <v>8.707484932E9</v>
      </c>
      <c r="D10" s="178" t="s">
        <v>1448</v>
      </c>
      <c r="E10" s="179"/>
      <c r="F10" s="179" t="str">
        <f t="array" ref="F10">XLOOKUP(B10, Summary!A:A, Summary!L:P)</f>
        <v>#N/A</v>
      </c>
      <c r="G10" s="179"/>
      <c r="H10" s="179"/>
      <c r="I10" s="151"/>
      <c r="J10" s="151"/>
      <c r="K10" s="151"/>
      <c r="L10" s="151"/>
      <c r="M10" s="151"/>
      <c r="N10" s="151"/>
      <c r="O10" s="151"/>
      <c r="P10" s="151"/>
      <c r="Q10" s="151"/>
      <c r="R10" s="151"/>
      <c r="S10" s="151"/>
      <c r="T10" s="151"/>
      <c r="U10" s="151"/>
      <c r="V10" s="151"/>
      <c r="W10" s="151"/>
      <c r="X10" s="151"/>
      <c r="Y10" s="151"/>
      <c r="Z10" s="151"/>
      <c r="AA10" s="151"/>
    </row>
    <row r="11" ht="15.75" customHeight="1">
      <c r="A11" s="158" t="s">
        <v>1942</v>
      </c>
      <c r="B11" s="158" t="s">
        <v>741</v>
      </c>
      <c r="C11" s="158">
        <v>6.377423582E9</v>
      </c>
      <c r="D11" s="158" t="s">
        <v>1448</v>
      </c>
      <c r="E11" s="151" t="s">
        <v>1961</v>
      </c>
      <c r="F11" s="151" t="str">
        <f t="array" ref="F11">XLOOKUP(B11, Summary!A:A, Summary!L:P)</f>
        <v>#N/A</v>
      </c>
      <c r="G11" s="151"/>
      <c r="H11" s="151"/>
      <c r="I11" s="151"/>
      <c r="J11" s="151"/>
      <c r="K11" s="151"/>
      <c r="L11" s="151"/>
      <c r="M11" s="151"/>
      <c r="N11" s="151"/>
      <c r="O11" s="151"/>
      <c r="P11" s="151"/>
      <c r="Q11" s="151"/>
      <c r="R11" s="151"/>
      <c r="S11" s="151"/>
      <c r="T11" s="151"/>
      <c r="U11" s="151"/>
      <c r="V11" s="151"/>
      <c r="W11" s="151"/>
      <c r="X11" s="151"/>
      <c r="Y11" s="151"/>
      <c r="Z11" s="151"/>
      <c r="AA11" s="151"/>
    </row>
    <row r="12" ht="15.75" customHeight="1">
      <c r="A12" s="158" t="s">
        <v>74</v>
      </c>
      <c r="B12" s="158" t="s">
        <v>76</v>
      </c>
      <c r="C12" s="158">
        <v>9.142347554E9</v>
      </c>
      <c r="D12" s="158" t="s">
        <v>1448</v>
      </c>
      <c r="E12" s="151" t="s">
        <v>2031</v>
      </c>
      <c r="F12" s="151" t="str">
        <f t="array" ref="F12">XLOOKUP(B12, Summary!A:A, Summary!L:P)</f>
        <v>#N/A</v>
      </c>
      <c r="G12" s="151"/>
      <c r="H12" s="151"/>
      <c r="I12" s="151"/>
      <c r="J12" s="151"/>
      <c r="K12" s="151"/>
      <c r="L12" s="151"/>
      <c r="M12" s="151"/>
      <c r="N12" s="151"/>
      <c r="O12" s="151"/>
      <c r="P12" s="151"/>
      <c r="Q12" s="151"/>
      <c r="R12" s="151"/>
      <c r="S12" s="151"/>
      <c r="T12" s="151"/>
      <c r="U12" s="151"/>
      <c r="V12" s="151"/>
      <c r="W12" s="151"/>
      <c r="X12" s="151"/>
      <c r="Y12" s="151"/>
      <c r="Z12" s="151"/>
      <c r="AA12" s="151"/>
    </row>
    <row r="13" ht="15.75" hidden="1" customHeight="1">
      <c r="A13" s="158" t="s">
        <v>1951</v>
      </c>
      <c r="B13" s="158" t="s">
        <v>1239</v>
      </c>
      <c r="C13" s="158">
        <v>9.967155568E9</v>
      </c>
      <c r="D13" s="158" t="s">
        <v>1448</v>
      </c>
      <c r="E13" s="151"/>
      <c r="F13" s="151" t="str">
        <f t="array" ref="F13">XLOOKUP(B13, Summary!A:A, Summary!L:P)</f>
        <v>#N/A</v>
      </c>
      <c r="G13" s="151"/>
      <c r="H13" s="151"/>
      <c r="I13" s="151"/>
      <c r="J13" s="151"/>
      <c r="K13" s="151"/>
      <c r="L13" s="151"/>
      <c r="M13" s="151"/>
      <c r="N13" s="151"/>
      <c r="O13" s="151"/>
      <c r="P13" s="151"/>
      <c r="Q13" s="151"/>
      <c r="R13" s="151"/>
      <c r="S13" s="151"/>
      <c r="T13" s="151"/>
      <c r="U13" s="151"/>
      <c r="V13" s="151"/>
      <c r="W13" s="151"/>
      <c r="X13" s="151"/>
      <c r="Y13" s="151"/>
      <c r="Z13" s="151"/>
      <c r="AA13" s="151"/>
    </row>
    <row r="14" ht="15.75" customHeight="1">
      <c r="A14" s="158" t="s">
        <v>282</v>
      </c>
      <c r="B14" s="158" t="s">
        <v>284</v>
      </c>
      <c r="C14" s="158">
        <v>9.460844955E9</v>
      </c>
      <c r="D14" s="158" t="s">
        <v>1448</v>
      </c>
      <c r="E14" s="151" t="s">
        <v>1909</v>
      </c>
      <c r="F14" s="151" t="str">
        <f t="array" ref="F14">XLOOKUP(B14, Summary!A:A, Summary!L:P)</f>
        <v>#N/A</v>
      </c>
      <c r="G14" s="151"/>
      <c r="H14" s="151"/>
      <c r="I14" s="151"/>
      <c r="J14" s="151"/>
      <c r="K14" s="151"/>
      <c r="L14" s="151"/>
      <c r="M14" s="151"/>
      <c r="N14" s="151"/>
      <c r="O14" s="151"/>
      <c r="P14" s="151"/>
      <c r="Q14" s="151"/>
      <c r="R14" s="151"/>
      <c r="S14" s="151"/>
      <c r="T14" s="151"/>
      <c r="U14" s="151"/>
      <c r="V14" s="151"/>
      <c r="W14" s="151"/>
      <c r="X14" s="151"/>
      <c r="Y14" s="151"/>
      <c r="Z14" s="151"/>
      <c r="AA14" s="151"/>
    </row>
    <row r="15" ht="15.75" hidden="1" customHeight="1">
      <c r="A15" s="158" t="s">
        <v>732</v>
      </c>
      <c r="B15" s="158" t="s">
        <v>731</v>
      </c>
      <c r="C15" s="158">
        <v>9.340448257E9</v>
      </c>
      <c r="D15" s="158" t="s">
        <v>1448</v>
      </c>
      <c r="E15" s="151"/>
      <c r="F15" s="151" t="str">
        <f t="array" ref="F15">XLOOKUP(B15, Summary!A:A, Summary!L:P)</f>
        <v>#N/A</v>
      </c>
      <c r="G15" s="151"/>
      <c r="H15" s="151"/>
      <c r="I15" s="151"/>
      <c r="J15" s="151"/>
      <c r="K15" s="151"/>
      <c r="L15" s="151"/>
      <c r="M15" s="151"/>
      <c r="N15" s="151"/>
      <c r="O15" s="151"/>
      <c r="P15" s="151"/>
      <c r="Q15" s="151"/>
      <c r="R15" s="151"/>
      <c r="S15" s="151"/>
      <c r="T15" s="151"/>
      <c r="U15" s="151"/>
      <c r="V15" s="151"/>
      <c r="W15" s="151"/>
      <c r="X15" s="151"/>
      <c r="Y15" s="151"/>
      <c r="Z15" s="151"/>
      <c r="AA15" s="151"/>
    </row>
    <row r="16" ht="15.75" hidden="1" customHeight="1">
      <c r="A16" s="158" t="s">
        <v>787</v>
      </c>
      <c r="B16" s="158" t="s">
        <v>785</v>
      </c>
      <c r="C16" s="158">
        <v>6.283228175E9</v>
      </c>
      <c r="D16" s="158" t="s">
        <v>1448</v>
      </c>
      <c r="E16" s="151"/>
      <c r="F16" s="151" t="str">
        <f t="array" ref="F16">XLOOKUP(B16, Summary!A:A, Summary!L:P)</f>
        <v>#N/A</v>
      </c>
      <c r="G16" s="151"/>
      <c r="H16" s="151"/>
      <c r="I16" s="151"/>
      <c r="J16" s="151"/>
      <c r="K16" s="151"/>
      <c r="L16" s="151"/>
      <c r="M16" s="151"/>
      <c r="N16" s="151"/>
      <c r="O16" s="151"/>
      <c r="P16" s="151"/>
      <c r="Q16" s="151"/>
      <c r="R16" s="151"/>
      <c r="S16" s="151"/>
      <c r="T16" s="151"/>
      <c r="U16" s="151"/>
      <c r="V16" s="151"/>
      <c r="W16" s="151"/>
      <c r="X16" s="151"/>
      <c r="Y16" s="151"/>
      <c r="Z16" s="151"/>
      <c r="AA16" s="151"/>
    </row>
    <row r="17" ht="15.75" customHeight="1">
      <c r="A17" s="158" t="s">
        <v>777</v>
      </c>
      <c r="B17" s="158" t="s">
        <v>776</v>
      </c>
      <c r="C17" s="158">
        <v>9.878200213E9</v>
      </c>
      <c r="D17" s="158" t="s">
        <v>1448</v>
      </c>
      <c r="E17" s="151" t="s">
        <v>2273</v>
      </c>
      <c r="F17" s="151" t="str">
        <f t="array" ref="F17">XLOOKUP(B17, Summary!A:A, Summary!L:P)</f>
        <v>#N/A</v>
      </c>
      <c r="G17" s="151"/>
      <c r="H17" s="151"/>
      <c r="I17" s="151"/>
      <c r="J17" s="151"/>
      <c r="K17" s="151"/>
      <c r="L17" s="151"/>
      <c r="M17" s="151"/>
      <c r="N17" s="151"/>
      <c r="O17" s="151"/>
      <c r="P17" s="151"/>
      <c r="Q17" s="151"/>
      <c r="R17" s="151"/>
      <c r="S17" s="151"/>
      <c r="T17" s="151"/>
      <c r="U17" s="151"/>
      <c r="V17" s="151"/>
      <c r="W17" s="151"/>
      <c r="X17" s="151"/>
      <c r="Y17" s="151"/>
      <c r="Z17" s="151"/>
      <c r="AA17" s="151"/>
    </row>
    <row r="18" ht="15.75" hidden="1" customHeight="1">
      <c r="A18" s="158" t="s">
        <v>146</v>
      </c>
      <c r="B18" s="158" t="s">
        <v>149</v>
      </c>
      <c r="C18" s="158">
        <v>8.28777025E9</v>
      </c>
      <c r="D18" s="158" t="s">
        <v>1448</v>
      </c>
      <c r="E18" s="151"/>
      <c r="F18" s="151" t="str">
        <f t="array" ref="F18">XLOOKUP(B18, Summary!A:A, Summary!L:P)</f>
        <v>#N/A</v>
      </c>
      <c r="G18" s="151"/>
      <c r="H18" s="151"/>
      <c r="I18" s="151"/>
      <c r="J18" s="151"/>
      <c r="K18" s="151"/>
      <c r="L18" s="151"/>
      <c r="M18" s="151"/>
      <c r="N18" s="151"/>
      <c r="O18" s="151"/>
      <c r="P18" s="151"/>
      <c r="Q18" s="151"/>
      <c r="R18" s="151"/>
      <c r="S18" s="151"/>
      <c r="T18" s="151"/>
      <c r="U18" s="151"/>
      <c r="V18" s="151"/>
      <c r="W18" s="151"/>
      <c r="X18" s="151"/>
      <c r="Y18" s="151"/>
      <c r="Z18" s="151"/>
      <c r="AA18" s="151"/>
    </row>
    <row r="19" ht="15.75" customHeight="1">
      <c r="A19" s="158" t="s">
        <v>794</v>
      </c>
      <c r="B19" s="158" t="s">
        <v>792</v>
      </c>
      <c r="C19" s="158">
        <v>9.119292553E9</v>
      </c>
      <c r="D19" s="158" t="s">
        <v>1448</v>
      </c>
      <c r="E19" s="151" t="s">
        <v>2031</v>
      </c>
      <c r="F19" s="151" t="str">
        <f t="array" ref="F19">XLOOKUP(B19, Summary!A:A, Summary!L:P)</f>
        <v>#N/A</v>
      </c>
      <c r="G19" s="151"/>
      <c r="H19" s="151"/>
      <c r="I19" s="151"/>
      <c r="J19" s="151"/>
      <c r="K19" s="151"/>
      <c r="L19" s="151"/>
      <c r="M19" s="151"/>
      <c r="N19" s="151"/>
      <c r="O19" s="151"/>
      <c r="P19" s="151"/>
      <c r="Q19" s="151"/>
      <c r="R19" s="151"/>
      <c r="S19" s="151"/>
      <c r="T19" s="151"/>
      <c r="U19" s="151"/>
      <c r="V19" s="151"/>
      <c r="W19" s="151"/>
      <c r="X19" s="151"/>
      <c r="Y19" s="151"/>
      <c r="Z19" s="151"/>
      <c r="AA19" s="151"/>
    </row>
    <row r="20" hidden="1">
      <c r="A20" s="158" t="s">
        <v>1943</v>
      </c>
      <c r="B20" s="158" t="s">
        <v>844</v>
      </c>
      <c r="C20" s="158">
        <v>8.305039922E9</v>
      </c>
      <c r="D20" s="158" t="s">
        <v>1485</v>
      </c>
      <c r="E20" s="151"/>
      <c r="F20" s="151" t="str">
        <f t="array" ref="F20">XLOOKUP(B20, Summary!A:A, Summary!L:P)</f>
        <v>#N/A</v>
      </c>
      <c r="G20" s="151"/>
      <c r="H20" s="151"/>
      <c r="I20" s="151"/>
      <c r="J20" s="151"/>
      <c r="K20" s="151"/>
      <c r="L20" s="151"/>
      <c r="M20" s="151"/>
      <c r="N20" s="151"/>
      <c r="O20" s="151"/>
      <c r="P20" s="151"/>
      <c r="Q20" s="151"/>
      <c r="R20" s="151"/>
      <c r="S20" s="151"/>
      <c r="T20" s="151"/>
      <c r="U20" s="151"/>
      <c r="V20" s="151"/>
      <c r="W20" s="151"/>
      <c r="X20" s="151"/>
      <c r="Y20" s="151"/>
      <c r="Z20" s="151"/>
      <c r="AA20" s="151"/>
    </row>
    <row r="21" hidden="1">
      <c r="A21" s="158" t="s">
        <v>1141</v>
      </c>
      <c r="B21" s="158" t="s">
        <v>1140</v>
      </c>
      <c r="C21" s="158">
        <v>6.299568744E9</v>
      </c>
      <c r="D21" s="158" t="s">
        <v>1485</v>
      </c>
      <c r="E21" s="151"/>
      <c r="F21" s="151" t="str">
        <f t="array" ref="F21">XLOOKUP(B21, Summary!A:A, Summary!L:P)</f>
        <v>#N/A</v>
      </c>
      <c r="G21" s="151"/>
      <c r="H21" s="151"/>
      <c r="I21" s="151"/>
      <c r="J21" s="151"/>
      <c r="K21" s="151"/>
      <c r="L21" s="151"/>
      <c r="M21" s="151"/>
      <c r="N21" s="151"/>
      <c r="O21" s="151"/>
      <c r="P21" s="151"/>
      <c r="Q21" s="151"/>
      <c r="R21" s="151"/>
      <c r="S21" s="151"/>
      <c r="T21" s="151"/>
      <c r="U21" s="151"/>
      <c r="V21" s="151"/>
      <c r="W21" s="151"/>
      <c r="X21" s="151"/>
      <c r="Y21" s="151"/>
      <c r="Z21" s="151"/>
      <c r="AA21" s="151"/>
    </row>
    <row r="22">
      <c r="A22" s="158" t="s">
        <v>946</v>
      </c>
      <c r="B22" s="158" t="s">
        <v>945</v>
      </c>
      <c r="C22" s="158">
        <v>7.082067896E9</v>
      </c>
      <c r="D22" s="158" t="s">
        <v>1485</v>
      </c>
      <c r="E22" s="151" t="s">
        <v>2101</v>
      </c>
      <c r="F22" s="151" t="str">
        <f t="array" ref="F22">XLOOKUP(B22, Summary!A:A, Summary!L:P)</f>
        <v>#N/A</v>
      </c>
      <c r="G22" s="151"/>
      <c r="H22" s="151"/>
      <c r="I22" s="151"/>
      <c r="J22" s="151"/>
      <c r="K22" s="151"/>
      <c r="L22" s="151"/>
      <c r="M22" s="151"/>
      <c r="N22" s="151"/>
      <c r="O22" s="151"/>
      <c r="P22" s="151"/>
      <c r="Q22" s="151"/>
      <c r="R22" s="151"/>
      <c r="S22" s="151"/>
      <c r="T22" s="151"/>
      <c r="U22" s="151"/>
      <c r="V22" s="151"/>
      <c r="W22" s="151"/>
      <c r="X22" s="151"/>
      <c r="Y22" s="151"/>
      <c r="Z22" s="151"/>
      <c r="AA22" s="151"/>
    </row>
    <row r="23" ht="15.75" hidden="1" customHeight="1">
      <c r="A23" s="158" t="s">
        <v>1078</v>
      </c>
      <c r="B23" s="158" t="s">
        <v>1076</v>
      </c>
      <c r="C23" s="158">
        <v>9.538944471E9</v>
      </c>
      <c r="D23" s="158" t="s">
        <v>1527</v>
      </c>
      <c r="E23" s="151"/>
      <c r="F23" s="151" t="str">
        <f t="array" ref="F23">XLOOKUP(B23, Summary!A:A, Summary!L:P)</f>
        <v>#N/A</v>
      </c>
      <c r="G23" s="151"/>
      <c r="H23" s="151"/>
      <c r="I23" s="151"/>
      <c r="J23" s="151"/>
      <c r="K23" s="151"/>
      <c r="L23" s="151"/>
      <c r="M23" s="151"/>
      <c r="N23" s="151"/>
      <c r="O23" s="151"/>
      <c r="P23" s="151"/>
      <c r="Q23" s="151"/>
      <c r="R23" s="151"/>
      <c r="S23" s="151"/>
      <c r="T23" s="151"/>
      <c r="U23" s="151"/>
      <c r="V23" s="151"/>
      <c r="W23" s="151"/>
      <c r="X23" s="151"/>
      <c r="Y23" s="151"/>
      <c r="Z23" s="151"/>
      <c r="AA23" s="151"/>
    </row>
    <row r="24" ht="15.75" hidden="1" customHeight="1">
      <c r="A24" s="158" t="s">
        <v>621</v>
      </c>
      <c r="B24" s="158" t="s">
        <v>622</v>
      </c>
      <c r="C24" s="158">
        <v>8.368322631E9</v>
      </c>
      <c r="D24" s="158" t="s">
        <v>1527</v>
      </c>
      <c r="E24" s="151" t="s">
        <v>2153</v>
      </c>
      <c r="F24" s="151" t="str">
        <f t="array" ref="F24">XLOOKUP(B24, Summary!A:A, Summary!L:P)</f>
        <v>#N/A</v>
      </c>
      <c r="H24" s="158"/>
      <c r="I24" s="151"/>
      <c r="J24" s="151"/>
      <c r="K24" s="151"/>
      <c r="L24" s="151"/>
      <c r="M24" s="151"/>
      <c r="N24" s="151"/>
      <c r="O24" s="151"/>
      <c r="P24" s="151"/>
      <c r="Q24" s="151"/>
      <c r="R24" s="151"/>
      <c r="S24" s="151"/>
      <c r="T24" s="151"/>
      <c r="U24" s="151"/>
      <c r="V24" s="151"/>
      <c r="W24" s="151"/>
      <c r="X24" s="151"/>
      <c r="Y24" s="151"/>
      <c r="Z24" s="151"/>
      <c r="AA24" s="151"/>
    </row>
    <row r="25" ht="15.75" hidden="1" customHeight="1">
      <c r="A25" s="158" t="s">
        <v>747</v>
      </c>
      <c r="B25" s="158" t="s">
        <v>745</v>
      </c>
      <c r="C25" s="158">
        <v>7.338315216E9</v>
      </c>
      <c r="D25" s="158" t="s">
        <v>1527</v>
      </c>
      <c r="E25" s="151"/>
      <c r="F25" s="151" t="str">
        <f t="array" ref="F25">XLOOKUP(B25, Summary!A:A, Summary!L:P)</f>
        <v>#N/A</v>
      </c>
      <c r="G25" s="151"/>
      <c r="H25" s="151"/>
      <c r="I25" s="151"/>
      <c r="J25" s="151"/>
      <c r="K25" s="151"/>
      <c r="L25" s="151"/>
      <c r="M25" s="151"/>
      <c r="N25" s="151"/>
      <c r="O25" s="151"/>
      <c r="P25" s="151"/>
      <c r="Q25" s="151"/>
      <c r="R25" s="151"/>
      <c r="S25" s="151"/>
      <c r="T25" s="151"/>
      <c r="U25" s="151"/>
      <c r="V25" s="151"/>
      <c r="W25" s="151"/>
      <c r="X25" s="151"/>
      <c r="Y25" s="151"/>
      <c r="Z25" s="151"/>
      <c r="AA25" s="151"/>
    </row>
    <row r="26" ht="15.75" hidden="1" customHeight="1">
      <c r="A26" s="158" t="s">
        <v>892</v>
      </c>
      <c r="B26" s="158" t="s">
        <v>891</v>
      </c>
      <c r="C26" s="158">
        <v>9.204636108E9</v>
      </c>
      <c r="D26" s="158" t="s">
        <v>1527</v>
      </c>
      <c r="E26" s="151"/>
      <c r="F26" s="151" t="str">
        <f t="array" ref="F26">XLOOKUP(B26, Summary!A:A, Summary!L:P)</f>
        <v>#N/A</v>
      </c>
      <c r="G26" s="151"/>
      <c r="H26" s="151"/>
      <c r="I26" s="151"/>
      <c r="J26" s="151"/>
      <c r="K26" s="151"/>
      <c r="L26" s="151"/>
      <c r="M26" s="151"/>
      <c r="N26" s="151"/>
      <c r="O26" s="151"/>
      <c r="P26" s="151"/>
      <c r="Q26" s="151"/>
      <c r="R26" s="151"/>
      <c r="S26" s="151"/>
      <c r="T26" s="151"/>
      <c r="U26" s="151"/>
      <c r="V26" s="151"/>
      <c r="W26" s="151"/>
      <c r="X26" s="151"/>
      <c r="Y26" s="151"/>
      <c r="Z26" s="151"/>
      <c r="AA26" s="151"/>
    </row>
    <row r="27" ht="15.75" hidden="1" customHeight="1">
      <c r="A27" s="158" t="s">
        <v>820</v>
      </c>
      <c r="B27" s="158" t="s">
        <v>818</v>
      </c>
      <c r="C27" s="158">
        <v>9.887000516E9</v>
      </c>
      <c r="D27" s="158" t="s">
        <v>1527</v>
      </c>
      <c r="E27" s="151"/>
      <c r="F27" s="151" t="str">
        <f t="array" ref="F27">XLOOKUP(B27, Summary!A:A, Summary!L:P)</f>
        <v>#N/A</v>
      </c>
      <c r="G27" s="151"/>
      <c r="H27" s="151"/>
      <c r="I27" s="151"/>
      <c r="J27" s="151"/>
      <c r="K27" s="151"/>
      <c r="L27" s="151"/>
      <c r="M27" s="151"/>
      <c r="N27" s="151"/>
      <c r="O27" s="151"/>
      <c r="P27" s="151"/>
      <c r="Q27" s="151"/>
      <c r="R27" s="151"/>
      <c r="S27" s="151"/>
      <c r="T27" s="151"/>
      <c r="U27" s="151"/>
      <c r="V27" s="151"/>
      <c r="W27" s="151"/>
      <c r="X27" s="151"/>
      <c r="Y27" s="151"/>
      <c r="Z27" s="151"/>
      <c r="AA27" s="151"/>
    </row>
    <row r="28" ht="15.75" hidden="1" customHeight="1">
      <c r="A28" s="158" t="s">
        <v>1971</v>
      </c>
      <c r="B28" s="158" t="s">
        <v>701</v>
      </c>
      <c r="C28" s="158">
        <v>9.600186734E9</v>
      </c>
      <c r="D28" s="158" t="s">
        <v>1527</v>
      </c>
      <c r="E28" s="151"/>
      <c r="F28" s="151" t="str">
        <f t="array" ref="F28">XLOOKUP(B28, Summary!A:A, Summary!L:P)</f>
        <v>#N/A</v>
      </c>
      <c r="G28" s="151"/>
      <c r="H28" s="151"/>
      <c r="I28" s="151"/>
      <c r="J28" s="151"/>
      <c r="K28" s="151"/>
      <c r="L28" s="151"/>
      <c r="M28" s="151"/>
      <c r="N28" s="151"/>
      <c r="O28" s="151"/>
      <c r="P28" s="151"/>
      <c r="Q28" s="151"/>
      <c r="R28" s="151"/>
      <c r="S28" s="151"/>
      <c r="T28" s="151"/>
      <c r="U28" s="151"/>
      <c r="V28" s="151"/>
      <c r="W28" s="151"/>
      <c r="X28" s="151"/>
      <c r="Y28" s="151"/>
      <c r="Z28" s="151"/>
      <c r="AA28" s="151"/>
    </row>
    <row r="29" ht="15.75" hidden="1" customHeight="1">
      <c r="A29" s="158" t="s">
        <v>864</v>
      </c>
      <c r="B29" s="158" t="s">
        <v>862</v>
      </c>
      <c r="C29" s="158">
        <v>7.599830625E9</v>
      </c>
      <c r="D29" s="158" t="s">
        <v>1527</v>
      </c>
      <c r="E29" s="151" t="s">
        <v>2305</v>
      </c>
      <c r="F29" s="151" t="str">
        <f t="array" ref="F29">XLOOKUP(B29, Summary!A:A, Summary!L:P)</f>
        <v>#N/A</v>
      </c>
      <c r="H29" s="158"/>
      <c r="I29" s="151"/>
      <c r="J29" s="151"/>
      <c r="K29" s="151"/>
      <c r="L29" s="151"/>
      <c r="M29" s="151"/>
      <c r="N29" s="151"/>
      <c r="O29" s="151"/>
      <c r="P29" s="151"/>
      <c r="Q29" s="151"/>
      <c r="R29" s="151"/>
      <c r="S29" s="151"/>
      <c r="T29" s="151"/>
      <c r="U29" s="151"/>
      <c r="V29" s="151"/>
      <c r="W29" s="151"/>
      <c r="X29" s="151"/>
      <c r="Y29" s="151"/>
      <c r="Z29" s="151"/>
      <c r="AA29" s="151"/>
    </row>
    <row r="30" ht="15.75" hidden="1" customHeight="1">
      <c r="A30" s="158" t="s">
        <v>609</v>
      </c>
      <c r="B30" s="158" t="s">
        <v>611</v>
      </c>
      <c r="C30" s="158">
        <v>7.439629745E9</v>
      </c>
      <c r="D30" s="158" t="s">
        <v>1527</v>
      </c>
      <c r="E30" s="151"/>
      <c r="F30" s="151" t="str">
        <f t="array" ref="F30">XLOOKUP(B30, Summary!A:A, Summary!L:P)</f>
        <v>#N/A</v>
      </c>
      <c r="G30" s="151"/>
      <c r="H30" s="151"/>
      <c r="I30" s="151"/>
      <c r="J30" s="151"/>
      <c r="K30" s="151"/>
      <c r="L30" s="151"/>
      <c r="M30" s="151"/>
      <c r="N30" s="151"/>
      <c r="O30" s="151"/>
      <c r="P30" s="151"/>
      <c r="Q30" s="151"/>
      <c r="R30" s="151"/>
      <c r="S30" s="151"/>
      <c r="T30" s="151"/>
      <c r="U30" s="151"/>
      <c r="V30" s="151"/>
      <c r="W30" s="151"/>
      <c r="X30" s="151"/>
      <c r="Y30" s="151"/>
      <c r="Z30" s="151"/>
      <c r="AA30" s="151"/>
    </row>
    <row r="31" ht="15.75" hidden="1" customHeight="1">
      <c r="A31" s="158" t="s">
        <v>2315</v>
      </c>
      <c r="B31" s="158" t="s">
        <v>721</v>
      </c>
      <c r="C31" s="158">
        <v>7.777998625E9</v>
      </c>
      <c r="D31" s="158" t="s">
        <v>1527</v>
      </c>
      <c r="E31" s="151"/>
      <c r="F31" s="151" t="str">
        <f t="array" ref="F31">XLOOKUP(B31, Summary!A:A, Summary!L:P)</f>
        <v>#N/A</v>
      </c>
      <c r="G31" s="151"/>
      <c r="H31" s="151"/>
      <c r="I31" s="151"/>
      <c r="J31" s="151"/>
      <c r="K31" s="151"/>
      <c r="L31" s="151"/>
      <c r="M31" s="151"/>
      <c r="N31" s="151"/>
      <c r="O31" s="151"/>
      <c r="P31" s="151"/>
      <c r="Q31" s="151"/>
      <c r="R31" s="151"/>
      <c r="S31" s="151"/>
      <c r="T31" s="151"/>
      <c r="U31" s="151"/>
      <c r="V31" s="151"/>
      <c r="W31" s="151"/>
      <c r="X31" s="151"/>
      <c r="Y31" s="151"/>
      <c r="Z31" s="151"/>
      <c r="AA31" s="151"/>
    </row>
    <row r="32" ht="15.75" hidden="1" customHeight="1">
      <c r="A32" s="158" t="s">
        <v>2037</v>
      </c>
      <c r="B32" s="158" t="s">
        <v>815</v>
      </c>
      <c r="C32" s="158">
        <v>9.024106878E9</v>
      </c>
      <c r="D32" s="158" t="s">
        <v>2075</v>
      </c>
      <c r="E32" s="151"/>
      <c r="F32" s="151" t="str">
        <f t="array" ref="F32">XLOOKUP(B32, Summary!A:A, Summary!L:P)</f>
        <v>#N/A</v>
      </c>
      <c r="G32" s="151"/>
      <c r="H32" s="151"/>
      <c r="I32" s="151"/>
      <c r="J32" s="151"/>
      <c r="K32" s="151"/>
      <c r="L32" s="151"/>
      <c r="M32" s="151"/>
      <c r="N32" s="151"/>
      <c r="O32" s="151"/>
      <c r="P32" s="151"/>
      <c r="Q32" s="151"/>
      <c r="R32" s="151"/>
      <c r="S32" s="151"/>
      <c r="T32" s="151"/>
      <c r="U32" s="151"/>
      <c r="V32" s="151"/>
      <c r="W32" s="151"/>
      <c r="X32" s="151"/>
      <c r="Y32" s="151"/>
      <c r="Z32" s="151"/>
      <c r="AA32" s="151"/>
    </row>
    <row r="33" ht="15.75" hidden="1" customHeight="1">
      <c r="A33" s="158" t="s">
        <v>2283</v>
      </c>
      <c r="B33" s="158" t="s">
        <v>1226</v>
      </c>
      <c r="C33" s="158">
        <v>8.528400125E9</v>
      </c>
      <c r="D33" s="158" t="s">
        <v>2075</v>
      </c>
      <c r="E33" s="151"/>
      <c r="F33" s="151" t="str">
        <f t="array" ref="F33">XLOOKUP(B33, Summary!A:A, Summary!L:P)</f>
        <v>#N/A</v>
      </c>
      <c r="G33" s="151"/>
      <c r="H33" s="151"/>
      <c r="I33" s="151"/>
      <c r="J33" s="151"/>
      <c r="K33" s="151"/>
      <c r="L33" s="151"/>
      <c r="M33" s="151"/>
      <c r="N33" s="151"/>
      <c r="O33" s="151"/>
      <c r="P33" s="151"/>
      <c r="Q33" s="151"/>
      <c r="R33" s="151"/>
      <c r="S33" s="151"/>
      <c r="T33" s="151"/>
      <c r="U33" s="151"/>
      <c r="V33" s="151"/>
      <c r="W33" s="151"/>
      <c r="X33" s="151"/>
      <c r="Y33" s="151"/>
      <c r="Z33" s="151"/>
      <c r="AA33" s="151"/>
    </row>
    <row r="34">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row>
    <row r="35">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row>
    <row r="36">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row>
    <row r="37">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row>
    <row r="38">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row>
    <row r="39">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row>
    <row r="40">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row>
    <row r="4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row>
    <row r="42">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row>
    <row r="43">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row>
    <row r="44">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row>
    <row r="45">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row>
    <row r="46">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row>
    <row r="47">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row>
    <row r="48">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row>
    <row r="49">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row>
    <row r="50">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row>
    <row r="5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row>
    <row r="52">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row>
    <row r="53">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c r="AA53" s="151"/>
    </row>
    <row r="54">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row>
    <row r="55">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c r="AA55" s="151"/>
    </row>
    <row r="56">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row>
    <row r="57">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A57" s="151"/>
    </row>
    <row r="58">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c r="AA58" s="151"/>
    </row>
    <row r="59">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c r="AA59" s="151"/>
    </row>
    <row r="60">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row>
    <row r="61">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c r="AA61" s="151"/>
    </row>
    <row r="62">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c r="AA62" s="151"/>
    </row>
    <row r="63">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row>
    <row r="64">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c r="AA64" s="151"/>
    </row>
    <row r="65">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row>
    <row r="66">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row>
    <row r="67">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row>
    <row r="68">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c r="AA68" s="151"/>
    </row>
    <row r="69">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c r="AA69" s="151"/>
    </row>
    <row r="70">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c r="AA70" s="151"/>
    </row>
    <row r="71">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c r="AA71" s="151"/>
    </row>
    <row r="72">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row>
    <row r="73">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row>
    <row r="74">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row>
    <row r="75">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row>
    <row r="76">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c r="AA76" s="151"/>
    </row>
    <row r="77">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c r="AA77" s="151"/>
    </row>
    <row r="78">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c r="AA78" s="151"/>
    </row>
    <row r="79">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c r="AA79" s="151"/>
    </row>
    <row r="80">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c r="AA80" s="151"/>
    </row>
    <row r="8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c r="AA81" s="151"/>
    </row>
    <row r="82">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c r="AA82" s="151"/>
    </row>
    <row r="83">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c r="AA83" s="151"/>
    </row>
    <row r="84">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row>
    <row r="85">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row>
    <row r="86">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row>
    <row r="87">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row>
    <row r="88">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c r="AA88" s="151"/>
    </row>
    <row r="89">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row>
    <row r="90">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c r="AA90" s="151"/>
    </row>
    <row r="91">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c r="AA91" s="151"/>
    </row>
    <row r="92">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c r="AA92" s="151"/>
    </row>
    <row r="93">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row>
    <row r="94">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row>
    <row r="95">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c r="AA95" s="151"/>
    </row>
    <row r="96">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c r="AA96" s="151"/>
    </row>
    <row r="97">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c r="AA97" s="151"/>
    </row>
    <row r="98">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c r="AA98" s="151"/>
    </row>
    <row r="99">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c r="AA99" s="151"/>
    </row>
    <row r="100">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c r="AA100" s="151"/>
    </row>
    <row r="10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row>
    <row r="102">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row>
    <row r="103">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row>
    <row r="104">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row>
    <row r="105">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row>
    <row r="106">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row>
    <row r="107">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row>
    <row r="108">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row>
    <row r="109">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row>
    <row r="110">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row>
    <row r="11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row>
    <row r="112">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row>
    <row r="113">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row>
    <row r="114">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row>
    <row r="115">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row>
    <row r="116">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row>
    <row r="117">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row>
    <row r="118">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row>
    <row r="119">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row>
    <row r="120">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row>
    <row r="12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row>
    <row r="122">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row>
    <row r="123">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row>
    <row r="124">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row>
    <row r="125">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row>
    <row r="126">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row>
    <row r="127">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row>
    <row r="128">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row>
    <row r="129">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row>
    <row r="130">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row>
    <row r="13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row>
    <row r="132">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row>
    <row r="133">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row>
    <row r="134">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row>
    <row r="135">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row>
    <row r="136">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row>
    <row r="137">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row>
    <row r="138">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row>
    <row r="139">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row>
    <row r="140">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row>
    <row r="14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row>
    <row r="142">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row>
    <row r="143">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row>
    <row r="144">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row>
    <row r="145">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row>
    <row r="146">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row>
    <row r="147">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row>
    <row r="148">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row>
    <row r="149">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row>
    <row r="150">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row>
    <row r="151">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row>
    <row r="152">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row>
    <row r="153">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row>
    <row r="154">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row>
    <row r="155">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row>
    <row r="156">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row>
    <row r="157">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row>
    <row r="158">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row>
    <row r="159">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row>
    <row r="160">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row>
    <row r="16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row>
    <row r="162">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row>
    <row r="163">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row>
    <row r="164">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row>
    <row r="165">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row>
    <row r="166">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row>
    <row r="167">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row>
    <row r="168">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row>
    <row r="169">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row>
    <row r="170">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row>
    <row r="171">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row>
    <row r="172">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row>
    <row r="173">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row>
    <row r="174">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row>
    <row r="175">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row>
    <row r="176">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row>
    <row r="177">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row>
    <row r="178">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row>
    <row r="179">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row>
    <row r="180">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row>
    <row r="18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row>
    <row r="182">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row>
    <row r="183">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row>
    <row r="184">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row>
    <row r="185">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row>
    <row r="186">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row>
    <row r="187">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row>
    <row r="188">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row>
    <row r="189">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row>
    <row r="190">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row>
    <row r="191">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row>
    <row r="192">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row>
    <row r="193">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row>
    <row r="194">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row>
    <row r="195">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row>
    <row r="196">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row>
    <row r="197">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row>
    <row r="198">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row>
    <row r="199">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row>
    <row r="200">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row>
    <row r="20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row>
    <row r="202">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row>
    <row r="203">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row>
    <row r="204">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row>
    <row r="205">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row>
    <row r="206">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row>
    <row r="207">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row>
    <row r="208">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row>
    <row r="209">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row>
    <row r="210">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row>
    <row r="211">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row>
    <row r="212">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row>
    <row r="213">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row>
    <row r="214">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row>
    <row r="215">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row>
    <row r="216">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row>
    <row r="217">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row>
    <row r="218">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row>
    <row r="219">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row>
    <row r="220">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row>
    <row r="221">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row>
    <row r="222">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row>
    <row r="223">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row>
    <row r="224">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row>
    <row r="225">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row>
    <row r="226">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row>
    <row r="227">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row>
    <row r="228">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row>
    <row r="229">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row>
    <row r="230">
      <c r="A230" s="151"/>
      <c r="B230" s="151"/>
      <c r="C230" s="151"/>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row>
    <row r="231">
      <c r="A231" s="151"/>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row>
    <row r="232">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row>
    <row r="233">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row>
    <row r="234">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row>
    <row r="235">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row>
    <row r="236">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row>
    <row r="237">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row>
    <row r="238">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row>
    <row r="239">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row>
    <row r="240">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row>
    <row r="241">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row>
    <row r="242">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row>
    <row r="243">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row>
    <row r="244">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row>
    <row r="245">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row>
    <row r="246">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row>
    <row r="247">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row>
    <row r="248">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row>
    <row r="249">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row>
    <row r="250">
      <c r="A250" s="151"/>
      <c r="B250" s="151"/>
      <c r="C250" s="151"/>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row>
    <row r="251">
      <c r="A251" s="151"/>
      <c r="B251" s="151"/>
      <c r="C251" s="151"/>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row>
    <row r="252">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row>
    <row r="253">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row>
    <row r="254">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row>
    <row r="255">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row>
    <row r="256">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row>
    <row r="257">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row>
    <row r="258">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row>
    <row r="259">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row>
    <row r="260">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row>
    <row r="261">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row>
    <row r="262">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row>
    <row r="263">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row>
    <row r="264">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row>
    <row r="265">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row>
    <row r="266">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row>
    <row r="267">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row>
    <row r="268">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row>
    <row r="269">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row>
    <row r="270">
      <c r="A270" s="151"/>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row>
    <row r="271">
      <c r="A271" s="151"/>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row>
    <row r="272">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row>
    <row r="273">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row>
    <row r="274">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row>
    <row r="275">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row>
    <row r="276">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row>
    <row r="277">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row>
    <row r="278">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row>
    <row r="279">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row>
    <row r="280">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row>
    <row r="281">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row>
    <row r="282">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row>
    <row r="283">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row>
    <row r="284">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row>
    <row r="285">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row>
    <row r="286">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row>
    <row r="287">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row>
    <row r="288">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row>
    <row r="289">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row>
    <row r="290">
      <c r="A290" s="151"/>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row>
    <row r="291">
      <c r="A291" s="151"/>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row>
    <row r="292">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row>
    <row r="293">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row>
    <row r="294">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row>
    <row r="295">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row>
    <row r="296">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row>
    <row r="297">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row>
    <row r="298">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row>
    <row r="299">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row>
    <row r="300">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row>
    <row r="301">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row>
    <row r="302">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row>
    <row r="303">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row>
    <row r="304">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row>
    <row r="305">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row>
    <row r="306">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row>
    <row r="307">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row>
    <row r="308">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row>
    <row r="309">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row>
    <row r="310">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row>
    <row r="311">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row>
    <row r="312">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row>
    <row r="313">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row>
    <row r="314">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row>
    <row r="315">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row>
    <row r="316">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row>
    <row r="317">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row>
    <row r="318">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row>
    <row r="319">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row>
    <row r="320">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row>
    <row r="321">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row>
    <row r="322">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row>
    <row r="323">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row>
    <row r="324">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row>
    <row r="325">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row>
    <row r="326">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row>
    <row r="327">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row>
    <row r="328">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row>
    <row r="329">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row>
    <row r="330">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c r="AA330" s="151"/>
    </row>
    <row r="331">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c r="AA331" s="151"/>
    </row>
    <row r="332">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row>
    <row r="333">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row>
    <row r="334">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row>
    <row r="335">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row>
    <row r="336">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row>
    <row r="337">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row>
    <row r="338">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row>
    <row r="339">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row>
    <row r="340">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row>
    <row r="341">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row>
    <row r="342">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row>
    <row r="343">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row>
    <row r="344">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c r="AA344" s="151"/>
    </row>
    <row r="345">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row>
    <row r="346">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row>
    <row r="347">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row>
    <row r="348">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row>
    <row r="349">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row>
    <row r="350">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row>
    <row r="351">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row>
    <row r="352">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c r="AA352" s="151"/>
    </row>
    <row r="353">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row>
    <row r="354">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row>
    <row r="355">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c r="AA355" s="151"/>
    </row>
    <row r="356">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c r="AA356" s="151"/>
    </row>
    <row r="357">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c r="AA357" s="151"/>
    </row>
    <row r="358">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row>
    <row r="359">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c r="AA359" s="151"/>
    </row>
    <row r="360">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row>
    <row r="361">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row>
    <row r="362">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row>
    <row r="363">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row>
    <row r="364">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row>
    <row r="365">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row>
    <row r="366">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row>
    <row r="367">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row>
    <row r="368">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row>
    <row r="369">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row>
    <row r="370">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row>
    <row r="371">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row>
    <row r="372">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row>
    <row r="373">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row>
    <row r="374">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c r="AA374" s="151"/>
    </row>
    <row r="375">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c r="AA375" s="151"/>
    </row>
    <row r="376">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c r="AA376" s="151"/>
    </row>
    <row r="377">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c r="AA377" s="151"/>
    </row>
    <row r="378">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row>
    <row r="379">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row>
    <row r="380">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row>
    <row r="381">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c r="AA381" s="151"/>
    </row>
    <row r="382">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c r="AA382" s="151"/>
    </row>
    <row r="383">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row>
    <row r="384">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row>
    <row r="385">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row>
    <row r="386">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c r="AA386" s="151"/>
    </row>
    <row r="387">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c r="AA387" s="151"/>
    </row>
    <row r="388">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c r="AA388" s="151"/>
    </row>
    <row r="389">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row>
    <row r="390">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row>
    <row r="391">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row>
    <row r="392">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c r="AA392" s="151"/>
    </row>
    <row r="393">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row>
    <row r="394">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row>
    <row r="395">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row>
    <row r="396">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row>
    <row r="397">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row>
    <row r="398">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row>
    <row r="399">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row>
    <row r="400">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row>
    <row r="401">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row>
    <row r="402">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row>
    <row r="403">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row>
    <row r="404">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row>
    <row r="405">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c r="AA405" s="151"/>
    </row>
    <row r="406">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row>
    <row r="407">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row>
    <row r="408">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row>
    <row r="409">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row>
    <row r="410">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c r="AA410" s="151"/>
    </row>
    <row r="411">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row>
    <row r="412">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row>
    <row r="413">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row>
    <row r="414">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row>
    <row r="415">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row>
    <row r="416">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row>
    <row r="417">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c r="AA417" s="151"/>
    </row>
    <row r="418">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row>
    <row r="419">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c r="AA419" s="151"/>
    </row>
    <row r="420">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c r="AA420" s="151"/>
    </row>
    <row r="421">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row>
    <row r="422">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c r="AA422" s="151"/>
    </row>
    <row r="423">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c r="AA423" s="151"/>
    </row>
    <row r="424">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row>
    <row r="425">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row>
    <row r="426">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c r="AA426" s="151"/>
    </row>
    <row r="427">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row>
    <row r="428">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row>
    <row r="429">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row>
    <row r="430">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row>
    <row r="431">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row>
    <row r="432">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c r="AA432" s="151"/>
    </row>
    <row r="433">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c r="AA433" s="151"/>
    </row>
    <row r="434">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c r="AA434" s="151"/>
    </row>
    <row r="435">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c r="AA435" s="151"/>
    </row>
    <row r="436">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row>
    <row r="437">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row>
    <row r="438">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c r="AA438" s="151"/>
    </row>
    <row r="439">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c r="AA439" s="151"/>
    </row>
    <row r="440">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row>
    <row r="441">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row>
    <row r="442">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row>
    <row r="443">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c r="AA443" s="151"/>
    </row>
    <row r="444">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row>
    <row r="445">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c r="AA445" s="151"/>
    </row>
    <row r="446">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c r="AA446" s="151"/>
    </row>
    <row r="447">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row>
    <row r="448">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row>
    <row r="449">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row>
    <row r="450">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c r="AA450" s="151"/>
    </row>
    <row r="451">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c r="AA451" s="151"/>
    </row>
    <row r="452">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c r="AA452" s="151"/>
    </row>
    <row r="453">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c r="AA453" s="151"/>
    </row>
    <row r="454">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c r="AA454" s="151"/>
    </row>
    <row r="455">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row>
    <row r="456">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c r="AA456" s="151"/>
    </row>
    <row r="457">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row>
    <row r="458">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c r="AA458" s="151"/>
    </row>
    <row r="459">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c r="AA459" s="151"/>
    </row>
    <row r="460">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c r="AA460" s="151"/>
    </row>
    <row r="461">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c r="AA461" s="151"/>
    </row>
    <row r="462">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c r="AA462" s="151"/>
    </row>
    <row r="463">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c r="AA463" s="151"/>
    </row>
    <row r="464">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c r="AA464" s="151"/>
    </row>
    <row r="465">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c r="AA465" s="151"/>
    </row>
    <row r="466">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c r="AA466" s="151"/>
    </row>
    <row r="467">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c r="AA467" s="151"/>
    </row>
    <row r="468">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row>
    <row r="469">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c r="AA469" s="151"/>
    </row>
    <row r="470">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c r="AA470" s="151"/>
    </row>
    <row r="471">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row>
    <row r="472">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c r="AA472" s="151"/>
    </row>
    <row r="473">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c r="AA473" s="151"/>
    </row>
    <row r="474">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c r="AA474" s="151"/>
    </row>
    <row r="475">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row>
    <row r="476">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row>
    <row r="477">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row>
    <row r="478">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row>
    <row r="479">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row>
    <row r="480">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c r="AA480" s="151"/>
    </row>
    <row r="481">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c r="AA481" s="151"/>
    </row>
    <row r="482">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c r="AA482" s="151"/>
    </row>
    <row r="483">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c r="AA483" s="151"/>
    </row>
    <row r="484">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c r="AA484" s="151"/>
    </row>
    <row r="485">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row>
    <row r="486">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c r="AA486" s="151"/>
    </row>
    <row r="487">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c r="AA487" s="151"/>
    </row>
    <row r="488">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c r="AA488" s="151"/>
    </row>
    <row r="489">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c r="AA489" s="151"/>
    </row>
    <row r="490">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c r="AA490" s="151"/>
    </row>
    <row r="491">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c r="AA491" s="151"/>
    </row>
    <row r="492">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c r="AA492" s="151"/>
    </row>
    <row r="493">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c r="AA493" s="151"/>
    </row>
    <row r="494">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row>
    <row r="495">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c r="AA495" s="151"/>
    </row>
    <row r="496">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c r="AA496" s="151"/>
    </row>
    <row r="497">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c r="AA497" s="151"/>
    </row>
    <row r="498">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c r="AA498" s="151"/>
    </row>
    <row r="499">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row>
    <row r="500">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c r="AA500" s="151"/>
    </row>
    <row r="501">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c r="AA501" s="151"/>
    </row>
    <row r="502">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c r="AA502" s="151"/>
    </row>
    <row r="503">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c r="AA503" s="151"/>
    </row>
    <row r="504">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c r="AA504" s="151"/>
    </row>
    <row r="505">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row>
    <row r="506">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row>
    <row r="507">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c r="AA507" s="151"/>
    </row>
    <row r="508">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row>
    <row r="509">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row>
    <row r="510">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row>
    <row r="511">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c r="AA511" s="151"/>
    </row>
    <row r="512">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c r="AA512" s="151"/>
    </row>
    <row r="513">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row>
    <row r="514">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c r="AA514" s="151"/>
    </row>
    <row r="515">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c r="AA515" s="151"/>
    </row>
    <row r="516">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row>
    <row r="517">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c r="AA517" s="151"/>
    </row>
    <row r="518">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row>
    <row r="519">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row>
    <row r="520">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c r="AA520" s="151"/>
    </row>
    <row r="521">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row>
    <row r="522">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c r="AA522" s="151"/>
    </row>
    <row r="523">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c r="AA523" s="151"/>
    </row>
    <row r="524">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c r="AA524" s="151"/>
    </row>
    <row r="525">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row>
    <row r="526">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row>
    <row r="527">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row>
    <row r="528">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c r="AA528" s="151"/>
    </row>
    <row r="529">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row>
    <row r="530">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c r="AA530" s="151"/>
    </row>
    <row r="531">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row>
    <row r="532">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row>
    <row r="533">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c r="AA533" s="151"/>
    </row>
    <row r="534">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c r="AA534" s="151"/>
    </row>
    <row r="535">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c r="AA535" s="151"/>
    </row>
    <row r="536">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row>
    <row r="537">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row>
    <row r="538">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row>
    <row r="539">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row>
    <row r="540">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row>
    <row r="541">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c r="AA541" s="151"/>
    </row>
    <row r="542">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c r="AA542" s="151"/>
    </row>
    <row r="543">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c r="AA543" s="151"/>
    </row>
    <row r="544">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c r="AA544" s="151"/>
    </row>
    <row r="545">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c r="AA545" s="151"/>
    </row>
    <row r="546">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c r="AA546" s="151"/>
    </row>
    <row r="547">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c r="AA547" s="151"/>
    </row>
    <row r="548">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c r="AA548" s="151"/>
    </row>
    <row r="549">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row>
    <row r="550">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row>
    <row r="551">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row>
    <row r="552">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c r="AA552" s="151"/>
    </row>
    <row r="553">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c r="AA553" s="151"/>
    </row>
    <row r="554">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c r="AA554" s="151"/>
    </row>
    <row r="555">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c r="AA555" s="151"/>
    </row>
    <row r="556">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c r="AA556" s="151"/>
    </row>
    <row r="557">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c r="AA557" s="151"/>
    </row>
    <row r="558">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c r="AA558" s="151"/>
    </row>
    <row r="559">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c r="AA559" s="151"/>
    </row>
    <row r="560">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c r="AA560" s="151"/>
    </row>
    <row r="561">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c r="AA561" s="151"/>
    </row>
    <row r="562">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c r="AA562" s="151"/>
    </row>
    <row r="563">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c r="AA563" s="151"/>
    </row>
    <row r="564">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c r="AA564" s="151"/>
    </row>
    <row r="565">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c r="AA565" s="151"/>
    </row>
    <row r="566">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c r="AA566" s="151"/>
    </row>
    <row r="567">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c r="AA567" s="151"/>
    </row>
    <row r="568">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row>
    <row r="569">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row>
    <row r="570">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row>
    <row r="571">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row>
    <row r="572">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row>
    <row r="573">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c r="AA573" s="151"/>
    </row>
    <row r="574">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c r="AA574" s="151"/>
    </row>
    <row r="575">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c r="AA575" s="151"/>
    </row>
    <row r="576">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c r="AA576" s="151"/>
    </row>
    <row r="577">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c r="AA577" s="151"/>
    </row>
    <row r="578">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c r="AA578" s="151"/>
    </row>
    <row r="579">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c r="AA579" s="151"/>
    </row>
    <row r="580">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c r="AA580" s="151"/>
    </row>
    <row r="581">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c r="AA581" s="151"/>
    </row>
    <row r="582">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c r="AA582" s="151"/>
    </row>
    <row r="583">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c r="AA583" s="151"/>
    </row>
    <row r="584">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c r="AA584" s="151"/>
    </row>
    <row r="585">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c r="AA585" s="151"/>
    </row>
    <row r="586">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c r="AA586" s="151"/>
    </row>
    <row r="587">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c r="AA587" s="151"/>
    </row>
    <row r="588">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c r="AA588" s="151"/>
    </row>
    <row r="589">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c r="AA589" s="151"/>
    </row>
    <row r="590">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c r="AA590" s="151"/>
    </row>
    <row r="591">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row>
    <row r="592">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c r="AA592" s="151"/>
    </row>
    <row r="593">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row>
    <row r="594">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c r="AA594" s="151"/>
    </row>
    <row r="595">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c r="AA595" s="151"/>
    </row>
    <row r="596">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c r="AA596" s="151"/>
    </row>
    <row r="597">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row>
    <row r="598">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c r="AA598" s="151"/>
    </row>
    <row r="599">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row>
    <row r="600">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c r="AA600" s="151"/>
    </row>
    <row r="601">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row>
    <row r="602">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c r="AA602" s="151"/>
    </row>
    <row r="603">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row>
    <row r="604">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row>
    <row r="605">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row>
    <row r="606">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row>
    <row r="607">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c r="AA607" s="151"/>
    </row>
    <row r="608">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c r="AA608" s="151"/>
    </row>
    <row r="609">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row>
    <row r="610">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c r="AA610" s="151"/>
    </row>
    <row r="611">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row>
    <row r="612">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c r="AA612" s="151"/>
    </row>
    <row r="613">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c r="AA613" s="151"/>
    </row>
    <row r="614">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row>
    <row r="615">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row>
    <row r="616">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row>
    <row r="617">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row>
    <row r="618">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row>
    <row r="619">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row>
    <row r="620">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row>
    <row r="621">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c r="AA621" s="151"/>
    </row>
    <row r="622">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row>
    <row r="623">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c r="AA623" s="151"/>
    </row>
    <row r="624">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c r="AA624" s="151"/>
    </row>
    <row r="625">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c r="AA625" s="151"/>
    </row>
    <row r="626">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c r="AA626" s="151"/>
    </row>
    <row r="627">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c r="AA627" s="151"/>
    </row>
    <row r="628">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c r="AA628" s="151"/>
    </row>
    <row r="629">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c r="AA629" s="151"/>
    </row>
    <row r="630">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c r="AA630" s="151"/>
    </row>
    <row r="631">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c r="AA631" s="151"/>
    </row>
    <row r="632">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c r="AA632" s="151"/>
    </row>
    <row r="633">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c r="AA633" s="151"/>
    </row>
    <row r="634">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c r="AA634" s="151"/>
    </row>
    <row r="635">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c r="AA635" s="151"/>
    </row>
    <row r="636">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c r="AA636" s="151"/>
    </row>
    <row r="637">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c r="AA637" s="151"/>
    </row>
    <row r="638">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c r="AA638" s="151"/>
    </row>
    <row r="639">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c r="AA639" s="151"/>
    </row>
    <row r="640">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c r="AA640" s="151"/>
    </row>
    <row r="641">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c r="AA641" s="151"/>
    </row>
    <row r="642">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c r="AA642" s="151"/>
    </row>
    <row r="643">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c r="AA643" s="151"/>
    </row>
    <row r="644">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c r="AA644" s="151"/>
    </row>
    <row r="645">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c r="AA645" s="151"/>
    </row>
    <row r="646">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c r="AA646" s="151"/>
    </row>
    <row r="647">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c r="AA647" s="151"/>
    </row>
    <row r="648">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c r="AA648" s="151"/>
    </row>
    <row r="649">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c r="AA649" s="151"/>
    </row>
    <row r="650">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c r="AA650" s="151"/>
    </row>
    <row r="651">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c r="AA651" s="151"/>
    </row>
    <row r="652">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c r="AA652" s="151"/>
    </row>
    <row r="653">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c r="AA653" s="151"/>
    </row>
    <row r="654">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c r="AA654" s="151"/>
    </row>
    <row r="655">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c r="AA655" s="151"/>
    </row>
    <row r="656">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c r="AA656" s="151"/>
    </row>
    <row r="657">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c r="AA657" s="151"/>
    </row>
    <row r="658">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c r="AA658" s="151"/>
    </row>
    <row r="659">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c r="AA659" s="151"/>
    </row>
    <row r="660">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c r="AA660" s="151"/>
    </row>
    <row r="661">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c r="AA661" s="151"/>
    </row>
    <row r="662">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c r="AA662" s="151"/>
    </row>
    <row r="663">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c r="AA663" s="151"/>
    </row>
    <row r="664">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c r="AA664" s="151"/>
    </row>
    <row r="665">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c r="AA665" s="151"/>
    </row>
    <row r="666">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c r="AA666" s="151"/>
    </row>
    <row r="667">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c r="AA667" s="151"/>
    </row>
    <row r="668">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c r="AA668" s="151"/>
    </row>
    <row r="669">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c r="AA669" s="151"/>
    </row>
    <row r="670">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c r="AA670" s="151"/>
    </row>
    <row r="671">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c r="AA671" s="151"/>
    </row>
    <row r="672">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row>
    <row r="673">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c r="AA673" s="151"/>
    </row>
    <row r="674">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c r="AA674" s="151"/>
    </row>
    <row r="675">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row>
    <row r="676">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row>
    <row r="677">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row>
    <row r="678">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row>
    <row r="679">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row>
    <row r="680">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row>
    <row r="681">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row>
    <row r="682">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row>
    <row r="683">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row>
    <row r="68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row>
    <row r="685">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row>
    <row r="686">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row>
    <row r="687">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row>
    <row r="688">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row>
    <row r="689">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row>
    <row r="690">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row>
    <row r="691">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row>
    <row r="692">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row>
    <row r="693">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row>
    <row r="69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row>
    <row r="695">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row>
    <row r="696">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row>
    <row r="697">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row>
    <row r="698">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row>
    <row r="699">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row>
    <row r="700">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row>
    <row r="701">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row>
    <row r="702">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row>
    <row r="703">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row>
    <row r="70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row>
    <row r="705">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row>
    <row r="706">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row>
    <row r="707">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row>
    <row r="708">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row>
    <row r="709">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row>
    <row r="710">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row>
    <row r="711">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row>
    <row r="712">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row>
    <row r="713">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row>
    <row r="71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row>
    <row r="715">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row>
    <row r="716">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row>
    <row r="717">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row>
    <row r="718">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row>
    <row r="719">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row>
    <row r="720">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row>
    <row r="721">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row>
    <row r="722">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row>
    <row r="723">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row>
    <row r="72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row>
    <row r="725">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row>
    <row r="726">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row>
    <row r="727">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row>
    <row r="728">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row>
    <row r="729">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row>
    <row r="730">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row>
    <row r="731">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row>
    <row r="732">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row>
    <row r="733">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row>
    <row r="73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row>
    <row r="735">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row>
    <row r="736">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row>
    <row r="737">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row>
    <row r="738">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row>
    <row r="739">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row>
    <row r="740">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row>
    <row r="741">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row>
    <row r="742">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row>
    <row r="743">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row>
    <row r="7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row>
    <row r="745">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row>
    <row r="746">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row>
    <row r="747">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row>
    <row r="748">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row>
    <row r="749">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row>
    <row r="750">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row>
    <row r="751">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row>
    <row r="752">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row>
    <row r="753">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row>
    <row r="75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row>
    <row r="755">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row>
    <row r="756">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row>
    <row r="757">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row>
    <row r="758">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row>
    <row r="759">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row>
    <row r="760">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row>
    <row r="761">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row>
    <row r="762">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row>
    <row r="763">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row>
    <row r="76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row>
    <row r="765">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row>
    <row r="766">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row>
    <row r="767">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row>
    <row r="768">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row>
    <row r="769">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row>
    <row r="770">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row>
    <row r="771">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row>
    <row r="772">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c r="AA772" s="151"/>
    </row>
    <row r="773">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c r="AA773" s="151"/>
    </row>
    <row r="77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c r="AA774" s="151"/>
    </row>
    <row r="775">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c r="AA775" s="151"/>
    </row>
    <row r="776">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c r="AA776" s="151"/>
    </row>
    <row r="777">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c r="AA777" s="151"/>
    </row>
    <row r="778">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c r="AA778" s="151"/>
    </row>
    <row r="779">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c r="AA779" s="151"/>
    </row>
    <row r="780">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c r="AA780" s="151"/>
    </row>
    <row r="781">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row>
    <row r="782">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c r="AA782" s="151"/>
    </row>
    <row r="783">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c r="AA783" s="151"/>
    </row>
    <row r="78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row>
    <row r="785">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row>
    <row r="786">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row>
    <row r="787">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c r="AA787" s="151"/>
    </row>
    <row r="788">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c r="AA788" s="151"/>
    </row>
    <row r="789">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c r="AA789" s="151"/>
    </row>
    <row r="790">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row>
    <row r="791">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c r="AA791" s="151"/>
    </row>
    <row r="792">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row>
    <row r="793">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c r="AA793" s="151"/>
    </row>
    <row r="79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row>
    <row r="795">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c r="AA795" s="151"/>
    </row>
    <row r="796">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c r="AA796" s="151"/>
    </row>
    <row r="797">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row>
    <row r="798">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c r="AA798" s="151"/>
    </row>
    <row r="799">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c r="AA799" s="151"/>
    </row>
    <row r="800">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c r="AA800" s="151"/>
    </row>
    <row r="801">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c r="AA801" s="151"/>
    </row>
    <row r="802">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row>
    <row r="803">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c r="AA803" s="151"/>
    </row>
    <row r="80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c r="AA804" s="151"/>
    </row>
    <row r="805">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c r="AA805" s="151"/>
    </row>
    <row r="806">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c r="AA806" s="151"/>
    </row>
    <row r="807">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c r="AA807" s="151"/>
    </row>
    <row r="808">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c r="AA808" s="151"/>
    </row>
    <row r="809">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row>
    <row r="810">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c r="AA810" s="151"/>
    </row>
    <row r="811">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c r="AA811" s="151"/>
    </row>
    <row r="812">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row>
    <row r="813">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row>
    <row r="81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row>
    <row r="815">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row>
    <row r="816">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row>
    <row r="817">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c r="AA817" s="151"/>
    </row>
    <row r="818">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c r="AA818" s="151"/>
    </row>
    <row r="819">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c r="AA819" s="151"/>
    </row>
    <row r="820">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c r="AA820" s="151"/>
    </row>
    <row r="821">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row>
    <row r="822">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c r="AA822" s="151"/>
    </row>
    <row r="823">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c r="AA823" s="151"/>
    </row>
    <row r="82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c r="AA824" s="151"/>
    </row>
    <row r="825">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c r="AA825" s="151"/>
    </row>
    <row r="826">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c r="AA826" s="151"/>
    </row>
    <row r="827">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c r="AA827" s="151"/>
    </row>
    <row r="828">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row>
    <row r="829">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c r="AA829" s="151"/>
    </row>
    <row r="830">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c r="AA830" s="151"/>
    </row>
    <row r="831">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c r="AA831" s="151"/>
    </row>
    <row r="832">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c r="AA832" s="151"/>
    </row>
    <row r="833">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row>
    <row r="83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c r="AA834" s="151"/>
    </row>
    <row r="835">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c r="AA835" s="151"/>
    </row>
    <row r="836">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c r="AA836" s="151"/>
    </row>
    <row r="837">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c r="AA837" s="151"/>
    </row>
    <row r="838">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row>
    <row r="839">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c r="AA839" s="151"/>
    </row>
    <row r="840">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c r="AA840" s="151"/>
    </row>
    <row r="841">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c r="AA841" s="151"/>
    </row>
    <row r="842">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c r="AA842" s="151"/>
    </row>
    <row r="843">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row>
    <row r="8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c r="AA844" s="151"/>
    </row>
    <row r="845">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row>
    <row r="846">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c r="AA846" s="151"/>
    </row>
    <row r="847">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c r="AA847" s="151"/>
    </row>
    <row r="848">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row>
    <row r="849">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c r="AA849" s="151"/>
    </row>
    <row r="850">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c r="AA850" s="151"/>
    </row>
    <row r="851">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row>
    <row r="852">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c r="AA852" s="151"/>
    </row>
    <row r="853">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row>
    <row r="85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c r="AA854" s="151"/>
    </row>
    <row r="855">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c r="AA855" s="151"/>
    </row>
    <row r="856">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c r="AA856" s="151"/>
    </row>
    <row r="857">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c r="AA857" s="151"/>
    </row>
    <row r="858">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row>
    <row r="859">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c r="AA859" s="151"/>
    </row>
    <row r="860">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c r="AA860" s="151"/>
    </row>
    <row r="861">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c r="AA861" s="151"/>
    </row>
    <row r="862">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c r="AA862" s="151"/>
    </row>
    <row r="863">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row>
    <row r="86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c r="AA864" s="151"/>
    </row>
    <row r="865">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c r="AA865" s="151"/>
    </row>
    <row r="866">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c r="AA866" s="151"/>
    </row>
    <row r="867">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c r="AA867" s="151"/>
    </row>
    <row r="868">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row>
    <row r="869">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c r="AA869" s="151"/>
    </row>
    <row r="870">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c r="AA870" s="151"/>
    </row>
    <row r="871">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c r="AA871" s="151"/>
    </row>
    <row r="872">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c r="AA872" s="151"/>
    </row>
    <row r="873">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row>
    <row r="87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c r="AA874" s="151"/>
    </row>
    <row r="875">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c r="AA875" s="151"/>
    </row>
    <row r="876">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c r="AA876" s="151"/>
    </row>
    <row r="877">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c r="AA877" s="151"/>
    </row>
    <row r="878">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row>
    <row r="879">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c r="AA879" s="151"/>
    </row>
    <row r="880">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c r="AA880" s="151"/>
    </row>
    <row r="881">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c r="AA881" s="151"/>
    </row>
    <row r="882">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c r="AA882" s="151"/>
    </row>
    <row r="883">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row>
    <row r="88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c r="AA884" s="151"/>
    </row>
    <row r="885">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c r="AA885" s="151"/>
    </row>
    <row r="886">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c r="AA886" s="151"/>
    </row>
    <row r="887">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c r="AA887" s="151"/>
    </row>
    <row r="888">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row>
    <row r="889">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c r="AA889" s="151"/>
    </row>
    <row r="890">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c r="AA890" s="151"/>
    </row>
    <row r="891">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c r="AA891" s="151"/>
    </row>
    <row r="892">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c r="AA892" s="151"/>
    </row>
    <row r="893">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row>
    <row r="89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c r="AA894" s="151"/>
    </row>
    <row r="895">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c r="AA895" s="151"/>
    </row>
    <row r="896">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c r="AA896" s="151"/>
    </row>
    <row r="897">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c r="AA897" s="151"/>
    </row>
    <row r="898">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row>
    <row r="899">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c r="AA899" s="151"/>
    </row>
    <row r="900">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c r="AA900" s="151"/>
    </row>
    <row r="901">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c r="AA901" s="151"/>
    </row>
    <row r="902">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c r="AA902" s="151"/>
    </row>
    <row r="903">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row>
    <row r="90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c r="AA904" s="151"/>
    </row>
    <row r="905">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c r="AA905" s="151"/>
    </row>
    <row r="906">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c r="AA906" s="151"/>
    </row>
    <row r="907">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c r="AA907" s="151"/>
    </row>
    <row r="908">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row>
    <row r="909">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c r="AA909" s="151"/>
    </row>
    <row r="910">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c r="AA910" s="151"/>
    </row>
    <row r="911">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c r="AA911" s="151"/>
    </row>
    <row r="912">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c r="AA912" s="151"/>
    </row>
    <row r="913">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c r="AA913" s="151"/>
    </row>
    <row r="91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c r="AA914" s="151"/>
    </row>
    <row r="915">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c r="AA915" s="151"/>
    </row>
    <row r="916">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c r="AA916" s="151"/>
    </row>
    <row r="917">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c r="AA917" s="151"/>
    </row>
    <row r="918">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c r="AA918" s="151"/>
    </row>
    <row r="919">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c r="AA919" s="151"/>
    </row>
    <row r="920">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c r="AA920" s="151"/>
    </row>
    <row r="921">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c r="AA921" s="151"/>
    </row>
    <row r="922">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c r="AA922" s="151"/>
    </row>
    <row r="923">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c r="AA923" s="151"/>
    </row>
    <row r="92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row>
    <row r="925">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c r="AA925" s="151"/>
    </row>
    <row r="926">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c r="AA926" s="151"/>
    </row>
    <row r="927">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c r="AA927" s="151"/>
    </row>
    <row r="928">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c r="AA928" s="151"/>
    </row>
    <row r="929">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c r="AA929" s="151"/>
    </row>
    <row r="930">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c r="AA930" s="151"/>
    </row>
    <row r="931">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c r="AA931" s="151"/>
    </row>
    <row r="932">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c r="AA932" s="151"/>
    </row>
    <row r="933">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c r="AA933" s="151"/>
    </row>
    <row r="93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c r="AA934" s="151"/>
    </row>
    <row r="935">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c r="AA935" s="151"/>
    </row>
    <row r="936">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c r="AA936" s="151"/>
    </row>
    <row r="937">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c r="AA937" s="151"/>
    </row>
    <row r="938">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c r="AA938" s="151"/>
    </row>
    <row r="939">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c r="AA939" s="151"/>
    </row>
    <row r="940">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c r="AA940" s="151"/>
    </row>
    <row r="941">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c r="AA941" s="151"/>
    </row>
    <row r="942">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c r="AA942" s="151"/>
    </row>
    <row r="943">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c r="AA943" s="151"/>
    </row>
    <row r="9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c r="AA944" s="151"/>
    </row>
    <row r="945">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c r="AA945" s="151"/>
    </row>
    <row r="946">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c r="AA946" s="151"/>
    </row>
    <row r="947">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c r="AA947" s="151"/>
    </row>
    <row r="948">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c r="AA948" s="151"/>
    </row>
    <row r="949">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c r="AA949" s="151"/>
    </row>
    <row r="950">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c r="AA950" s="151"/>
    </row>
    <row r="951">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c r="AA951" s="151"/>
    </row>
    <row r="952">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c r="AA952" s="151"/>
    </row>
    <row r="953">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c r="AA953" s="151"/>
    </row>
    <row r="95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c r="AA954" s="151"/>
    </row>
    <row r="955">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c r="AA955" s="151"/>
    </row>
    <row r="956">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c r="AA956" s="151"/>
    </row>
    <row r="957">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c r="AA957" s="151"/>
    </row>
    <row r="958">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c r="AA958" s="151"/>
    </row>
    <row r="959">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c r="AA959" s="151"/>
    </row>
    <row r="960">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c r="AA960" s="151"/>
    </row>
    <row r="961">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c r="AA961" s="151"/>
    </row>
    <row r="962">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c r="AA962" s="151"/>
    </row>
    <row r="963">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c r="AA963" s="151"/>
    </row>
    <row r="96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c r="AA964" s="151"/>
    </row>
    <row r="965">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c r="AA965" s="151"/>
    </row>
    <row r="966">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c r="AA966" s="151"/>
    </row>
    <row r="967">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c r="AA967" s="151"/>
    </row>
    <row r="968">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c r="AA968" s="151"/>
    </row>
    <row r="969">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c r="AA969" s="151"/>
    </row>
    <row r="970">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c r="AA970" s="151"/>
    </row>
    <row r="971">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c r="AA971" s="151"/>
    </row>
    <row r="972">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c r="AA972" s="151"/>
    </row>
    <row r="973">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c r="AA973" s="151"/>
    </row>
    <row r="97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c r="AA974" s="151"/>
    </row>
    <row r="975">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c r="AA975" s="151"/>
    </row>
    <row r="976">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c r="AA976" s="151"/>
    </row>
    <row r="977">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c r="AA977" s="151"/>
    </row>
    <row r="978">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c r="AA978" s="151"/>
    </row>
    <row r="979">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c r="AA979" s="151"/>
    </row>
    <row r="980">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c r="AA980" s="151"/>
    </row>
    <row r="981">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c r="AA981" s="151"/>
    </row>
    <row r="982">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c r="AA982" s="151"/>
    </row>
    <row r="983">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c r="AA983" s="151"/>
    </row>
    <row r="984">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c r="AA984" s="151"/>
    </row>
    <row r="985">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c r="AA985" s="151"/>
    </row>
    <row r="986">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c r="AA986" s="151"/>
    </row>
    <row r="987">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c r="AA987" s="151"/>
    </row>
    <row r="988">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c r="AA988" s="151"/>
    </row>
    <row r="989">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c r="AA989" s="151"/>
    </row>
    <row r="990">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c r="AA990" s="151"/>
    </row>
    <row r="991">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c r="AA991" s="151"/>
    </row>
    <row r="992">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c r="AA992" s="151"/>
    </row>
    <row r="993">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c r="AA993" s="151"/>
    </row>
  </sheetData>
  <autoFilter ref="$A$1:$I$33">
    <filterColumn colId="5">
      <filters>
        <filter val="#N/A"/>
      </filters>
    </filterColumn>
  </autoFilter>
  <drawing r:id="rId1"/>
</worksheet>
</file>